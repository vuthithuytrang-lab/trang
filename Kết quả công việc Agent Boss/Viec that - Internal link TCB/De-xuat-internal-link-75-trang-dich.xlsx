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ách đọc file" sheetId="1" r:id="rId5"/>
    <sheet state="visible" name="Kế hoạch chèn link" sheetId="2" r:id="rId6"/>
    <sheet state="visible" name="Báo cáo 75 trang đích" sheetId="3" r:id="rId7"/>
    <sheet state="visible" name="Thống kê anchor text" sheetId="4" r:id="rId8"/>
    <sheet state="visible" name="Chi tiết từng link" sheetId="5" r:id="rId9"/>
    <sheet state="visible" name="Link đi từ bài nào" sheetId="6" r:id="rId10"/>
    <sheet state="visible" name="Inlink đã chèn" sheetId="7" r:id="rId11"/>
    <sheet state="visible" name="Inlink - Đề xuất 5 bài trang đí" sheetId="8" r:id="rId12"/>
  </sheets>
  <definedNames>
    <definedName hidden="1" localSheetId="1" name="_xlnm._FilterDatabase">'Kế hoạch chèn link'!$A$1:$R$76</definedName>
    <definedName hidden="1" localSheetId="2" name="_xlnm._FilterDatabase">'Báo cáo 75 trang đích'!$A$1:$K$76</definedName>
    <definedName hidden="1" localSheetId="5" name="_xlnm._FilterDatabase">'Link đi từ bài nào'!$A$1:$D$1000</definedName>
  </definedNames>
  <calcPr/>
</workbook>
</file>

<file path=xl/sharedStrings.xml><?xml version="1.0" encoding="utf-8"?>
<sst xmlns="http://schemas.openxmlformats.org/spreadsheetml/2006/main" count="21408" uniqueCount="2011">
  <si>
    <t>CÁCH ĐỌC FILE — Đề xuất internal link cho 75 trang đích Techcombank</t>
  </si>
  <si>
    <t>STT</t>
  </si>
  <si>
    <t>Câu hỏi</t>
  </si>
  <si>
    <t>Trang đích</t>
  </si>
  <si>
    <t>Xem ở tab nào</t>
  </si>
  <si>
    <t>Nhóm</t>
  </si>
  <si>
    <t>1. Link đi được từ bài nào?</t>
  </si>
  <si>
    <t>Tổng số link đề xuất trỏ về</t>
  </si>
  <si>
    <t>Trong đó: Phù hợp cao</t>
  </si>
  <si>
    <t>Tab "Kế hoạch chèn link" (đọc trước tiên): mỗi trang đích 1 dòng, các cặp Anchortext + URL (bài đặt link) xếp ngang, tối đa 5 link dùng được ngay. Cột Tình trạng / Hoàn thiện để theo dõi khi chèn. Muốn xem thêm gợi ý cần soát: tab "Chi tiết từng link".</t>
  </si>
  <si>
    <t>Trong đó: Có thể đi</t>
  </si>
  <si>
    <t>Trong đó: Cần soát (chỉ trùng từ khóa)</t>
  </si>
  <si>
    <t>2. Số lượng link đi về mỗi trang đích là bao nhiêu?</t>
  </si>
  <si>
    <t>Số anchor text</t>
  </si>
  <si>
    <t>Tab "Kế hoạch chèn link", cột "Số link" (link dùng được ngay). Tổng tất cả mức (kể cả cần soát): tab "Báo cáo 75 trang đích".</t>
  </si>
  <si>
    <t>Thống kê anchor text (anchor – số link)</t>
  </si>
  <si>
    <t>3. Anchor text là gì, mỗi anchor dùng bao nhiêu lần?</t>
  </si>
  <si>
    <t>Link đi từ các bài (chỉ Phù hợp cao + Có thể đi)</t>
  </si>
  <si>
    <t>Tab "Kế hoạch chèn link" các cột Anchortext 01–05. Thống kê số lần dùng mỗi anchor: tab "Thống kê anchor text".</t>
  </si>
  <si>
    <t>Ý nghĩa 3 mức</t>
  </si>
  <si>
    <t>Trạng thái</t>
  </si>
  <si>
    <t>PHÙ HỢP CAO: chủ đề bài nguồn sát trang đích, nên chèn trước. CÓ THỂ ĐI: liên quan vừa. CẦN SOÁT: chỉ trùng từ khóa trong tiêu đề/mô tả, cần người đọc lại trước khi chèn.</t>
  </si>
  <si>
    <t>Lưu ý</t>
  </si>
  <si>
    <t>Đánh giá dựa trên tiêu đề và mô tả bài (title/meta) vì không truy cập được nội dung trang techcombank.com từ môi trường làm việc. Vị trí chèn cụ thể cần biên tập viên xác định khi mở bài.</t>
  </si>
  <si>
    <t>Tab khác</t>
  </si>
  <si>
    <t>"Inlink - Đề xuất 5 bài/ trang đích, 3 link/ nguồn": bản rút gọn có giới hạn để so sánh. "Trang tính2": dữ liệu link hiện có.</t>
  </si>
  <si>
    <t>https://techcombank.com/thong-tin/blog/lai-suat-vay-mua-o-to</t>
  </si>
  <si>
    <t>Từ khoá chính</t>
  </si>
  <si>
    <t>Anchor text</t>
  </si>
  <si>
    <t>Landingpage (trang đích)</t>
  </si>
  <si>
    <t>Số link dùng anchor này</t>
  </si>
  <si>
    <t>Anchortext 01</t>
  </si>
  <si>
    <t>URL 01 (bài đặt link)</t>
  </si>
  <si>
    <t>Anchortext 02</t>
  </si>
  <si>
    <t>URL 02 (bài đặt link)</t>
  </si>
  <si>
    <t>Anchortext 03</t>
  </si>
  <si>
    <t>URL 03 (bài đặt link)</t>
  </si>
  <si>
    <t>Anchortext 04</t>
  </si>
  <si>
    <t>URL 04 (bài đặt link)</t>
  </si>
  <si>
    <t>Anchortext 05</t>
  </si>
  <si>
    <t>Auto Loan</t>
  </si>
  <si>
    <t>URL 05 (bài đặt link)</t>
  </si>
  <si>
    <t>Số link</t>
  </si>
  <si>
    <t>Tình trạng</t>
  </si>
  <si>
    <t>Hoàn thiện</t>
  </si>
  <si>
    <t>Ghi chú</t>
  </si>
  <si>
    <t>Link trỏ về (trang đích)</t>
  </si>
  <si>
    <t>Link đi từ bài (bài nguồn – nơi đặt link)</t>
  </si>
  <si>
    <t>Mức độ phù hợp</t>
  </si>
  <si>
    <t>Lý do</t>
  </si>
  <si>
    <t>Vị trí chèn</t>
  </si>
  <si>
    <t>Trích đoạn gốc</t>
  </si>
  <si>
    <t>Đề xuất nội dung chèn link</t>
  </si>
  <si>
    <t>Ghi chú biên tập</t>
  </si>
  <si>
    <t>lãi suất vay mua ô tô</t>
  </si>
  <si>
    <t>https://techcombank.com/thong-tin/blog/vay-mua-xe-tra-gop-ngan-hang-nao-tot-nhat</t>
  </si>
  <si>
    <t>https://techcombank.com/thong-tin/blog/nop-thue-dat-qua-ngan-hang</t>
  </si>
  <si>
    <t>PHÙ HỢP CAO</t>
  </si>
  <si>
    <t>Bài so sánh ngân hàng cho vay mua xe — lãi suất là tiêu chí chọn ngân hàng, người đọc cần bảng lãi suất cụ thể.</t>
  </si>
  <si>
    <t>Chưa đọc được nội dung</t>
  </si>
  <si>
    <t>—</t>
  </si>
  <si>
    <t>Business Account</t>
  </si>
  <si>
    <t>https://techcombank.com/thong-tin/blog/co-nen-mua-o-to-tra-gop</t>
  </si>
  <si>
    <t>lãi suất vay mua xe ô tô</t>
  </si>
  <si>
    <t>Bài tư vấn mua ô tô trả góp; quyết định mua trả góp phụ thuộc trực tiếp vào mức lãi suất vay.</t>
  </si>
  <si>
    <t>Chưa hoàn thành</t>
  </si>
  <si>
    <t>https://techcombank.com/thong-tin/blog/thu-tuc-mua-xe-tra-gop</t>
  </si>
  <si>
    <t>https://techcombank.com/thong-tin/blog/cach-nop-thue-dien-tu</t>
  </si>
  <si>
    <t>lãi suất vay mua ô tô các ngân hàng</t>
  </si>
  <si>
    <t>Bài hướng dẫn hồ sơ, thủ tục mua xe trả góp — bước sau khi người đọc so sánh lãi suất.</t>
  </si>
  <si>
    <t>nộp thuế đất qua ngân hàng</t>
  </si>
  <si>
    <t>https://techcombank.com/thong-tin/blog/nen-mua-xe-tra-gop-hay-tra-thang</t>
  </si>
  <si>
    <t>mua xe trả góp lãi suất bao nhiêu</t>
  </si>
  <si>
    <t>So sánh trả góp và trả thẳng — phần chi phí trả góp cần dẫn sang lãi suất vay mua ô tô.</t>
  </si>
  <si>
    <t>https://techcombank.com/thong-tin/blog/thue-thu-nhap-doanh-nghiep</t>
  </si>
  <si>
    <t>https://techcombank.com/thong-tin/blog/vay-the-chap-xe-o-to-cu</t>
  </si>
  <si>
    <t>CÓ THỂ ĐI</t>
  </si>
  <si>
    <t>Chủ đề vay thế chấp mua xe cũ; chèn được ở đoạn nói về chi phí/lãi vay.</t>
  </si>
  <si>
    <t>cách nộp thuế điện tử</t>
  </si>
  <si>
    <t>https://techcombank.com/thong-tin/blog/mua-bao-hiem-o-to-dien</t>
  </si>
  <si>
    <t>https://techcombank.com/thong-tin/blog/thue-vat-la-gi</t>
  </si>
  <si>
    <t>CẦN SOÁT</t>
  </si>
  <si>
    <t>Nhắc: ô tô.</t>
  </si>
  <si>
    <t>https://techcombank.com/thong-tin/blog/mua-bao-hiem-o-to</t>
  </si>
  <si>
    <t>thuế thu nhập doanh nghiệp</t>
  </si>
  <si>
    <t>https://techcombank.com/thong-tin/blog/tra-cuu-no-thue-doanh-nghiep</t>
  </si>
  <si>
    <t>https://techcombank.com/thong-tin/blog/lien-ket-tai-khoan-ngan-hang-voi-etax-mobile</t>
  </si>
  <si>
    <t>Liên kết tài khoản ngân hàng với eTax Mobile là bước bắt buộc để nộp thuế đất online qua ngân hàng.</t>
  </si>
  <si>
    <t>cách nộp thuế đất online</t>
  </si>
  <si>
    <t>Bài hướng dẫn nộp thuế online chung — có thể dẫn sang trường hợp cụ thể là thuế đất.</t>
  </si>
  <si>
    <t>https://techcombank.com/thong-tin/blog/ho-so-thu-tuc-xoa-the-chap</t>
  </si>
  <si>
    <t>thuế VAT</t>
  </si>
  <si>
    <t>https://techcombank.com/thong-tin/blog/thue-doanh-nghiep</t>
  </si>
  <si>
    <t>đóng thuế đất qua ngân hàng</t>
  </si>
  <si>
    <t>Bài thủ tục sổ đỏ/đất đai; chèn được nếu có đoạn nhắc nghĩa vụ tài chính về đất. (Liên quan yếu – bản chặt đã loại.)</t>
  </si>
  <si>
    <t>https://techcombank.com/thong-tin/blog/quyet-toan-thue-thu-nhap-ca-nhan</t>
  </si>
  <si>
    <t>Nhắc: nộp thuế, etax.</t>
  </si>
  <si>
    <t>Năm cũ: không ghi năm.</t>
  </si>
  <si>
    <t>https://techcombank.com/thong-tin/blog/cong-ty-su-dung-tai-khoan-ca-nhan</t>
  </si>
  <si>
    <t>https://techcombank.com/thong-tin/blog/tra-cuu-no-thue-hai-quan</t>
  </si>
  <si>
    <t>tra cứu nợ thuế doanh nghiệp</t>
  </si>
  <si>
    <t>Nhắc: nộp thuế.</t>
  </si>
  <si>
    <t>https://techcombank.com/thong-tin/blog/tra-cuu-no-thue-ho-kinh-doanh</t>
  </si>
  <si>
    <t>Nhắc: etax.</t>
  </si>
  <si>
    <t>https://techcombank.com/thong-tin/blog/cach-tinh-thue-thu-nhap-doanh-nghiep</t>
  </si>
  <si>
    <t>https://techcombank.com/thong-tin/blog/truy-thu-thue-ho-kinh-doanh</t>
  </si>
  <si>
    <t>https://techcombank.com/thong-tin/blog/kiem-tra-thue-ho-kinh-doanh</t>
  </si>
  <si>
    <t>các loại thuế doanh nghiệp phải nộp</t>
  </si>
  <si>
    <t>https://techcombank.com/thong-tin/blog/cach-nap-the-viettel</t>
  </si>
  <si>
    <t>https://techcombank.com/thong-tin/blog/tra-cuu-no-thue-ca-nhan</t>
  </si>
  <si>
    <t>CASA</t>
  </si>
  <si>
    <t>https://techcombank.com/thong-tin/blog/hoan-thue-thu-nhap-ca-nhan</t>
  </si>
  <si>
    <t>https://techcombank.com/thong-tin/blog/cach-tinh-tien-dien-sinh-hoat</t>
  </si>
  <si>
    <t>công ty sử dụng tài khoản cá nhân</t>
  </si>
  <si>
    <t>https://techcombank.com/thong-tin/blog/ke-khai-thue-ho-kinh-doanh-ca-the-online</t>
  </si>
  <si>
    <t>https://techcombank.com/thong-tin/blog/thue-thuong-mai-dien-tu</t>
  </si>
  <si>
    <t>https://techcombank.com/thong-tin/blog/cach-tinh-thue-thu-nhap-ca-nhan-2025</t>
  </si>
  <si>
    <t>cách tính thuế thu nhập doanh nghiệp</t>
  </si>
  <si>
    <t>https://techcombank.com/thong-tin/blog/ke-khai-thue-doanh-nghiep</t>
  </si>
  <si>
    <t>https://techcombank.com/thong-tin/blog/cach-kiem-tra-tai-khoan-ngan-hang</t>
  </si>
  <si>
    <t>cách nạp thẻ Viettel</t>
  </si>
  <si>
    <t>https://techcombank.com/thong-tin/blog/nop-thue-hai-quan</t>
  </si>
  <si>
    <t>https://techcombank.com/thong-tin/blog/cach-mo-tai-khoan</t>
  </si>
  <si>
    <t>https://techcombank.com/thong-tin/blog/tien-chuyen-vao-tai-khoan-co-bi-tinh-thue-khong</t>
  </si>
  <si>
    <t>cách tính tiền điện sinh hoạt</t>
  </si>
  <si>
    <t>https://techcombank.com/thong-tin/blog/ngan-hang-uy-tin</t>
  </si>
  <si>
    <t>https://techcombank.com/thong-tin/blog/kiem-tra-thue-thu-nhap-ca-nhan</t>
  </si>
  <si>
    <t>cách tính thuế thu nhập cá nhân</t>
  </si>
  <si>
    <t>https://techcombank.com/thong-tin/blog/lai-suat-vay-the-chap-so-do</t>
  </si>
  <si>
    <t>Nhắc: sổ đỏ.</t>
  </si>
  <si>
    <t>https://techcombank.com/thong-tin/blog/chuyen-khoan-thanh-cong-nhung-khong-nhan-duoc-tien</t>
  </si>
  <si>
    <t>cách kiểm tra tài khoản ngân hàng</t>
  </si>
  <si>
    <t>https://techcombank.com/thong-tin/blog/han-muc-vay-the-chap-so-do</t>
  </si>
  <si>
    <t>Bài liên kết tài khoản với eTax Mobile — người đọc làm xong sẽ cần bước nộp thuế.</t>
  </si>
  <si>
    <t>https://techcombank.com/thong-tin/blog/bao-nhieu-tuoi-duoc-mo-tai-khoan-ngan-hang</t>
  </si>
  <si>
    <t>nộp thuế điện tử</t>
  </si>
  <si>
    <t>Quyết toán TNCN online → nếu còn thiếu thuế phải nộp qua cổng thuế điện tử.</t>
  </si>
  <si>
    <t>Title/URL còn năm cũ (2025): nên cập nhật; câu chèn không ghi năm.</t>
  </si>
  <si>
    <t>cách mở tài khoản ngân hàng</t>
  </si>
  <si>
    <t>hướng dẫn nộp thuế điện tử</t>
  </si>
  <si>
    <t>Kê khai thuế HKD online, sau khi kê khai là bước nộp thuế điện tử.</t>
  </si>
  <si>
    <t>Làm thủ tục hoàn thuế trên eTax Mobile — cùng công cụ, chèn ở đoạn giới thiệu eTax.</t>
  </si>
  <si>
    <t>https://techcombank.com/thong-tin/blog/mo-tai-khoan-ngan-hang-duoi-18-tuoi</t>
  </si>
  <si>
    <t>Bài nộp thuế hải quan online — có thể dẫn sang hướng dẫn nộp thuế điện tử nội địa.</t>
  </si>
  <si>
    <t>ngân hàng uy tín</t>
  </si>
  <si>
    <t>https://techcombank.com/thong-tin/blog/hoan-thue-doanh-nghiep</t>
  </si>
  <si>
    <t>Nhắc: quyết toán thuế, hoàn thuế.</t>
  </si>
  <si>
    <t>https://techcombank.com/thong-tin/blog/nap-tien-vao-tai-khoan-ngan-hang</t>
  </si>
  <si>
    <t>Nhắc: etax, thuế điện tử.</t>
  </si>
  <si>
    <t>chuyển khoản thành công nhưng không nhận được tiền</t>
  </si>
  <si>
    <t>Nhắc: nộp thuế, etax, thuế điện tử.</t>
  </si>
  <si>
    <t>https://techcombank.com/thong-tin/blog/cach-sao-ke-tai-khoan-ngan-hang</t>
  </si>
  <si>
    <t>bao nhiêu tuổi được mở tài khoản ngân hàng</t>
  </si>
  <si>
    <t>https://techcombank.com/thong-tin/blog/ho-kinh-doanh-dong-thue-nhu-nao</t>
  </si>
  <si>
    <t>https://techcombank.com/thong-tin/blog/day-so-phat-tai-phat-loc</t>
  </si>
  <si>
    <t>Nhắc: kê khai thuế.</t>
  </si>
  <si>
    <t>mở tài khoản ngân hàng dưới 18 tuổi</t>
  </si>
  <si>
    <t>https://techcombank.com/thong-tin/blog/quyet-toan-thue-doanh-nghiep</t>
  </si>
  <si>
    <t>Nhắc: quyết toán thuế.</t>
  </si>
  <si>
    <t>nạp tiền vào tài khoản ngân hàng</t>
  </si>
  <si>
    <t>Nhắc: nộp thuế, thuế điện tử, kê khai thuế.</t>
  </si>
  <si>
    <t>Nhắc: nộp thuế, thuế điện tử.</t>
  </si>
  <si>
    <t>https://techcombank.com/thong-tin/blog/ten-dang-nhap-tai-khoan-ngan-hang-la-gi</t>
  </si>
  <si>
    <t>cách sao kê tài khoản ngân hàng</t>
  </si>
  <si>
    <t>https://techcombank.com/thong-tin/blog/thue-thu-nhap-ca-nhan</t>
  </si>
  <si>
    <t>dãy số phát tài phát lộc</t>
  </si>
  <si>
    <t>https://techcombank.com/thong-tin/blog/rut-tien-bang-ma-qr-la-gi-cach-thuc-hien-nhu-the-nao</t>
  </si>
  <si>
    <t>https://techcombank.com/thong-tin/blog/nhung-chi-phi-khong-duoc-tru-khi-tinh-thue-tndn</t>
  </si>
  <si>
    <t>Bài về chi phí không được trừ khi tính thuế TNDN — nhắc trực tiếp TNDN, người đọc cần biết thuế suất.</t>
  </si>
  <si>
    <t>thuế TNDN</t>
  </si>
  <si>
    <t>Quyết toán thuế DN gồm quyết toán TNDN — đoạn liệt kê loại thuế phải quyết toán chèn được.</t>
  </si>
  <si>
    <t>kiểm tra thuế thu nhập cá nhân</t>
  </si>
  <si>
    <t>Bài nguồn (nơi đặt link)</t>
  </si>
  <si>
    <t>Số link đi ra</t>
  </si>
  <si>
    <t>Trỏ về các trang đích</t>
  </si>
  <si>
    <t>https://techcombank.com/thong-tin/blog/doanh-nghiep-moi-thanh-lap-duoc-uu-dai-gi</t>
  </si>
  <si>
    <t>https://techcombank.com/thong-tin/blog/cach-quet-nfc-cccd-tren-iphone</t>
  </si>
  <si>
    <t>Kiểm tra (quá 3 link/bài)</t>
  </si>
  <si>
    <t>thuế suất thuế TNDN</t>
  </si>
  <si>
    <t>Bài ưu đãi thuế cho DN mới — ưu đãi chủ yếu là miễn/giảm thuế TNDN.</t>
  </si>
  <si>
    <t>https://techcombank.com/thong-tin/blog/loi-nhuan</t>
  </si>
  <si>
    <t>Bài lợi nhuận và công thức tính — đoạn lợi nhuận sau thuế chèn được link thuế TNDN.</t>
  </si>
  <si>
    <t>tên đăng nhập tài khoản ngân hàng</t>
  </si>
  <si>
    <t>Hoàn thuế DN; có thể nhắc trường hợp nộp thừa thuế TNDN.</t>
  </si>
  <si>
    <t>https://techcombank.com/thong-tin/blog/eco-card</t>
  </si>
  <si>
    <t>Nhắc: tndn, thu nhập doanh nghiệp, thuế doanh nghiệp.</t>
  </si>
  <si>
    <t>https://techcombank.com/thong-tin/blog/giai-dap-ve-thue-doanh-nghiep</t>
  </si>
  <si>
    <t>https://techcombank.com/thong-tin/blog/cic-la-gi</t>
  </si>
  <si>
    <t>Nhắc: thuế doanh nghiệp.</t>
  </si>
  <si>
    <t>CCB</t>
  </si>
  <si>
    <t>thuế thu nhập cá nhân</t>
  </si>
  <si>
    <t>https://techcombank.com/thong-tin/blog/loi-nhuan-rong</t>
  </si>
  <si>
    <t>Nhắc: lợi nhuận.</t>
  </si>
  <si>
    <t>https://techcombank.com/thong-tin/blog/kiem-tra-ma-so-thue-doanh-nghiep</t>
  </si>
  <si>
    <t>https://techcombank.com/thong-tin/blog/rut-tien-mat-tu-the-tin-dung</t>
  </si>
  <si>
    <t>rút tiền bằng mã QR</t>
  </si>
  <si>
    <t>Nhắc: tndn, thuế doanh nghiệp.</t>
  </si>
  <si>
    <t>https://techcombank.com/thong-tin/blog/tim-hieu-ve-chinh-sach-thue-moi</t>
  </si>
  <si>
    <t>https://techcombank.com/thong-tin/blog/lam-the-tin-dung</t>
  </si>
  <si>
    <t>Nhắc: tndn.</t>
  </si>
  <si>
    <t>https://techcombank.com/thong-tin/blog/thi-truong-trai-phieu-am-tro-lai-nha-dau-tu-san-sang-cho-nhung-co-hoi-sinh-loi-moi</t>
  </si>
  <si>
    <t>quét NFC CCCD trên iPhone</t>
  </si>
  <si>
    <t>https://techcombank.com/khach-hang-ca-nhan/chi-tieu/the/the-tin-dung/techcombank-everyday</t>
  </si>
  <si>
    <t>https://techcombank.com/thong-tin/blog/kinh-nghiem-mua-vang-tich-tru</t>
  </si>
  <si>
    <t>https://techcombank.com/thong-tin/blog/the-tin-dung-hoan-tien</t>
  </si>
  <si>
    <t>eco card</t>
  </si>
  <si>
    <t>https://techcombank.com/thong-tin/blog/quan-ly-tai-chinh-doanh-nghiep-la-gi</t>
  </si>
  <si>
    <t>https://techcombank.com/thong-tin/blog/cach-huy-the-tin-dung</t>
  </si>
  <si>
    <t>https://techcombank.com/thong-tin/blog/nha-dau-tu-giao-dich-trai-phieu-truc-tuyen-tang-manh-tro-lai</t>
  </si>
  <si>
    <t>CIC là gì</t>
  </si>
  <si>
    <t>https://techcombank.com/thong-tin/blog/gia-chung-chi-quy-la-gi</t>
  </si>
  <si>
    <t>https://techcombank.com/thong-tin/blog/xep-hang-tin-dung</t>
  </si>
  <si>
    <t>https://techcombank.com/thong-tin/blog/lai-suat-tiet-kiem</t>
  </si>
  <si>
    <t>rút tiền mặt từ thẻ tín dụng</t>
  </si>
  <si>
    <t>https://techcombank.com/thong-tin/blog/lai-suat-chung-chi-quy</t>
  </si>
  <si>
    <t>https://techcombank.com/thong-tin/blog/cach-thanh-toan-the-tin-dung</t>
  </si>
  <si>
    <t>https://techcombank.com/thong-tin/blog/ho-kinh-doanh-can-gi-o-tai-khoan-ngan-hang</t>
  </si>
  <si>
    <t>https://techcombank.com/thong-tin/blog/danh-muc-dau-tu</t>
  </si>
  <si>
    <t>làm thẻ tín dụng</t>
  </si>
  <si>
    <t>https://techcombank.com/thong-tin/blog/chung-chi-tien-gui-la-gi</t>
  </si>
  <si>
    <t>CD</t>
  </si>
  <si>
    <t>https://techcombank.com/thong-tin/blog/mua-chung-chi-quy</t>
  </si>
  <si>
    <t>thẻ tín dụng Techcombank Everyday</t>
  </si>
  <si>
    <t>https://techcombank.com/thong-tin/blog/cach-tinh-loi-nhuan-chung-chi-tien-gui</t>
  </si>
  <si>
    <t>https://techcombank.com/thong-tin/blog/lai-suat-chung-chi-tien-gui-cac-ngan-hang</t>
  </si>
  <si>
    <t>https://techcombank.com/thong-tin/blog/dau-co-va-dau-tu</t>
  </si>
  <si>
    <t>https://techcombank.com/thong-tin/blog/co-50-trieu-nen-mua-vang-hay-gui-tiet-kiem</t>
  </si>
  <si>
    <t>thẻ tín dụng hoàn tiền</t>
  </si>
  <si>
    <t>https://techcombank.com/thong-tin/blog/1-te-bang-bao-nhieu-tien-viet-nam</t>
  </si>
  <si>
    <t>FX</t>
  </si>
  <si>
    <t>https://techcombank.com/thong-tin/blog/toi-uu-hoa-chi-phi-trong-doanh-nghiep</t>
  </si>
  <si>
    <t>cách hủy thẻ tín dụng</t>
  </si>
  <si>
    <t>https://techcombank.com/thong-tin/blog/1-dong-do-la-my-bang-bao-nhieu-tien-viet-nam</t>
  </si>
  <si>
    <t>https://techcombank.com/thong-tin/blog/ngoai-hoi-la-gi</t>
  </si>
  <si>
    <t>Kê khai thuế DN — thuế GTGT là loại kê khai định kỳ phổ biến nhất.</t>
  </si>
  <si>
    <t>xếp hạng tín dụng</t>
  </si>
  <si>
    <t>thuế giá trị gia tăng</t>
  </si>
  <si>
    <t>Hoàn thuế DN chủ yếu là hoàn thuế GTGT — người đọc cần hiểu VAT là gì.</t>
  </si>
  <si>
    <t>https://techcombank.com/thong-tin/blog/tien-nhat</t>
  </si>
  <si>
    <t>https://techcombank.com/thong-tin/blog/chuyen-doi-hoa-don-dien-tu</t>
  </si>
  <si>
    <t>thuế GTGT là gì</t>
  </si>
  <si>
    <t>Hóa đơn điện tử thể hiện thuế GTGT — chèn ở đoạn nói về nội dung hóa đơn.</t>
  </si>
  <si>
    <t>Thuế TMĐT cho HKD gồm thuế GTGT + TNCN — chèn khi nhắc thuế GTGT.</t>
  </si>
  <si>
    <t>cách thanh toán thẻ tín dụng</t>
  </si>
  <si>
    <t>https://techcombank.com/thong-tin/blog/1-yen-bang-bao-nhieu-tien-viet-nam</t>
  </si>
  <si>
    <t>https://techcombank.com/thong-tin/blog/cach-tra-cuu-hoa-don-dien-tu</t>
  </si>
  <si>
    <t>Tra cứu hóa đơn điện tử; có đoạn nói thông tin thuế suất GTGT trên hóa đơn thì chèn được. (Liên quan yếu – bản chặt đã loại.)</t>
  </si>
  <si>
    <t>https://techcombank.com/thong-tin/blog/cach-tinh-thue-ho-kinh-doanh-nho-le</t>
  </si>
  <si>
    <t>Nhắc: gtgt.</t>
  </si>
  <si>
    <t>chứng chỉ tiền gửi là gì</t>
  </si>
  <si>
    <t>https://techcombank.com/thong-tin/blog/nhung-ho-kinh-doanh-duoc-mien-thue</t>
  </si>
  <si>
    <t>https://techcombank.com/thong-tin/blog/1-won-bang-bao-nhieu-tien-viet</t>
  </si>
  <si>
    <t>https://techcombank.com/thong-tin/blog/hoa-don-dien-tu</t>
  </si>
  <si>
    <t>Nhắc: hóa đơn.</t>
  </si>
  <si>
    <t>lãi suất chứng chỉ tiền gửi các ngân hàng</t>
  </si>
  <si>
    <t>https://techcombank.com/thong-tin/blog/tien-dai-loan</t>
  </si>
  <si>
    <t>https://techcombank.com/thong-tin/blog/voucher-phuc-long</t>
  </si>
  <si>
    <t>Nhắc: hoá đơn.</t>
  </si>
  <si>
    <t>https://techcombank.com/thong-tin/blog/hoa-don-dien-tu-ho-kinh-doanh</t>
  </si>
  <si>
    <t>1 Tệ bằng bao nhiêu tiền Việt</t>
  </si>
  <si>
    <t>Nhắc: hóa đơn, hoá đơn.</t>
  </si>
  <si>
    <t>https://techcombank.com/thong-tin/blog/1-man-bang-bao-nhieu-tien-viet</t>
  </si>
  <si>
    <t>1 đô la Mỹ bằng bao nhiêu tiền Việt</t>
  </si>
  <si>
    <t>https://techcombank.com/thong-tin/blog/tien-thai-lan</t>
  </si>
  <si>
    <t>https://techcombank.com/thong-tin/blog/one-stop-shop</t>
  </si>
  <si>
    <t>tiền Nhật</t>
  </si>
  <si>
    <t>https://techcombank.com/thong-tin/blog/may-tinh-tien</t>
  </si>
  <si>
    <t>https://techcombank.com/thong-tin/blog/1-trieu-do-bang-bao-nhieu-tien-viet</t>
  </si>
  <si>
    <t>https://techcombank.com/thong-tin/blog/phan-mem-xuat-hoa-don-dien-tu</t>
  </si>
  <si>
    <t>https://techcombank.com/thong-tin/blog/the-tin-dung-co-chuyen-khoan-duoc-khong</t>
  </si>
  <si>
    <t>https://techcombank.com/thong-tin/blog/1000-won-bang-bao-nhieu-tien-viet</t>
  </si>
  <si>
    <t>1 Yên bằng bao nhiêu tiền Việt</t>
  </si>
  <si>
    <t>https://techcombank.com/thong-tin/blog/app-dong-tien-dien-online</t>
  </si>
  <si>
    <t>https://techcombank.com/thong-tin/blog/cach-nhan-tien-tu-nuoc-ngoai-ve-viet-nam</t>
  </si>
  <si>
    <t>https://techcombank.com/thong-tin/blog/tra-cuu-hoa-don-nuoc</t>
  </si>
  <si>
    <t>1 Won bằng bao nhiêu tiền Việt</t>
  </si>
  <si>
    <t>https://techcombank.com/thong-tin/blog/tra-cuu-hoa-don-tien-dien</t>
  </si>
  <si>
    <t>https://techcombank.com/thong-tin/blog/doi-tien-do-o-dau</t>
  </si>
  <si>
    <t>https://techcombank.com/thong-tin/blog/thanh-toan-hoa-don-tieu-dung</t>
  </si>
  <si>
    <t>tiền Đài Loan</t>
  </si>
  <si>
    <t>https://techcombank.com/thong-tin/blog/cach-huy-thanh-toan-tien-dien</t>
  </si>
  <si>
    <t>https://techcombank.com/thong-tin/blog/vay-ngan-hang-1-ty-moi-thang-tra-bao-nhieu</t>
  </si>
  <si>
    <t>Home Loan</t>
  </si>
  <si>
    <t>https://techcombank.com/thong-tin/blog/app-chia-tien</t>
  </si>
  <si>
    <t>1 Man bằng bao nhiêu tiền Việt</t>
  </si>
  <si>
    <t>Bài tra mã số thuế DN — tra nợ thuế dùng chính mã số thuế, nhu cầu nối tiếp.</t>
  </si>
  <si>
    <t>https://techcombank.com/thong-tin/blog/traveloka-voucher</t>
  </si>
  <si>
    <t>Loyalty</t>
  </si>
  <si>
    <t>kiểm tra nợ thuế doanh nghiệp</t>
  </si>
  <si>
    <t>Cùng intent tra cứu nợ thuế, khác loại thuế — dẫn sang nợ thuế nội địa của DN.</t>
  </si>
  <si>
    <t>tiền Thái Lan</t>
  </si>
  <si>
    <t>tra cứu nợ thuế theo mã số thuế</t>
  </si>
  <si>
    <t>Trước/sau quyết toán DN cần kiểm tra số thuế còn nợ.</t>
  </si>
  <si>
    <t>Sau kê khai, DN kiểm tra nghĩa vụ/nợ thuế.</t>
  </si>
  <si>
    <t>Merchant</t>
  </si>
  <si>
    <t>Bài anh em (HKD); chèn ở đoạn so sánh nếu có nhắc doanh nghiệp.</t>
  </si>
  <si>
    <t>1 triệu đô bằng bao nhiêu tiền Việt</t>
  </si>
  <si>
    <t>https://techcombank.com/thong-tin/blog/mo-hinh-kinh-doanh-la-gi</t>
  </si>
  <si>
    <t>1000 Won bằng bao nhiêu tiền Việt</t>
  </si>
  <si>
    <t>Nhắc: nợ thuế.</t>
  </si>
  <si>
    <t>https://techcombank.com/thong-tin/blog/gui-ma-qr-ngan-hang</t>
  </si>
  <si>
    <t>Bài giải đáp về thuế DN nói chung — đúng chủ đề tổng quan.</t>
  </si>
  <si>
    <t>cách nhận tiền từ nước ngoài về Việt Nam</t>
  </si>
  <si>
    <t>https://techcombank.com/thong-tin/blog/hieu-hiet-ve-tuan-thu-thue-cho-cac-doanh-nghiep-khoi-nghiep</t>
  </si>
  <si>
    <t>https://techcombank.com/thong-tin/blog/mo-tai-khoan-ho-kinh-doanh</t>
  </si>
  <si>
    <t>thuế doanh nghiệp</t>
  </si>
  <si>
    <t>Tuân thủ thuế cho DN khởi nghiệp — cần biết DN phải nộp những khoản thuế nào.</t>
  </si>
  <si>
    <t>https://techcombank.com/thong-tin/blog/thue-phi-co-dinh-khi-chuyen-doi-tu-ho-kinh-doanh-len-doanh-nghiep</t>
  </si>
  <si>
    <t>doanh nghiệp phải nộp những loại thuế nào</t>
  </si>
  <si>
    <t>Bài các khoản thuế, phí khi lên DN — liên kết tự nhiên sang danh sách thuế DN.</t>
  </si>
  <si>
    <t>đổi tiền đô ở đâu</t>
  </si>
  <si>
    <t>https://techcombank.com/thong-tin/blog/thue-doanh-nghiep-2025</t>
  </si>
  <si>
    <t>Bài tin chính sách thuế phí có lợi cho DN — dẫn sang bài tổng hợp các khoản thuế.</t>
  </si>
  <si>
    <t>https://techcombank.com/thong-tin/blog/dieu-kien-thanh-lap-doanh-nghiep</t>
  </si>
  <si>
    <t>Sau khi thành lập DN phát sinh nghĩa vụ thuế — chèn ở đoạn lưu ý sau thành lập. (Liên quan yếu – bản chặt đã loại.)</t>
  </si>
  <si>
    <t>vay ngân hàng 1 tỷ mỗi tháng trả bao nhiêu</t>
  </si>
  <si>
    <t>https://techcombank.com/thong-tin/blog/cach-tinh-lai-vay-ngan-hang</t>
  </si>
  <si>
    <t>https://techcombank.com/thong-tin/blog/huong-dan-dang-ky-thanh-lap-doanh-nghiep</t>
  </si>
  <si>
    <t>Secured Lending</t>
  </si>
  <si>
    <t>Nhắc: thành lập doanh nghiệp.</t>
  </si>
  <si>
    <t>voucher Traveloka</t>
  </si>
  <si>
    <t>https://techcombank.com/thong-tin/blog/dang-ky-thanh-lap-doanh-nghiep</t>
  </si>
  <si>
    <t>hộ kinh doanh đóng thuế như thế nào</t>
  </si>
  <si>
    <t>https://techcombank.com/thong-tin/blog/chinh-sach-thue-moi</t>
  </si>
  <si>
    <t>Nhắc: chính sách thuế.</t>
  </si>
  <si>
    <t>https://techcombank.com/thong-tin/blog/ho-so-dang-ky-thanh-lap-doanh-nghiep</t>
  </si>
  <si>
    <t>mô hình kinh doanh là gì</t>
  </si>
  <si>
    <t>TD</t>
  </si>
  <si>
    <t>https://techcombank.com/thong-tin/blog/chuan-bi-cho-doanh-nghiep-khoi-nghiep-truoc-nhung-thay-doi-ve-thue</t>
  </si>
  <si>
    <t>Nhắc: chính sách thuế, doanh nghiệp khởi nghiệp.</t>
  </si>
  <si>
    <t>gửi mã QR ngân hàng</t>
  </si>
  <si>
    <t>https://techcombank.com/thong-tin/blog/cach-tinh-lai-suat-tien-gui-tiet-kiem</t>
  </si>
  <si>
    <t>mở tài khoản hộ kinh doanh</t>
  </si>
  <si>
    <t>https://techcombank.com/thong-tin/blog/dang-ky-thanh-lap-doanh-nghiep-online</t>
  </si>
  <si>
    <t>https://techcombank.com/thong-tin/blog/rut-tien-tiet-kiem-truoc-thoi-han</t>
  </si>
  <si>
    <t>cách tính thuế hộ kinh doanh nhỏ lẻ</t>
  </si>
  <si>
    <t>https://techcombank.com/thong-tin/blog/thu-tuc-thanh-lap-doanh-nghiep</t>
  </si>
  <si>
    <t>https://techcombank.com/thong-tin/blog/so-tiet-kiem-ngan-hang</t>
  </si>
  <si>
    <t>https://techcombank.com/thong-tin/blog/mo-tai-khoan-doanh-nghiep</t>
  </si>
  <si>
    <t>Bài tài khoản DN là gì — câu hỏi 'có dùng TK cá nhân thay được không' là nhu cầu kế tiếp.</t>
  </si>
  <si>
    <t>cách tính lãi vay ngân hàng</t>
  </si>
  <si>
    <t>https://techcombank.com/thong-tin/blog/luu-y-khi-chuyen-tien-vao-tai-khoan-cong-ty</t>
  </si>
  <si>
    <t>công ty dùng tài khoản cá nhân có được không</t>
  </si>
  <si>
    <t>Lưu ý chuyển tiền vào TK công ty — liên quan trực tiếp quy định dùng TK cá nhân.</t>
  </si>
  <si>
    <t>https://techcombank.com/thong-tin/blog/cach-tiet-kiem-tien</t>
  </si>
  <si>
    <t>https://techcombank.com/thong-tin/blog/cach-su-dung-tai-khoan-cong-ty</t>
  </si>
  <si>
    <t>Cách dùng TK công ty cho giao dịch — đối lập tự nhiên với dùng TK cá nhân.</t>
  </si>
  <si>
    <t>lãi suất vay thế chấp sổ đỏ</t>
  </si>
  <si>
    <t>Tiền vào TK cá nhân có bị tính thuế — rủi ro khi công ty dùng TK cá nhân nhận tiền.</t>
  </si>
  <si>
    <t>https://techcombank.com/thong-tin/blog/rui-ro-khi-gui-tiet-kiem-online</t>
  </si>
  <si>
    <t>https://techcombank.com/thong-tin/blog/tra-luong-tien-mat</t>
  </si>
  <si>
    <t>Quy định trả lương — đoạn về hình thức chi trả có thể nhắc TK cá nhân/TK công ty. (Liên quan yếu – bản chặt đã loại.)</t>
  </si>
  <si>
    <t>thủ tục xóa thế chấp</t>
  </si>
  <si>
    <t>https://techcombank.com/thong-tin/blog/nop-tien-mat-vao-tai-khoan-cong-ty</t>
  </si>
  <si>
    <t>Nhắc: tài khoản công ty.</t>
  </si>
  <si>
    <t>https://techcombank.com/cong-cu-tien-ich/cong-cu-tinh-toan/bang-tinh-lai-suat-vay</t>
  </si>
  <si>
    <t>https://techcombank.com/thong-tin/blog/dong-tai-khoan-ngan-hang-cong-ty</t>
  </si>
  <si>
    <t>Tool</t>
  </si>
  <si>
    <t>lãi suất tiết kiệm</t>
  </si>
  <si>
    <t>Nhắc: tài khoản công ty, tài khoản ngân hàng công ty.</t>
  </si>
  <si>
    <t>https://techcombank.com/thong-tin/blog/tai-khoan-doanh-nghiep-co-the-khong</t>
  </si>
  <si>
    <t>https://techcombank.com/cong-cu-tien-ich/cong-cu-tinh-toan/bang-tinh-lai-suat-tiet-kiem</t>
  </si>
  <si>
    <t>Nhắc: tài khoản doanh nghiệp.</t>
  </si>
  <si>
    <t>https://techcombank.com/thong-tin/blog/rut-tien-mat-tu-tai-khoan-doanh-nghiep</t>
  </si>
  <si>
    <t>cách tính lãi suất tiền gửi tiết kiệm</t>
  </si>
  <si>
    <t>https://techcombank.com/thong-tin/blog/sao-ke-tai-khoan-doanh-nghiep</t>
  </si>
  <si>
    <t>https://techcombank.com/thong-tin/blog/app-vay-tien-nhanh</t>
  </si>
  <si>
    <t>Unsecured Loan</t>
  </si>
  <si>
    <t>https://techcombank.com/thong-tin/blog/mau-mo-tai-khoan-doanh-nghiep-techcombank</t>
  </si>
  <si>
    <t>https://techcombank.com/thong-tin/blog/tai-khoan-cong-ty-co-chuyen-online-duoc-khong</t>
  </si>
  <si>
    <t>https://techcombank.com/thong-tin/blog/lai-suat-vay-ngan-hang</t>
  </si>
  <si>
    <t>rút tiền tiết kiệm trước thời hạn</t>
  </si>
  <si>
    <t>Nhắc: tài khoản công ty, tài khoản cá nhân.</t>
  </si>
  <si>
    <t>https://techcombank.com/thong-tin/blog/chi-phi-mo-tai-khoan-ngan-hang-cho-cong-ty</t>
  </si>
  <si>
    <t>https://techcombank.com/thong-tin/blog/vay-thau-chi-la-gi</t>
  </si>
  <si>
    <t>Chi phí không được trừ ảnh hưởng trực tiếp công thức tính TNDN.</t>
  </si>
  <si>
    <t>https://techcombank.com/thong-tin/blog/khau-hao</t>
  </si>
  <si>
    <t>sổ tiết kiệm ngân hàng</t>
  </si>
  <si>
    <t>cách tính thuế TNDN</t>
  </si>
  <si>
    <t>Khấu hao TSCĐ là chi phí được trừ khi tính thu nhập chịu thuế TNDN.</t>
  </si>
  <si>
    <t>công thức tính thuế TNDN</t>
  </si>
  <si>
    <t>Lợi nhuận ròng = lợi nhuận trước thuế − thuế TNDN; chèn ở công thức.</t>
  </si>
  <si>
    <t>https://techcombank.com/thong-tin/blog/kiem-tra-no-xau</t>
  </si>
  <si>
    <t>https://techcombank.com/thong-tin/blog/cach-doc-bao-cao-tai-chinh</t>
  </si>
  <si>
    <t>Báo cáo tài chính có dòng chi phí thuế TNDN.</t>
  </si>
  <si>
    <t>cách tiết kiệm tiền</t>
  </si>
  <si>
    <t>Bài thay đổi về thuế cho DN khởi nghiệp, chèn nếu có đoạn về TNDN. (Liên quan yếu – bản chặt đã loại.)</t>
  </si>
  <si>
    <t>https://techcombank.com/thong-tin/blog/nen-vay-tin-chap-o-dau</t>
  </si>
  <si>
    <t>https://techcombank.com/thong-tin/blog/khau-hao-la-gi</t>
  </si>
  <si>
    <t>Nhắc: khấu hao.</t>
  </si>
  <si>
    <t>rủi ro khi gửi tiết kiệm online</t>
  </si>
  <si>
    <t>https://techcombank.com/thong-tin/blog/no-xau-la-gi</t>
  </si>
  <si>
    <t>Nhắc: tndn, thu nhập doanh nghiệp.</t>
  </si>
  <si>
    <t>https://techcombank.com/thong-tin/blog/vay-tin-chap-khong-tra-duoc-co-sao-khong</t>
  </si>
  <si>
    <t>công cụ tính lãi vay</t>
  </si>
  <si>
    <t>https://techcombank.com/thong-tin/blog/phuong-phap-dau-tu-chung-chi-quy</t>
  </si>
  <si>
    <t>Wealth</t>
  </si>
  <si>
    <t>công cụ tính lãi tiết kiệm</t>
  </si>
  <si>
    <t>TỔNG</t>
  </si>
  <si>
    <t/>
  </si>
  <si>
    <t>app vay tiền nhanh</t>
  </si>
  <si>
    <t>lãi suất vay ngân hàng</t>
  </si>
  <si>
    <t>https://techcombank.com/thong-tin/blog/cach-nap-the</t>
  </si>
  <si>
    <t>Bài nạp thẻ cho các nhà mạng — mục Viettel nên dẫn sang bài chi tiết.</t>
  </si>
  <si>
    <t>https://techcombank.com/thong-tin/blog/nap-tien-dien-thoai-online</t>
  </si>
  <si>
    <t>vay thấu chi là gì</t>
  </si>
  <si>
    <t>nạp thẻ Viettel</t>
  </si>
  <si>
    <t>Nạp tiền điện thoại online — chèn ở đoạn ví dụ nhà mạng Viettel.</t>
  </si>
  <si>
    <t>https://techcombank.com/thong-tin/blog/thanh-toan-tra-sau-viettel-bang-tai-khoan-ngan-hang</t>
  </si>
  <si>
    <t>nạp thẻ cào Viettel</t>
  </si>
  <si>
    <t>Cùng nhà mạng Viettel (trả sau) — dẫn sang nạp thẻ trả trước.</t>
  </si>
  <si>
    <t>https://techcombank.com/thong-tin/blog/cach-nap-the-vina</t>
  </si>
  <si>
    <t>kiểm tra nợ xấu</t>
  </si>
  <si>
    <t>Bài anh em nhà mạng khác; chèn câu ngắn so sánh/xem thêm Viettel.</t>
  </si>
  <si>
    <t>https://techcombank.com/thong-tin/blog/cach-nap-the-mobi</t>
  </si>
  <si>
    <t>Bài anh em nhà mạng MobiFone; chèn câu ngắn xem thêm Viettel.</t>
  </si>
  <si>
    <t>https://techcombank.com/thong-tin/blog/mat-so-dien-thoai-dang-ky-tai-khoan-ngan-hang</t>
  </si>
  <si>
    <t>Nhắc: nhà mạng.</t>
  </si>
  <si>
    <t>nên vay tín chấp ở đâu</t>
  </si>
  <si>
    <t>https://techcombank.com/thong-tin/blog/thanh-toan-tien-internet-online</t>
  </si>
  <si>
    <t>Nhắc: viettel.</t>
  </si>
  <si>
    <t>https://techcombank.com/thong-tin/blog/gia-dien-sinh-hoat</t>
  </si>
  <si>
    <t>Bài giá điện bậc thang — người đọc cần cách tính ra hóa đơn.</t>
  </si>
  <si>
    <t>nợ xấu là gì</t>
  </si>
  <si>
    <t>cách tính tiền điện</t>
  </si>
  <si>
    <t>Tra hóa đơn tiền điện — muốn đối chiếu số tiền cần biết cách tính.</t>
  </si>
  <si>
    <t>https://techcombank.com/thong-tin/blog/cach-dong-tien-dien-qua-tai-khoan-ngan-hang</t>
  </si>
  <si>
    <t>giá điện bậc thang</t>
  </si>
  <si>
    <t>Đóng tiền điện — trước khi đóng người đọc hay kiểm tra số tiền.</t>
  </si>
  <si>
    <t>App đóng tiền điện; chèn ở đoạn mở đầu/lưu ý.</t>
  </si>
  <si>
    <t>vay tín chấp không trả được có sao không</t>
  </si>
  <si>
    <t>https://techcombank.com/thong-tin/blog/thanh-toan-tien-dien-bang-the-tin-dung</t>
  </si>
  <si>
    <t>Thanh toán tiền điện bằng thẻ tín dụng; chèn ở đoạn về số tiền hóa đơn.</t>
  </si>
  <si>
    <t>Nhắc: hóa đơn điện.</t>
  </si>
  <si>
    <t>Nhắc: hoá đơn điện, hóa đơn điện.</t>
  </si>
  <si>
    <t>phương pháp đầu tư chứng chỉ quỹ</t>
  </si>
  <si>
    <t>Nhắc: tiền điện, evn.</t>
  </si>
  <si>
    <t>Nhắc: tiền điện.</t>
  </si>
  <si>
    <t>Quyết toán TNCN cần tính lại số thuế cả năm.</t>
  </si>
  <si>
    <t>cách tính thuế TNCN</t>
  </si>
  <si>
    <t>Hoàn thuế TNCN xuất phát từ việc tính ra số thuế nộp thừa.</t>
  </si>
  <si>
    <t>https://techcombank.com/thong-tin/blog/dang-ky-ma-so-thue-ca-nhan</t>
  </si>
  <si>
    <t>tính thuế TNCN</t>
  </si>
  <si>
    <t>Đăng ký MST cá nhân để kê khai, tính thuế TNCN.</t>
  </si>
  <si>
    <t>URL đích</t>
  </si>
  <si>
    <t>Số bài blog chèn link</t>
  </si>
  <si>
    <t>Số bài blog chèn link trong thân bài</t>
  </si>
  <si>
    <t>https://techcombank.com/thong-tin/blog/sao-ke-luong</t>
  </si>
  <si>
    <t>Bài blog chứa link</t>
  </si>
  <si>
    <t>Sao kê lương dùng chứng minh thu nhập; chèn ở đoạn thu nhập chịu thuế. (Liên quan yếu – bản chặt đã loại.)</t>
  </si>
  <si>
    <t>https://techcombank.com/thong-tin/blog/luong-huu</t>
  </si>
  <si>
    <t>Lương hưu có/không chịu thuế TNCN — chèn nếu bài có đoạn này. (Liên quan yếu – bản chặt đã loại.)</t>
  </si>
  <si>
    <t>Nhắc: tncn.</t>
  </si>
  <si>
    <t>Nhắc: lương.</t>
  </si>
  <si>
    <t>Nhắc: thu nhập cá nhân.</t>
  </si>
  <si>
    <t>https://techcombank.com/thong-tin/blog/app-tra-luong</t>
  </si>
  <si>
    <t>https://techcombank.com/thong-tin/blog/chinh-sach-tang-luong-huu</t>
  </si>
  <si>
    <t>Bao nhiêu tuổi được mở tài khoản ngân hàng?</t>
  </si>
  <si>
    <t>https://techcombank.com/thong-tin/blog/vay-the-chap-qua-luong</t>
  </si>
  <si>
    <t>Nhắc: thu nhập cá nhân, tncn.</t>
  </si>
  <si>
    <t>https://techcombank.com/thong-tin/blog/chi-tra-luong-huu</t>
  </si>
  <si>
    <t>https://techcombank.com/thong-tin/blog/hoc-cach-tiet-kiem-tien-luong</t>
  </si>
  <si>
    <t>https://techcombank.com/thong-tin/blog/so-tai-khoan-ngan-hang</t>
  </si>
  <si>
    <t>Số TK là gì &amp; cách kiểm tra — trùng nhu cầu, dẫn sang bài chi tiết 3 cách.</t>
  </si>
  <si>
    <t>https://techcombank.com/thong-tin/blog/so-du-kha-dung</t>
  </si>
  <si>
    <t>kiểm tra số dư tài khoản</t>
  </si>
  <si>
    <t>Số dư khả dụng — người đọc cần cách kiểm tra số dư.</t>
  </si>
  <si>
    <t>https://techcombank.com/thong-tin/blog/ma-giao-dich-la-gi</t>
  </si>
  <si>
    <t>kiểm tra tài khoản ngân hàng</t>
  </si>
  <si>
    <t>Kiểm tra mã giao dịch — chèn ở đoạn kiểm tra lịch sử giao dịch.</t>
  </si>
  <si>
    <t>https://techcombank.com/thong-tin/blog/sms-banking</t>
  </si>
  <si>
    <t>SMS Banking là một kênh kiểm tra biến động số dư.</t>
  </si>
  <si>
    <t>https://techcombank.com/thong-tin/blog/cach-kiem-tra-tai-khoan-ngan-hang-cua-cong-ty</t>
  </si>
  <si>
    <t>Bài anh em cho TK công ty; chèn câu dẫn cho TK cá nhân.</t>
  </si>
  <si>
    <t>https://techcombank.com/thong-tin/blog/co-nen-mua-so-tai-khoan-ngan-hang-dep</t>
  </si>
  <si>
    <t>Nhắc: số tài khoản.</t>
  </si>
  <si>
    <t>https://techcombank.com/thong-tin/blog/cdm</t>
  </si>
  <si>
    <t>Nhắc: số dư.</t>
  </si>
  <si>
    <t>https://techcombank.com/thong-tin/blog/lo-so-tai-khoan-ngan-hang-co-sao-khong</t>
  </si>
  <si>
    <t>https://techcombank.com/thong-tin/blog/cach-chon-so-tai-khoan-dep</t>
  </si>
  <si>
    <t>https://techcombank.com/thong-tin/blog/8868</t>
  </si>
  <si>
    <t>https://techcombank.com/thong-tin/blog/66666-co-y-nghia-gi</t>
  </si>
  <si>
    <t>https://techcombank.com/thong-tin/blog/so-8386</t>
  </si>
  <si>
    <t>https://techcombank.com/thong-tin/blog/so-the-ngan-hang</t>
  </si>
  <si>
    <t>https://techcombank.com/thong-tin/blog/so-tai-khoan-dep</t>
  </si>
  <si>
    <t>https://techcombank.com/thong-tin/blog/99999-co-y-nghia-gi</t>
  </si>
  <si>
    <t>https://techcombank.com/thong-tin/blog/so-du-tai-khoan-thanh-toan</t>
  </si>
  <si>
    <t>https://techcombank.com/thong-tin/blog/so-du-tien-gui-la-gi</t>
  </si>
  <si>
    <t>Số URL đã có ít nhất 1 bài blog chèn link</t>
  </si>
  <si>
    <t>Số URL chưa có bài blog nào chèn link</t>
  </si>
  <si>
    <t>Số URL có link trong thân bài blog</t>
  </si>
  <si>
    <t>https://techcombank.com/thong-tin/blog/so-6868</t>
  </si>
  <si>
    <t>https://techcombank.com/thong-tin/blog/y-nghia-so-68</t>
  </si>
  <si>
    <t>https://techcombank.com/thong-tin/blog/cach-chuyen-tien</t>
  </si>
  <si>
    <t>https://techcombank.com/thong-tin/blog/vip-ngan-hang</t>
  </si>
  <si>
    <t>https://techcombank.com/thong-tin/blog/tai-khoan-ngan-hang-la-gi</t>
  </si>
  <si>
    <t>Bài định nghĩa TK ngân hàng, kết thúc tự nhiên bằng cách mở.</t>
  </si>
  <si>
    <t>https://techcombank.com/thong-tin/blog/tai-khoan-thanh-toan-la-gi</t>
  </si>
  <si>
    <t>mở tài khoản ngân hàng online</t>
  </si>
  <si>
    <t>Có mục điều kiện, thủ tục mở TK thanh toán.</t>
  </si>
  <si>
    <t>https://techcombank.com/thong-tin/blog/mo-tai-khoan-ngan-hang-online-co-an-toan-khong</t>
  </si>
  <si>
    <t>tạo tài khoản ngân hàng</t>
  </si>
  <si>
    <t>Băn khoăn an toàn khi mở online → dẫn sang hướng dẫn mở.</t>
  </si>
  <si>
    <t>https://techcombank.com/thong-tin/blog/mo-tai-khoan-ngan-hang-co-mat-phi-khong</t>
  </si>
  <si>
    <t>Hỏi phí mở TK → nhu cầu kế tiếp là cách mở. Bài cach-mo-tai-khoan đã link sang bài này (chiều ngược lại).</t>
  </si>
  <si>
    <t>https://techcombank.com/thong-tin/blog/1-cmnd-dang-ky-duoc-may-tai-khoan-ngan-hang</t>
  </si>
  <si>
    <t>Quy định số TK/CCCD; chèn ở đoạn hướng dẫn đăng ký thêm TK.</t>
  </si>
  <si>
    <t>Nhắc: mở tài khoản.</t>
  </si>
  <si>
    <t>Nhắc: tài khoản ngân hàng.</t>
  </si>
  <si>
    <t>https://techcombank.com/thong-tin/blog/cach-lien-ket-epass-voi-tai-khoan-ngan-hang</t>
  </si>
  <si>
    <t>https://techcombank.com/thong-tin/blog/khai-bao-tai-khoan-ngan-hang-voi-co-quan-thue</t>
  </si>
  <si>
    <t>https://techcombank.com/thong-tin/blog/nen-mo-tai-khoan-ngan-hang-nao-cho-doanh-nghiep</t>
  </si>
  <si>
    <t>Nhắc: mở tài khoản, tài khoản ngân hàng.</t>
  </si>
  <si>
    <t>https://techcombank.com/thong-tin/blog/mo-them-tai-khoan-ngan-hang-cho-cong-ty</t>
  </si>
  <si>
    <t>https://techcombank.com/thong-tin/blog/techcombank-sinh-loi-tu-dong</t>
  </si>
  <si>
    <t>Nhắc: tài khoản thanh toán.</t>
  </si>
  <si>
    <t>https://techcombank.com/thong-tin/blog/cach-doi-mat-khau-tai-khoan-ngan-hang</t>
  </si>
  <si>
    <t>https://techcombank.com/thong-tin/blog/cach-lien-ket-tai-khoan-ngan-hang-voi-vneid</t>
  </si>
  <si>
    <t>Nhắc: mở tài khoản, tài khoản ngân hàng, tài khoản thanh toán.</t>
  </si>
  <si>
    <t>https://techcombank.com/thong-tin/blog/tai-khoan-ngan-hang-chua-toi-da-bao-nhieu-tien</t>
  </si>
  <si>
    <t>Bài nguồn</t>
  </si>
  <si>
    <t>Anchor sử dụng</t>
  </si>
  <si>
    <t>https://techcombank.com/thong-tin/blog/88-la-gi</t>
  </si>
  <si>
    <t>https://techcombank.com/thong-tin/blog/dang-ky-nhieu-tai-khoan-ngan-hang-co-sao-khong</t>
  </si>
  <si>
    <t>Bài so sánh ngân hàng cho vay mua xe — lãi suất là tiêu chí chọn ngân hàng, người đọc cần bảng lãi suất cụ thể. (Theo title/meta, chưa đọc bài.)</t>
  </si>
  <si>
    <t>Bài chưa có trong file crawl: kiểm tra link cũ khi mở bài.</t>
  </si>
  <si>
    <t>Bài tư vấn mua ô tô trả góp; quyết định mua trả góp phụ thuộc trực tiếp vào mức lãi suất vay. (Theo title/meta, chưa đọc bài.)</t>
  </si>
  <si>
    <t>Bài hướng dẫn hồ sơ, thủ tục mua xe trả góp — bước sau khi người đọc so sánh lãi suất. (Theo title/meta, chưa đọc bài.)</t>
  </si>
  <si>
    <t>So sánh trả góp và trả thẳng — phần chi phí trả góp cần dẫn sang lãi suất vay mua ô tô. (Theo title/meta, chưa đọc bài.)</t>
  </si>
  <si>
    <t>Chủ đề vay thế chấp mua xe cũ; chèn được ở đoạn nói về chi phí/lãi vay. (Theo title/meta, chưa đọc bài.)</t>
  </si>
  <si>
    <t>Liên kết tài khoản ngân hàng với eTax Mobile là bước bắt buộc để nộp thuế đất online qua ngân hàng. (Theo title/meta, chưa đọc bài.)</t>
  </si>
  <si>
    <t>Bài chưa có trong file crawl: kiểm tra link cũ khi mở bài. Bài nhận 3 link mới: đặt ở các mục khác nhau.</t>
  </si>
  <si>
    <t>Bài hướng dẫn nộp thuế online chung — có thể dẫn sang trường hợp cụ thể là thuế đất. (Theo title/meta, chưa đọc bài.)</t>
  </si>
  <si>
    <t>Bài liên kết tài khoản với eTax Mobile — người đọc làm xong sẽ cần bước nộp thuế. (Theo title/meta, chưa đọc bài.)</t>
  </si>
  <si>
    <t>Quyết toán TNCN online → nếu còn thiếu thuế phải nộp qua cổng thuế điện tử. (Theo title/meta, chưa đọc bài.)</t>
  </si>
  <si>
    <t>Title/URL còn năm cũ (2025): nên cập nhật; câu chèn không ghi năm. Bài chưa có trong file crawl: kiểm tra link cũ khi mở bài. Bài nhận 3 link mới: đặt ở các mục khác nhau.</t>
  </si>
  <si>
    <t>Kê khai thuế HKD online, sau khi kê khai là bước nộp thuế điện tử. (Theo title/meta, chưa đọc bài.)</t>
  </si>
  <si>
    <t>Bài chưa có trong file crawl: kiểm tra link cũ khi mở bài. Bài nhận 2 link mới: đặt ở các mục khác nhau.</t>
  </si>
  <si>
    <t>Làm thủ tục hoàn thuế trên eTax Mobile — cùng công cụ, chèn ở đoạn giới thiệu eTax. (Theo title/meta, chưa đọc bài.)</t>
  </si>
  <si>
    <t>https://techcombank.com/thong-tin/blog/mo-tai-khoan-tiet-kiem-cho-con</t>
  </si>
  <si>
    <t>Bài nộp thuế hải quan online — có thể dẫn sang hướng dẫn nộp thuế điện tử nội địa. (Theo title/meta, chưa đọc bài.)</t>
  </si>
  <si>
    <t>Bài về chi phí không được trừ khi tính thuế TNDN — nhắc trực tiếp TNDN, người đọc cần biết thuế suất. (Theo title/meta, chưa đọc bài.)</t>
  </si>
  <si>
    <t>https://techcombank.com/thong-tin/blog/tai-khoan-ngan-hang-con-0-dong-co-sao-khong</t>
  </si>
  <si>
    <t>Quyết toán thuế DN gồm quyết toán TNDN — đoạn liệt kê loại thuế phải quyết toán chèn được. (Theo title/meta, chưa đọc bài.)</t>
  </si>
  <si>
    <t>Bài ưu đãi thuế cho DN mới — ưu đãi chủ yếu là miễn/giảm thuế TNDN. (Theo title/meta, chưa đọc bài.)</t>
  </si>
  <si>
    <t>https://techcombank.com/thong-tin/blog/mo-tai-khoan-ngan-hang-trung-so-dien-thoai</t>
  </si>
  <si>
    <t>Bài lợi nhuận và công thức tính — đoạn lợi nhuận sau thuế chèn được link thuế TNDN. (Theo title/meta, chưa đọc bài.)</t>
  </si>
  <si>
    <t>Hoàn thuế DN; có thể nhắc trường hợp nộp thừa thuế TNDN. (Theo title/meta, chưa đọc bài.)</t>
  </si>
  <si>
    <t>https://techcombank.com/thong-tin/blog/tai-khoan-ngan-hang-bi-khoa</t>
  </si>
  <si>
    <t>Kê khai thuế DN — thuế GTGT là loại kê khai định kỳ phổ biến nhất. (Theo title/meta, chưa đọc bài.)</t>
  </si>
  <si>
    <t>Hoàn thuế DN chủ yếu là hoàn thuế GTGT — người đọc cần hiểu VAT là gì. (Theo title/meta, chưa đọc bài.)</t>
  </si>
  <si>
    <t>Hóa đơn điện tử thể hiện thuế GTGT — chèn ở đoạn nói về nội dung hóa đơn. (Theo title/meta, chưa đọc bài.)</t>
  </si>
  <si>
    <t>Thuế TMĐT cho HKD gồm thuế GTGT + TNCN — chèn khi nhắc thuế GTGT. (Theo title/meta, chưa đọc bài.)</t>
  </si>
  <si>
    <t>https://techcombank.com/thong-tin/blog/nho-nguoi-than-mo-tai-khoan-ngan-hang</t>
  </si>
  <si>
    <t>Bài tra mã số thuế DN — tra nợ thuế dùng chính mã số thuế, nhu cầu nối tiếp. (Theo title/meta, chưa đọc bài.)</t>
  </si>
  <si>
    <t>Cùng intent tra cứu nợ thuế, khác loại thuế — dẫn sang nợ thuế nội địa của DN. (Theo title/meta, chưa đọc bài.)</t>
  </si>
  <si>
    <t>Title/URL còn năm cũ (2025): nên cập nhật; câu chèn không ghi năm. Bài chưa có trong file crawl: kiểm tra link cũ khi mở bài.</t>
  </si>
  <si>
    <t>Trước/sau quyết toán DN cần kiểm tra số thuế còn nợ. (Theo title/meta, chưa đọc bài.)</t>
  </si>
  <si>
    <t>Sau kê khai, DN kiểm tra nghĩa vụ/nợ thuế. (Theo title/meta, chưa đọc bài.)</t>
  </si>
  <si>
    <t>https://techcombank.com/thong-tin/blog/gui-tiet-kiem-hang-thang</t>
  </si>
  <si>
    <t>Bài anh em (HKD); chèn ở đoạn so sánh nếu có nhắc doanh nghiệp. (Theo title/meta, chưa đọc bài.)</t>
  </si>
  <si>
    <t>Bài giải đáp về thuế DN nói chung — đúng chủ đề tổng quan. (Theo title/meta, chưa đọc bài.)</t>
  </si>
  <si>
    <t>https://techcombank.com/thong-tin/blog/tai-khoan-ngan-hang-duoi-50k-co-bi-khoa-khong</t>
  </si>
  <si>
    <t>Tuân thủ thuế cho DN khởi nghiệp — cần biết DN phải nộp những khoản thuế nào. (Theo title/meta, chưa đọc bài.)</t>
  </si>
  <si>
    <t>Bài các khoản thuế, phí khi lên DN — liên kết tự nhiên sang danh sách thuế DN. (Theo title/meta, chưa đọc bài.)</t>
  </si>
  <si>
    <t>Bài tin chính sách thuế phí có lợi cho DN — dẫn sang bài tổng hợp các khoản thuế. (Theo title/meta, chưa đọc bài.)</t>
  </si>
  <si>
    <t>https://techcombank.com/thong-tin/blog/mo-tai-khoan-ngan-hang-bang-so-dien-thoai</t>
  </si>
  <si>
    <t>Bài tài khoản DN là gì — câu hỏi 'có dùng TK cá nhân thay được không' là nhu cầu kế tiếp. (Theo title/meta, chưa đọc bài.)</t>
  </si>
  <si>
    <t>Lưu ý chuyển tiền vào TK công ty — liên quan trực tiếp quy định dùng TK cá nhân. (Theo title/meta, chưa đọc bài.)</t>
  </si>
  <si>
    <t>Cách dùng TK công ty cho giao dịch — đối lập tự nhiên với dùng TK cá nhân. (Theo title/meta, chưa đọc bài.)</t>
  </si>
  <si>
    <t>Tiền vào TK cá nhân có bị tính thuế — rủi ro khi công ty dùng TK cá nhân nhận tiền. (Theo title/meta, chưa đọc bài.)</t>
  </si>
  <si>
    <t>Title/URL còn năm cũ (2025): nên cập nhật; câu chèn không ghi năm. Bài chưa có trong file crawl: kiểm tra link cũ khi mở bài. Bài nhận 2 link mới: đặt ở các mục khác nhau.</t>
  </si>
  <si>
    <t>Chi phí không được trừ ảnh hưởng trực tiếp công thức tính TNDN. (Theo title/meta, chưa đọc bài.)</t>
  </si>
  <si>
    <t>https://techcombank.com/thong-tin/blog/cach-bao-ve-tai-khoan</t>
  </si>
  <si>
    <t>Khấu hao TSCĐ là chi phí được trừ khi tính thu nhập chịu thuế TNDN. (Theo title/meta, chưa đọc bài.)</t>
  </si>
  <si>
    <t>Lợi nhuận ròng = lợi nhuận trước thuế − thuế TNDN; chèn ở công thức. (Theo title/meta, chưa đọc bài.)</t>
  </si>
  <si>
    <t>Báo cáo tài chính có dòng chi phí thuế TNDN. (Theo title/meta, chưa đọc bài.)</t>
  </si>
  <si>
    <t>Bài nạp thẻ cho các nhà mạng — mục Viettel nên dẫn sang bài chi tiết. (Theo title/meta, chưa đọc bài.)</t>
  </si>
  <si>
    <t>Nạp tiền điện thoại online — chèn ở đoạn ví dụ nhà mạng Viettel. (Theo title/meta, chưa đọc bài.)</t>
  </si>
  <si>
    <t>Cùng nhà mạng Viettel (trả sau) — dẫn sang nạp thẻ trả trước. (Theo title/meta, chưa đọc bài.)</t>
  </si>
  <si>
    <t>Bài anh em nhà mạng khác; chèn câu ngắn so sánh/xem thêm Viettel. (Theo title/meta, chưa đọc bài.)</t>
  </si>
  <si>
    <t>Như trên, nhà mạng MobiFone. (Theo title/meta, chưa đọc bài.)</t>
  </si>
  <si>
    <t>Bài giá điện bậc thang — người đọc cần cách tính ra hóa đơn. (Theo title/meta, chưa đọc bài.)</t>
  </si>
  <si>
    <t>https://techcombank.com/thong-tin/blog/tai-khoan-tiet-kiem</t>
  </si>
  <si>
    <t>Nhắc: tạo tài khoản.</t>
  </si>
  <si>
    <t>Tra hóa đơn tiền điện — muốn đối chiếu số tiền cần biết cách tính. (Theo title/meta, chưa đọc bài.)</t>
  </si>
  <si>
    <t>Đóng tiền điện — trước khi đóng người đọc hay kiểm tra số tiền. (Theo title/meta, chưa đọc bài.)</t>
  </si>
  <si>
    <t>App đóng tiền điện; chèn ở đoạn mở đầu/lưu ý. (Theo title/meta, chưa đọc bài.)</t>
  </si>
  <si>
    <t>Thanh toán tiền điện bằng thẻ tín dụng; chèn ở đoạn về số tiền hóa đơn. (Theo title/meta, chưa đọc bài.)</t>
  </si>
  <si>
    <t>Quyết toán TNCN cần tính lại số thuế cả năm. (Theo title/meta, chưa đọc bài.)</t>
  </si>
  <si>
    <t>Hoàn thuế TNCN xuất phát từ việc tính ra số thuế nộp thừa. (Theo title/meta, chưa đọc bài.)</t>
  </si>
  <si>
    <t>Đăng ký MST cá nhân để kê khai, tính thuế TNCN. (Theo title/meta, chưa đọc bài.)</t>
  </si>
  <si>
    <t>https://techcombank.com/thong-tin/blog/viet-kieu-co-mo-duoc-tai-khoan-ngan-hang-khong</t>
  </si>
  <si>
    <t>Số TK là gì &amp; cách kiểm tra — trùng nhu cầu, dẫn sang bài chi tiết 3 cách. (Theo title/meta, chưa đọc bài.)</t>
  </si>
  <si>
    <t>https://techcombank.com/thong-tin/blog/app-ngan-hang-uy-tin</t>
  </si>
  <si>
    <t>Số dư khả dụng — người đọc cần cách kiểm tra số dư. (Theo title/meta, chưa đọc bài.)</t>
  </si>
  <si>
    <t>Top app ngân hàng uy tín — anh em chủ đề, người đọc muốn biết ngân hàng nào uy tín.</t>
  </si>
  <si>
    <t>Kiểm tra mã giao dịch — chèn ở đoạn kiểm tra lịch sử giao dịch. (Theo title/meta, chưa đọc bài.)</t>
  </si>
  <si>
    <t>SMS Banking là một kênh kiểm tra biến động số dư. (Theo title/meta, chưa đọc bài.)</t>
  </si>
  <si>
    <t>https://techcombank.com/thong-tin/blog/gui-tien-ngan-hang-co-an-toan-khong</t>
  </si>
  <si>
    <t>Bài anh em cho TK công ty; chèn câu dẫn cho TK cá nhân. (Theo title/meta, chưa đọc bài.)</t>
  </si>
  <si>
    <t>chọn ngân hàng uy tín</t>
  </si>
  <si>
    <t>Gửi tiền có an toàn không → chọn ngân hàng uy tín.</t>
  </si>
  <si>
    <t>Bài định nghĩa TK ngân hàng, kết thúc tự nhiên bằng cách mở. (Theo title/meta, chưa đọc bài.)</t>
  </si>
  <si>
    <t>Tiêu chí chọn ngân hàng — uy tín là một tiêu chí.</t>
  </si>
  <si>
    <t>Có mục điều kiện, thủ tục mở TK thanh toán. (Theo title/meta, chưa đọc bài.)</t>
  </si>
  <si>
    <t>https://techcombank.com/thong-tin/blog/gio-lam-viec-ngan-hang</t>
  </si>
  <si>
    <t>Băn khoăn an toàn khi mở online → dẫn sang hướng dẫn mở. (Theo title/meta, chưa đọc bài.)</t>
  </si>
  <si>
    <t>Nhắc nhiều ngân hàng lớn; chèn ở đoạn mở đầu. (Liên quan yếu – bản chặt đã loại.)</t>
  </si>
  <si>
    <t>Hỏi phí mở TK → nhu cầu kế tiếp là cách mở. Bài cach-mo-tai-khoan đã link sang bài này (chiều ngược lại). (Theo title/meta, chưa đọc bài.)</t>
  </si>
  <si>
    <t>https://techcombank.com/thong-tin/blog/gia-tri-thuong-hieu</t>
  </si>
  <si>
    <t>Quy định số TK/CCCD; chèn ở đoạn hướng dẫn đăng ký thêm TK. (Theo title/meta, chưa đọc bài.)</t>
  </si>
  <si>
    <t>Giá trị thương hiệu ngân hàng — liên quan bảng xếp hạng ngân hàng. (Liên quan yếu – bản chặt đã loại.)</t>
  </si>
  <si>
    <t>Top app ngân hàng uy tín — anh em chủ đề, người đọc muốn biết ngân hàng nào uy tín. (Theo title/meta, chưa đọc bài.)</t>
  </si>
  <si>
    <t>https://techcombank.com/thong-tin/blog/dieu-kien-vay-von-ngan-hang</t>
  </si>
  <si>
    <t>Gửi tiền có an toàn không → chọn ngân hàng uy tín. (Theo title/meta, chưa đọc bài.)</t>
  </si>
  <si>
    <t>Nhắc: các ngân hàng.</t>
  </si>
  <si>
    <t>Tiêu chí chọn ngân hàng — uy tín là một tiêu chí. (Theo title/meta, chưa đọc bài.)</t>
  </si>
  <si>
    <t>Hướng dẫn chuyển tiền — phần lưu ý/xử lý sự cố chèn được. (Theo title/meta, chưa đọc bài.)</t>
  </si>
  <si>
    <t>https://techcombank.com/thong-tin/blog/chuyen-khoan-lien-ngan-hang</t>
  </si>
  <si>
    <t>Chuyển liên ngân hàng là trường hợp hay bị chậm nhận tiền. (Theo title/meta, chưa đọc bài.)</t>
  </si>
  <si>
    <t>chuyển tiền thành công nhưng chưa nhận được</t>
  </si>
  <si>
    <t>Mã giao dịch dùng để tra soát khi chuyển thành công mà chưa nhận. (Theo title/meta, chưa đọc bài.)</t>
  </si>
  <si>
    <t>tiền chuyển khoản bị treo</t>
  </si>
  <si>
    <t>https://techcombank.com/thong-tin/blog/nen-vay-the-chap-ngan-hang-nao</t>
  </si>
  <si>
    <t>https://techcombank.com/thong-tin/blog/chuyen-nham-tien-co-lay-lai-duoc-khong</t>
  </si>
  <si>
    <t>Sự cố chuyển tiền tương tự, người đọc quan tâm cả hai tình huống. (Theo title/meta, chưa đọc bài.)</t>
  </si>
  <si>
    <t>Nhắc: ngân hàng nào, chọn ngân hàng.</t>
  </si>
  <si>
    <t>https://techcombank.com/thong-tin/blog/ngan-hang-thu-huong-la-gi</t>
  </si>
  <si>
    <t>Sai thông tin ngân hàng thụ hưởng là một nguyên nhân không nhận được tiền. (Theo title/meta, chưa đọc bài.)</t>
  </si>
  <si>
    <t>https://techcombank.com/thong-tin/blog/su-hop-tac-cua-ngan-hang-va-fintech-tren-hanh-trinh-chuyen-doi-so</t>
  </si>
  <si>
    <t>https://techcombank.com/thong-tin/blog/mo-tai-khoan-ngan-hang-cho-tre-em</t>
  </si>
  <si>
    <t>Tài khoản cho con — phụ huynh cần biết quy định độ tuổi. (Theo title/meta, chưa đọc bài.)</t>
  </si>
  <si>
    <t>https://techcombank.com/thong-tin/blog/hoc-sinh-sinh-vien-nen-lam-the-ngan-hang-nao</t>
  </si>
  <si>
    <t>HSSV chọn thẻ — câu hỏi bao nhiêu tuổi được làm thẻ đi kèm. (Theo title/meta, chưa đọc bài.)</t>
  </si>
  <si>
    <t>độ tuổi mở tài khoản ngân hàng</t>
  </si>
  <si>
    <t>Nhắc: ngân hàng nào.</t>
  </si>
  <si>
    <t>https://techcombank.com/thong-tin/blog/cach-lam-the-atm</t>
  </si>
  <si>
    <t>Làm thẻ ATM; chèn ở mục điều kiện (độ tuổi). (Theo title/meta, chưa đọc bài.)</t>
  </si>
  <si>
    <t>https://techcombank.com/thong-tin/blog/lam-the-visa-o-dau</t>
  </si>
  <si>
    <t>https://techcombank.com/thong-tin/blog/the-debit-cho-con</t>
  </si>
  <si>
    <t>Nhắc: chọn ngân hàng.</t>
  </si>
  <si>
    <t>Thẻ Debit cho con — mở TK cho con dưới 18 tuổi là bước đi kèm. (Theo title/meta, chưa đọc bài.)</t>
  </si>
  <si>
    <t>Mở TK tiết kiệm cho con — liên quan trực tiếp. (Theo title/meta, chưa đọc bài.)</t>
  </si>
  <si>
    <t>mở tài khoản ngân hàng cho học sinh</t>
  </si>
  <si>
    <t>Mở TK online; chèn câu lưu ý cho người dưới 18 tuổi. (Theo title/meta, chưa đọc bài.)</t>
  </si>
  <si>
    <t>https://techcombank.com/thong-tin/blog/uu-dai-mo-the-tin-dung</t>
  </si>
  <si>
    <t>Máy CDM dùng để nộp tiền — một trong các cách nạp tiền vào TK. (Theo title/meta, chưa đọc bài.)</t>
  </si>
  <si>
    <t>https://techcombank.com/thong-tin/blog/cach-nap-tien-vao-the-ghi-no</t>
  </si>
  <si>
    <t>Nhắc: ngân hàng uy tín, ngân hàng nào.</t>
  </si>
  <si>
    <t>Nạp tiền vào thẻ ghi nợ = nạp vào TK gắn thẻ. (Theo title/meta, chưa đọc bài.)</t>
  </si>
  <si>
    <t>nộp tiền vào tài khoản</t>
  </si>
  <si>
    <t>TK 0 đồng → giải pháp nạp thêm tiền. (Theo title/meta, chưa đọc bài.)</t>
  </si>
  <si>
    <t>https://techcombank.com/thong-tin/blog/app-ngan-hang</t>
  </si>
  <si>
    <t>Nhắc: chọn ngân hàng, ngân hàng tốt.</t>
  </si>
  <si>
    <t>https://techcombank.com/thong-tin/blog/cay-atm-gan-day</t>
  </si>
  <si>
    <t>Tìm ATM/CDM gần đây để nộp tiền. (Theo title/meta, chưa đọc bài.)</t>
  </si>
  <si>
    <t>Sao kê lương là một dạng sao kê TK — dẫn sang hướng dẫn sao kê chung. (Theo title/meta, chưa đọc bài.)</t>
  </si>
  <si>
    <t>Bài anh em cho DN; chèn câu dẫn cho TK cá nhân. (Theo title/meta, chưa đọc bài.)</t>
  </si>
  <si>
    <t>sao kê tài khoản ngân hàng</t>
  </si>
  <si>
    <t>Hồ sơ vay qua lương cần sao kê TK. (Theo title/meta, chưa đọc bài.)</t>
  </si>
  <si>
    <t>Ý nghĩa số 88 — một dãy số phát lộc; dẫn sang bài tổng hợp. (Theo title/meta, chưa đọc bài.)</t>
  </si>
  <si>
    <t>Ý nghĩa 6868 — cùng chủ đề con số lộc phát. (Theo title/meta, chưa đọc bài.)</t>
  </si>
  <si>
    <t>số tài khoản phát tài phát lộc</t>
  </si>
  <si>
    <t>Gợi ý dãy số TK đẹp phát tài phát lộc — sát chủ đề. (Theo title/meta, chưa đọc bài.)</t>
  </si>
  <si>
    <t>Cách chọn số TK phát tài — dẫn sang danh sách dãy số. (Theo title/meta, chưa đọc bài.)</t>
  </si>
  <si>
    <t>https://techcombank.com/thong-tin/blog/li-xi-so-dep</t>
  </si>
  <si>
    <t>Lì xì số đẹp phát tài — chèn ở đoạn ý nghĩa con số. (Theo title/meta, chưa đọc bài.)</t>
  </si>
  <si>
    <t>Tra cứu nợ thuế TNCN — cùng nhóm tra cứu. (Theo title/meta, chưa đọc bài.)</t>
  </si>
  <si>
    <t>Có MST rồi thì kiểm tra thuế TNCN theo MST. (Theo title/meta, chưa đọc bài.)</t>
  </si>
  <si>
    <t>kiểm tra thuế TNCN online</t>
  </si>
  <si>
    <t>eTax Mobile là kênh kiểm tra thuế TNCN. (Theo title/meta, chưa đọc bài.)</t>
  </si>
  <si>
    <t>tra cứu thuế TNCN</t>
  </si>
  <si>
    <t>Trước khi hoàn thuế cần kiểm tra số thuế đã nộp. (Theo title/meta, chưa đọc bài.)</t>
  </si>
  <si>
    <t>Kiểm tra số thuế đã khấu trừ trước khi quyết toán. (Theo title/meta, chưa đọc bài.)</t>
  </si>
  <si>
    <t>Mật khẩu đi cùng tên đăng nhập — bài anh em trực tiếp. (Theo title/meta, chưa đọc bài.)</t>
  </si>
  <si>
    <t>https://techcombank.com/thong-tin/blog/internet-banking</t>
  </si>
  <si>
    <t>Đăng nhập Internet Banking cần tên đăng nhập. (Theo title/meta, chưa đọc bài.)</t>
  </si>
  <si>
    <t>tên đăng nhập</t>
  </si>
  <si>
    <t>Bảo vệ TK — giữ bí mật tên đăng nhập/mật khẩu. (Theo title/meta, chưa đọc bài.)</t>
  </si>
  <si>
    <t>https://techcombank.com/thong-tin/blog/vay-sinh-vien</t>
  </si>
  <si>
    <t>https://techcombank.com/thong-tin/blog/smart-otp-la-gi</t>
  </si>
  <si>
    <t>Đăng nhập + OTP; chèn ở đoạn bước đăng nhập. (Theo title/meta, chưa đọc bài.)</t>
  </si>
  <si>
    <t>Mất SĐT ảnh hưởng lấy lại thông tin đăng nhập. (Theo title/meta, chưa đọc bài.)</t>
  </si>
  <si>
    <t>https://techcombank.com/thong-tin/blog/lai-suat-vay-tieu-dung</t>
  </si>
  <si>
    <t>Hỏi tiền vào TK có bị tính thuế — liên quan trực tiếp thuế TNCN. (Theo title/meta, chưa đọc bài.)</t>
  </si>
  <si>
    <t>Nợ thuế TNCN — người đọc cần hiểu thuế TNCN là gì. (Theo title/meta, chưa đọc bài.)</t>
  </si>
  <si>
    <t>thuế TNCN</t>
  </si>
  <si>
    <t>https://techcombank.com/thong-tin/blog/rut-tien-bang-ma-qr-khac-ngan-hang-duoc-khong</t>
  </si>
  <si>
    <t>Bài anh em — người đọc cần hướng dẫn rút tiền QR cơ bản. (Theo title/meta, chưa đọc bài.)</t>
  </si>
  <si>
    <t>https://techcombank.com/thong-tin/blog/cach-rut-tien-atm</t>
  </si>
  <si>
    <t>Các cách rút tiền ATM — QR là một cách. (Theo title/meta, chưa đọc bài.)</t>
  </si>
  <si>
    <t>cách rút tiền bằng mã QR</t>
  </si>
  <si>
    <t>https://techcombank.com/thong-tin/blog/the-atm-khong-rut-duoc-tien</t>
  </si>
  <si>
    <t>https://techcombank.com/thong-tin/blog/gui-tiet-kiem-ngoai-te</t>
  </si>
  <si>
    <t>Thẻ lỗi không rút được → giải pháp rút bằng QR. (Theo title/meta, chưa đọc bài.)</t>
  </si>
  <si>
    <t>rút tiền không cần thẻ</t>
  </si>
  <si>
    <t>https://techcombank.com/thong-tin/blog/bi-nuot-the-atm-phai-lam-sao</t>
  </si>
  <si>
    <t>Bị nuốt thẻ → vẫn rút được tiền bằng QR. (Theo title/meta, chưa đọc bài.)</t>
  </si>
  <si>
    <t>Tìm ATM; chèn ở đoạn ATM hỗ trợ rút QR. (Theo title/meta, chưa đọc bài.)</t>
  </si>
  <si>
    <t>https://techcombank.com/thong-tin/blog/the-tin-dung-mien-lai-55-ngay</t>
  </si>
  <si>
    <t>https://techcombank.com/thong-tin/blog/xac-thuc-sinh-trac-hoc-khi-chuyen-tien</t>
  </si>
  <si>
    <t>Xác thực sinh trắc học yêu cầu quét NFC chip CCCD. (Theo title/meta, chưa đọc bài.)</t>
  </si>
  <si>
    <t>Liên kết VNeID cần quét chip CCCD. (Theo title/meta, chưa đọc bài.)</t>
  </si>
  <si>
    <t>quét NFC CCCD</t>
  </si>
  <si>
    <t>https://techcombank.com/thong-tin/blog/ekyc-la-gi</t>
  </si>
  <si>
    <t>eKYC dùng NFC CCCD để định danh. (Theo title/meta, chưa đọc bài.)</t>
  </si>
  <si>
    <t>cách quét NFC căn cước</t>
  </si>
  <si>
    <t>https://techcombank.com/thong-tin/blog/cach-dang-ky-dinh-danh-muc-2</t>
  </si>
  <si>
    <t>https://techcombank.com/thong-tin/blog/mat-the-tin-dung-co-lam-lai-duoc-khong</t>
  </si>
  <si>
    <t>Định danh mức 2 cần quét CCCD gắn chip. (Theo title/meta, chưa đọc bài.)</t>
  </si>
  <si>
    <t>Mở TK online có bước quét NFC CCCD. (Theo title/meta, chưa đọc bài.)</t>
  </si>
  <si>
    <t>https://techcombank.com/thong-tin/blog/dau-chan-carbon</t>
  </si>
  <si>
    <t>Bài dấu chân carbon nhắc lợi ích xanh của thẻ Visa Eco. (Theo title/meta, chưa đọc bài.)</t>
  </si>
  <si>
    <t>https://techcombank.com/thong-tin/blog/san-pham-xanh</t>
  </si>
  <si>
    <t>Điểm danh sản phẩm xanh ngành ngân hàng — Eco Card là ví dụ. (Theo title/meta, chưa đọc bài.)</t>
  </si>
  <si>
    <t>thẻ Eco</t>
  </si>
  <si>
    <t>https://techcombank.com/thong-tin/blog/xu-huong-song-xanh</t>
  </si>
  <si>
    <t>Lối sống xanh → thẻ xanh. (Theo title/meta, chưa đọc bài.)</t>
  </si>
  <si>
    <t>Techcombank Eco</t>
  </si>
  <si>
    <t>https://techcombank.com/thong-tin/blog/the-ghi-no-visa-la-gi</t>
  </si>
  <si>
    <t>Thẻ Visa Debit — Eco Card là một loại Visa Debit. (Theo title/meta, chưa đọc bài.)</t>
  </si>
  <si>
    <t>https://techcombank.com/thong-tin/blog/diem-tin-dung</t>
  </si>
  <si>
    <t>Điểm tín dụng CIC — cần hiểu CIC là gì. (Theo title/meta, chưa đọc bài.)</t>
  </si>
  <si>
    <t>https://techcombank.com/thong-tin/blog/lich-su-tin-dung</t>
  </si>
  <si>
    <t>Lịch sử tín dụng lưu tại CIC. (Theo title/meta, chưa đọc bài.)</t>
  </si>
  <si>
    <t>CIC</t>
  </si>
  <si>
    <t>https://techcombank.com/thong-tin/blog/no-nhom-3</t>
  </si>
  <si>
    <t>https://techcombank.com/thong-tin/blog/lai-suat-vay-tin-chap</t>
  </si>
  <si>
    <t>Nợ nhóm 3 bao lâu xóa trên CIC. (Theo title/meta, chưa đọc bài.)</t>
  </si>
  <si>
    <t>Trung tâm Thông tin Tín dụng (CIC)</t>
  </si>
  <si>
    <t>https://techcombank.com/thong-tin/blog/no-chu-y-la-gi</t>
  </si>
  <si>
    <t>Nợ cần chú ý được ghi nhận trên CIC. (Theo title/meta, chưa đọc bài.)</t>
  </si>
  <si>
    <t>tra cứu CIC cá nhân</t>
  </si>
  <si>
    <t>https://techcombank.com/thong-tin/blog/no-xau-nhom-2</t>
  </si>
  <si>
    <t>Nợ nhóm 2 — tra trên CIC. (Theo title/meta, chưa đọc bài.)</t>
  </si>
  <si>
    <t>kiểm tra CIC</t>
  </si>
  <si>
    <t>https://techcombank.com/thong-tin/blog/bao-hiem-vat-chat-xe-o-to</t>
  </si>
  <si>
    <t>https://techcombank.com/thong-tin/blog/phi-rut-tien-mat-the-tin-dung</t>
  </si>
  <si>
    <t>Bài phí rút tiền — người đọc cần cách rút. (Theo title/meta, chưa đọc bài.)</t>
  </si>
  <si>
    <t>https://techcombank.com/thong-tin/blog/the-visa-co-rut-tien-duoc-khong</t>
  </si>
  <si>
    <t>Thẻ Visa rút tiền được không — dẫn sang hướng dẫn rút từ thẻ tín dụng. (Theo title/meta, chưa đọc bài.)</t>
  </si>
  <si>
    <t>cách rút tiền thẻ tín dụng</t>
  </si>
  <si>
    <t>Nhu cầu lấy tiền mặt từ thẻ tín dụng tương tự. (Theo title/meta, chưa đọc bài.)</t>
  </si>
  <si>
    <t>rút tiền thẻ tín dụng</t>
  </si>
  <si>
    <t>https://techcombank.com/thong-tin/blog/ty-gia-cac-ngan-hang</t>
  </si>
  <si>
    <t>Nhắc: chọn ngân hàng, các ngân hàng.</t>
  </si>
  <si>
    <t>https://techcombank.com/thong-tin/blog/han-muc-the-tin-dung</t>
  </si>
  <si>
    <t>Hạn mức rút tiền mặt là một phần hạn mức thẻ. (Theo title/meta, chưa đọc bài.)</t>
  </si>
  <si>
    <t>https://techcombank.com/thong-tin/blog/lai-suat-the-tin-dung</t>
  </si>
  <si>
    <t>https://techcombank.com/thong-tin/blog/ty-gia-la-gi</t>
  </si>
  <si>
    <t>Rút tiền mặt phát sinh lãi ngay — chèn ở đoạn khi nào phát sinh lãi. (Theo title/meta, chưa đọc bài.)</t>
  </si>
  <si>
    <t>https://techcombank.com/thong-tin/blog/the-tin-dung-la-gi</t>
  </si>
  <si>
    <t>Định nghĩa thẻ tín dụng → nhu cầu làm thẻ. (Theo title/meta, chưa đọc bài.)</t>
  </si>
  <si>
    <t>Hướng dẫn chuyển tiền — phần lưu ý/xử lý sự cố chèn được.</t>
  </si>
  <si>
    <t>https://techcombank.com/thong-tin/blog/mo-the-tin-dung-chi-can-cccd</t>
  </si>
  <si>
    <t>Một cách mở thẻ — dẫn sang hướng dẫn đầy đủ. (Theo title/meta, chưa đọc bài.)</t>
  </si>
  <si>
    <t>mở thẻ tín dụng</t>
  </si>
  <si>
    <t>https://techcombank.com/thong-tin/blog/lam-the-tin-dung-co-mat-phi-khong</t>
  </si>
  <si>
    <t>Phí làm thẻ — đi kèm thủ tục làm thẻ. (Theo title/meta, chưa đọc bài.)</t>
  </si>
  <si>
    <t>https://techcombank.com/thong-tin/blog/mo-the-tin-dung-khong-can-chung-minh-thu-nhap</t>
  </si>
  <si>
    <t>Chuyển liên ngân hàng là trường hợp hay bị chậm nhận tiền.</t>
  </si>
  <si>
    <t>Điều kiện mở thẻ — sát chủ đề. (Theo title/meta, chưa đọc bài.)</t>
  </si>
  <si>
    <t>https://techcombank.com/thong-tin/blog/co-nen-dung-the-tin-dung-khong</t>
  </si>
  <si>
    <t>Quyết định dùng thẻ → bước làm thẻ. (Theo title/meta, chưa đọc bài.)</t>
  </si>
  <si>
    <t>Mã giao dịch dùng để tra soát khi chuyển thành công mà chưa nhận.</t>
  </si>
  <si>
    <t>https://techcombank.com/thong-tin/blog/the-tin-dung-nao-nhieu-uu-dai-nhat</t>
  </si>
  <si>
    <t>So sánh thẻ tín dụng Techcombank — Everyday nên được nhắc. (Theo title/meta, chưa đọc bài.)</t>
  </si>
  <si>
    <t>https://techcombank.com/thong-tin/blog/thoi-gian-hoan-tien-the-tin-dung</t>
  </si>
  <si>
    <t>Chương trình hoàn tiền thẻ tín dụng Techcombank. (Theo title/meta, chưa đọc bài.)</t>
  </si>
  <si>
    <t>Techcombank Everyday</t>
  </si>
  <si>
    <t>https://techcombank.com/thong-tin/blog/uu-dai-the-tin-dung</t>
  </si>
  <si>
    <t>Sự cố chuyển tiền tương tự, người đọc quan tâm cả hai tình huống.</t>
  </si>
  <si>
    <t>Top ưu đãi thẻ tín dụng; chèn ở mục Techcombank. (Theo title/meta, chưa đọc bài.)</t>
  </si>
  <si>
    <t>https://techcombank.com/thong-tin/blog/cac-loai-the-tin-dung</t>
  </si>
  <si>
    <t>Phân loại thẻ — chèn ví dụ thẻ hoàn tiền. (Theo title/meta, chưa đọc bài.)</t>
  </si>
  <si>
    <t>https://techcombank.com/thong-tin/blog/mo-the-tin-dung-co-loi-ich-gi</t>
  </si>
  <si>
    <t>Lợi ích thẻ tín dụng — hoàn tiền là một lợi ích. (Theo title/meta, chưa đọc bài.)</t>
  </si>
  <si>
    <t>Title nhắc 'hoàn tiền' khi trả tiền điện bằng thẻ tín dụng. (Theo title/meta, chưa đọc bài.)</t>
  </si>
  <si>
    <t>https://techcombank.com/thong-tin/blog/cashback-the-thanh-toan</t>
  </si>
  <si>
    <t>Cashback thẻ thanh toán (ghi nợ) — so sánh với thẻ tín dụng hoàn tiền. (Theo title/meta, chưa đọc bài.)</t>
  </si>
  <si>
    <t>thẻ hoàn tiền</t>
  </si>
  <si>
    <t>Ưu đãi mở thẻ — hoàn tiền là ưu đãi phổ biến. (Theo title/meta, chưa đọc bài.)</t>
  </si>
  <si>
    <t>thẻ cashback</t>
  </si>
  <si>
    <t>https://techcombank.com/thong-tin/blog/the-tin-dung-mien-phi-thuong-nien</t>
  </si>
  <si>
    <t>Top thẻ đáng mở — chèn ở tiêu chí chọn thẻ. (Theo title/meta, chưa đọc bài.)</t>
  </si>
  <si>
    <t>https://techcombank.com/thong-tin/blog/cach-su-dung-the-tin-dung</t>
  </si>
  <si>
    <t>Sai thông tin ngân hàng thụ hưởng là một nguyên nhân không nhận được tiền.</t>
  </si>
  <si>
    <t>Dùng thẻ tiết kiệm — tận dụng hoàn tiền. (Theo title/meta, chưa đọc bài.)</t>
  </si>
  <si>
    <t>https://techcombank.com/thong-tin/blog/phi-thuong-nien-la-gi</t>
  </si>
  <si>
    <t>https://techcombank.com/thong-tin/blog/loa-thong-bao-chuyen-khoan</t>
  </si>
  <si>
    <t>Không muốn trả phí thường niên → hủy thẻ. (Theo title/meta, chưa đọc bài.)</t>
  </si>
  <si>
    <t>Nhắc: chuyển khoản.</t>
  </si>
  <si>
    <t>https://techcombank.com/thong-tin/blog/khong-su-dung-the-tin-dung-co-mat-phi-khong</t>
  </si>
  <si>
    <t>Không dùng thẻ vẫn mất phí → nên hủy. (Theo title/meta, chưa đọc bài.)</t>
  </si>
  <si>
    <t>hủy thẻ tín dụng</t>
  </si>
  <si>
    <t>https://techcombank.com/thong-tin/blog/cach-khoa-the-ngan-hang</t>
  </si>
  <si>
    <t>https://techcombank.com/thong-tin/blog/ma-qr-ngan-hang-khong-hop-le</t>
  </si>
  <si>
    <t>Khóa vs hủy thẻ — đối chiếu trực tiếp. (Theo title/meta, chưa đọc bài.)</t>
  </si>
  <si>
    <t>Nhắc: chuyển tiền.</t>
  </si>
  <si>
    <t>https://techcombank.com/thong-tin/blog/the-tin-dung-bi-khoa</t>
  </si>
  <si>
    <t>Thẻ bị khóa — chèn ở đoạn phân biệt khóa/hủy. (Theo title/meta, chưa đọc bài.)</t>
  </si>
  <si>
    <t>https://techcombank.com/thong-tin/blog/the-tin-dung-het-han</t>
  </si>
  <si>
    <t>Nhắc: chuyển tiền, thụ hưởng.</t>
  </si>
  <si>
    <t>Thẻ hết hạn: gia hạn hoặc hủy. (Theo title/meta, chưa đọc bài.)</t>
  </si>
  <si>
    <t>https://techcombank.com/thong-tin/blog/remittance-la-gi</t>
  </si>
  <si>
    <t>Lịch sử tín dụng quyết định xếp hạng tín dụng. (Theo title/meta, chưa đọc bài.)</t>
  </si>
  <si>
    <t>Điều kiện vay — xếp hạng tín dụng là một yếu tố. (Theo title/meta, chưa đọc bài.)</t>
  </si>
  <si>
    <t>xếp hạng tín dụng cá nhân</t>
  </si>
  <si>
    <t>https://techcombank.com/thong-tin/blog/no-xau-co-vay-the-chap-duoc-khong</t>
  </si>
  <si>
    <t>Nợ xấu làm giảm xếp hạng. (Theo title/meta, chưa đọc bài.)</t>
  </si>
  <si>
    <t>https://techcombank.com/thong-tin/blog/thanh-toan-toi-thieu-the-tin-dung</t>
  </si>
  <si>
    <t>Thanh toán tối thiểu — liên quan trực tiếp cách trả dư nợ. (Theo title/meta, chưa đọc bài.)</t>
  </si>
  <si>
    <t>https://techcombank.com/thong-tin/blog/qua-han-thanh-toan-the-tin-dung-1-ngay</t>
  </si>
  <si>
    <t>https://techcombank.com/thong-tin/blog/cach-tao-ma-qr-code-mien-phi</t>
  </si>
  <si>
    <t>Quá hạn → hướng dẫn các kênh thanh toán để không trễ. (Theo title/meta, chưa đọc bài.)</t>
  </si>
  <si>
    <t>thanh toán dư nợ thẻ tín dụng</t>
  </si>
  <si>
    <t>https://techcombank.com/thong-tin/blog/sao-ke-the-tin-dung-la-gi</t>
  </si>
  <si>
    <t>Sao kê ghi số tiền và hạn thanh toán. (Theo title/meta, chưa đọc bài.)</t>
  </si>
  <si>
    <t>trả nợ thẻ tín dụng</t>
  </si>
  <si>
    <t>https://techcombank.com/thong-tin/blog/no-the-tin-dung-qua-han</t>
  </si>
  <si>
    <t>Nợ quá hạn — cần cách trả nợ thẻ. (Theo title/meta, chưa đọc bài.)</t>
  </si>
  <si>
    <t>https://techcombank.com/thong-tin/blog/loa-ting-ting</t>
  </si>
  <si>
    <t>Miễn lãi khi thanh toán đúng hạn. (Theo title/meta, chưa đọc bài.)</t>
  </si>
  <si>
    <t>https://techcombank.com/thong-tin/blog/chung-chi-tien-gui-khac-gi-so-tiet-kiem</t>
  </si>
  <si>
    <t>https://techcombank.com/thong-tin/blog/cach-lay-lai-tien-da-chuyen-khoan-khi-bi-lua</t>
  </si>
  <si>
    <t>So sánh CD và tiết kiệm — cần định nghĩa CD. (Theo title/meta, chưa đọc bài.)</t>
  </si>
  <si>
    <t>https://techcombank.com/thong-tin/blog/chung-chi-tien-gui-co-phai-la-trai-phieu-khong</t>
  </si>
  <si>
    <t>Nhắc: chuyển khoản, chuyển tiền.</t>
  </si>
  <si>
    <t>Câu hỏi bản chất CD. (Theo title/meta, chưa đọc bài.)</t>
  </si>
  <si>
    <t>chứng chỉ tiền gửi</t>
  </si>
  <si>
    <t>https://techcombank.com/thong-tin/blog/co-nen-gui-chung-chi-tien-gui</t>
  </si>
  <si>
    <t>https://techcombank.com/thong-tin/blog/uu-diem-cua-blockchain</t>
  </si>
  <si>
    <t>Lý do nên mua CD → dẫn về bài tổng quan. (Theo title/meta, chưa đọc bài.)</t>
  </si>
  <si>
    <t>https://techcombank.com/thong-tin/blog/chung-chi-tien-gui-co-an-toan-khong</t>
  </si>
  <si>
    <t>Tính an toàn của CD. (Theo title/meta, chưa đọc bài.)</t>
  </si>
  <si>
    <t>https://techcombank.com/thong-tin/blog/tien-nhan-roi-nen-lam-gi</t>
  </si>
  <si>
    <t>Kênh sinh lời cho tiền nhàn rỗi — CD là một kênh. (Theo title/meta, chưa đọc bài.)</t>
  </si>
  <si>
    <t>https://techcombank.com/thong-tin/blog/iban-la-gi</t>
  </si>
  <si>
    <t>Tính lợi nhuận CD cần mức lãi suất. (Theo title/meta, chưa đọc bài.)</t>
  </si>
  <si>
    <t>https://techcombank.com/thong-tin/blog/tat-toan-chung-chi-tien-gui</t>
  </si>
  <si>
    <t>https://techcombank.com/thong-tin/blog/nguoi-duoc-bao-hiem-la-gi</t>
  </si>
  <si>
    <t>Tất toán ảnh hưởng lợi suất — chèn ở đoạn lãi suất. (Theo title/meta, chưa đọc bài.)</t>
  </si>
  <si>
    <t>lãi suất chứng chỉ tiền gửi</t>
  </si>
  <si>
    <t>Nhắc: thụ hưởng.</t>
  </si>
  <si>
    <t>https://techcombank.com/thong-tin/blog/chung-chi-tien-gui-co-duoc-rut-truoc-han</t>
  </si>
  <si>
    <t>Rút trước hạn mất lãi suất — chèn ở đoạn lãi. (Theo title/meta, chưa đọc bài.)</t>
  </si>
  <si>
    <t>lợi suất chứng chỉ tiền gửi</t>
  </si>
  <si>
    <t>https://techcombank.com/thong-tin/blog/chuyen-nhuong-chung-chi-tien-gui</t>
  </si>
  <si>
    <t>https://techcombank.com/thong-tin/blog/cach-chuyen-khoan-bang-dien-thoai</t>
  </si>
  <si>
    <t>Giá chuyển nhượng phụ thuộc lãi suất. (Theo title/meta, chưa đọc bài.)</t>
  </si>
  <si>
    <t>Nhắc: chuyển khoản, chuyển nhầm.</t>
  </si>
  <si>
    <t>https://techcombank.com/thong-tin/blog/tien-trung-quoc</t>
  </si>
  <si>
    <t>https://techcombank.com/thong-tin/blog/cach-su-dung-the-visa-techcombank</t>
  </si>
  <si>
    <t>Bài tổng quan tiền Trung Quốc — dẫn sang quy đổi 1 tệ. (Theo title/meta, chưa đọc bài.)</t>
  </si>
  <si>
    <t>https://techcombank.com/thong-tin/blog/1-van-te-bang-bao-nhieu-tien-viet</t>
  </si>
  <si>
    <t>Bài anh em mệnh giá 1 vạn tệ. (Theo title/meta, chưa đọc bài.)</t>
  </si>
  <si>
    <t>tỷ giá Nhân dân tệ</t>
  </si>
  <si>
    <t>https://techcombank.com/thong-tin/blog/1000-te-bang-bao-nhieu-tien-viet</t>
  </si>
  <si>
    <t>https://techcombank.com/thong-tin/blog/ma-swift-ngan-hang</t>
  </si>
  <si>
    <t>Bài anh em mệnh giá 1000 tệ. (Theo title/meta, chưa đọc bài.)</t>
  </si>
  <si>
    <t>https://techcombank.com/thong-tin/blog/thanh-toan-khi-du-lich-trung-quoc</t>
  </si>
  <si>
    <t>Du lịch Trung Quốc cần quy đổi tệ. (Theo title/meta, chưa đọc bài.)</t>
  </si>
  <si>
    <t>https://techcombank.com/thong-tin/blog/vi-dien-tu-la-gi</t>
  </si>
  <si>
    <t>https://techcombank.com/thong-tin/blog/xu-huong-ty-gia-usd</t>
  </si>
  <si>
    <t>Xu hướng tỷ giá USD — người đọc cần tỷ giá hiện tại. (Theo title/meta, chưa đọc bài.)</t>
  </si>
  <si>
    <t>https://techcombank.com/thong-tin/blog/dieu-kien-mua-usd-tu-ngan-hang</t>
  </si>
  <si>
    <t>Mua USD cần biết 1 USD bằng bao nhiêu VND. (Theo title/meta, chưa đọc bài.)</t>
  </si>
  <si>
    <t>1 đô bằng bao nhiêu tiền Việt</t>
  </si>
  <si>
    <t>https://techcombank.com/thong-tin/blog/1-cent-bang-bao-nhieu-tien-viet</t>
  </si>
  <si>
    <t>Bài anh em (cent = 1/100 USD). (Theo title/meta, chưa đọc bài.)</t>
  </si>
  <si>
    <t>tỷ giá USD/VND</t>
  </si>
  <si>
    <t>https://techcombank.com/thong-tin/blog/lai-suat-gui-tiet-kiem-usd</t>
  </si>
  <si>
    <t>Tiết kiệm USD — quy đổi sang VND. (Theo title/meta, chưa đọc bài.)</t>
  </si>
  <si>
    <t>https://techcombank.com/thong-tin/blog/chuyen-tien-tu-my-ve-viet-nam</t>
  </si>
  <si>
    <t>Chuyển tiền từ Mỹ — quy đổi USD. (Theo title/meta, chưa đọc bài.)</t>
  </si>
  <si>
    <t>https://techcombank.com/thong-tin/blog/thanh-toan-khi-du-lich-nhat-ban</t>
  </si>
  <si>
    <t>Du lịch Nhật cần biết mệnh giá tiền Nhật. (Theo title/meta, chưa đọc bài.)</t>
  </si>
  <si>
    <t>https://techcombank.com/thong-tin/blog/cach-chuyen-tien-qua-ma-qr-techcombank</t>
  </si>
  <si>
    <t>https://techcombank.com/thong-tin/blog/chuyen-tien-tu-nhat-ve-viet-nam</t>
  </si>
  <si>
    <t>Chuyển tiền từ Nhật — liên quan tiền Yên. (Theo title/meta, chưa đọc bài.)</t>
  </si>
  <si>
    <t>tiền Yên Nhật</t>
  </si>
  <si>
    <t>https://techcombank.com/thong-tin/blog/the-ghi-no-co-chuyen-khoan-duoc-khong</t>
  </si>
  <si>
    <t>Bài quy đổi 1 Yên dẫn về tổng quan tiền Nhật. (Theo title/meta, chưa đọc bài.)</t>
  </si>
  <si>
    <t>Bài 1 Man dẫn về mệnh giá tiền Nhật. (Theo title/meta, chưa đọc bài.)</t>
  </si>
  <si>
    <t>https://techcombank.com/thong-tin/blog/chuyen-tien-dinh-cu</t>
  </si>
  <si>
    <t>https://techcombank.com/thong-tin/blog/1000-yen-bang-bao-nhieu-tien-viet</t>
  </si>
  <si>
    <t>Bài anh em mệnh giá 1000 Yên. (Theo title/meta, chưa đọc bài.)</t>
  </si>
  <si>
    <t>Bài tổng quan tiền Nhật — đoạn tỷ giá dẫn sang quy đổi 1 Yên. (Theo title/meta, chưa đọc bài.)</t>
  </si>
  <si>
    <t>tỷ giá Yên Nhật</t>
  </si>
  <si>
    <t>1 Man = 10.000 Yên — dẫn sang tỷ giá 1 Yên. (Theo title/meta, chưa đọc bài.)</t>
  </si>
  <si>
    <t>https://techcombank.com/thong-tin/blog/dinh-cu-chau-au</t>
  </si>
  <si>
    <t>Chuyển tiền từ Nhật — quy đổi JPY/VND. (Theo title/meta, chưa đọc bài.)</t>
  </si>
  <si>
    <t>https://techcombank.com/thong-tin/blog/1-trieu-won-bang-bao-nhieu-tien-viet</t>
  </si>
  <si>
    <t>https://techcombank.com/thong-tin/blog/cam-nang-dinh-cu-my</t>
  </si>
  <si>
    <t>Bài anh em mệnh giá 1 triệu Won. (Theo title/meta, chưa đọc bài.)</t>
  </si>
  <si>
    <t>Bài anh em 1000 Won. (Theo title/meta, chưa đọc bài.)</t>
  </si>
  <si>
    <t>tỷ giá Won</t>
  </si>
  <si>
    <t>https://techcombank.com/thong-tin/blog/thanh-toan-khi-du-lich-han-quoc</t>
  </si>
  <si>
    <t>Du lịch Hàn Quốc cần quy đổi Won. (Theo title/meta, chưa đọc bài.)</t>
  </si>
  <si>
    <t>https://techcombank.com/thong-tin/blog/chuyen-tien-tu-han-sang-viet-nam</t>
  </si>
  <si>
    <t>https://techcombank.com/thong-tin/blog/thu-tuc-chuyen-tien-ra-nuoc-ngoai</t>
  </si>
  <si>
    <t>Chuyển tiền Hàn về VN — tỷ giá Won. (Theo title/meta, chưa đọc bài.)</t>
  </si>
  <si>
    <t>So sánh tỷ giá các ngân hàng — chèn ở mục KRW. (Theo title/meta, chưa đọc bài.)</t>
  </si>
  <si>
    <t>https://techcombank.com/thong-tin/blog/1-van-tien-dai-loan-bang-bao-nhieu-tien-viet</t>
  </si>
  <si>
    <t>https://techcombank.com/thong-tin/blog/gui-tien-sang-nuoc-ngoai</t>
  </si>
  <si>
    <t>Bài anh em 1 vạn Đài tệ. (Theo title/meta, chưa đọc bài.)</t>
  </si>
  <si>
    <t>https://techcombank.com/thong-tin/blog/ngoai-te-la-gi</t>
  </si>
  <si>
    <t>Định nghĩa ngoại tệ; chèn ví dụ Đài tệ. (Theo title/meta, chưa đọc bài.)</t>
  </si>
  <si>
    <t>Tân Đài tệ</t>
  </si>
  <si>
    <t>Bảng tỷ giá — chèn ở mục TWD. (Theo title/meta, chưa đọc bài.)</t>
  </si>
  <si>
    <t>tỷ giá Đài tệ</t>
  </si>
  <si>
    <t>https://techcombank.com/thong-tin/blog/chuyen-tien-tu-duc-ve-viet-nam</t>
  </si>
  <si>
    <t>https://techcombank.com/thong-tin/blog/han-muc-mua-ngoai-te-khi-di-du-lich</t>
  </si>
  <si>
    <t>Mua ngoại tệ đi du lịch — chèn ví dụ Đài Loan. (Theo title/meta, chưa đọc bài.)</t>
  </si>
  <si>
    <t>Tổng quan tiền Nhật — đoạn mệnh giá 10.000 Yên dẫn sang 1 Man. (Theo title/meta, chưa đọc bài.)</t>
  </si>
  <si>
    <t>Bài 1 Yên — chèn ở đoạn quy đổi mệnh giá lớn. (Theo title/meta, chưa đọc bài.)</t>
  </si>
  <si>
    <t>1 Man Nhật</t>
  </si>
  <si>
    <t>Bài 1000 Yên — dẫn sang 1 Man. (Theo title/meta, chưa đọc bài.)</t>
  </si>
  <si>
    <t>Người lao động Nhật hay tính lương theo 'man'. (Theo title/meta, chưa đọc bài.)</t>
  </si>
  <si>
    <t>https://techcombank.com/thong-tin/blog/chuyen-tien-tro-cap-than-nhan-o-nuoc-ngoai</t>
  </si>
  <si>
    <t>Du lịch Nhật; chèn ở đoạn chuẩn bị tiền mặt. (Theo title/meta, chưa đọc bài.)</t>
  </si>
  <si>
    <t>https://techcombank.com/thong-tin/blog/thanh-toan-khi-du-lich-thai-lan</t>
  </si>
  <si>
    <t>Du lịch Thái cần biết tiền Thái. (Theo title/meta, chưa đọc bài.)</t>
  </si>
  <si>
    <t>https://techcombank.com/thong-tin/blog/thanh-toan-qr-thai-lan</t>
  </si>
  <si>
    <t>Thanh toán QR ở Thái — liên quan quy đổi Baht. (Theo title/meta, chưa đọc bài.)</t>
  </si>
  <si>
    <t>tiền Baht Thái</t>
  </si>
  <si>
    <t>Mua ngoại tệ đi du lịch — ví dụ Baht. (Theo title/meta, chưa đọc bài.)</t>
  </si>
  <si>
    <t>tiền Baht</t>
  </si>
  <si>
    <t>https://techcombank.com/thong-tin/blog/di-du-lich-nuoc-ngoai-can-chuan-bi-gi</t>
  </si>
  <si>
    <t>Checklist du lịch — mục đổi tiền. (Theo title/meta, chưa đọc bài.)</t>
  </si>
  <si>
    <t>https://techcombank.com/thong-tin/blog/thanh-toan-bang-the-quoc-te</t>
  </si>
  <si>
    <t>Thanh toán thẻ quốc tế khi du lịch — chèn ở đoạn tiền mặt. (Theo title/meta, chưa đọc bài.)</t>
  </si>
  <si>
    <t>Bài 1 USD — chèn ở đoạn quy đổi số tiền lớn. (Theo title/meta, chưa đọc bài.)</t>
  </si>
  <si>
    <t>https://techcombank.com/thong-tin/blog/high-net-worth-client-va-ultra-high-net-worth-client</t>
  </si>
  <si>
    <t>Ngưỡng tài sản 'triệu đô' của HNWI. (Theo title/meta, chưa đọc bài.)</t>
  </si>
  <si>
    <t>Tỷ giá USD — ví dụ quy đổi 1 triệu đô. (Theo title/meta, chưa đọc bài.)</t>
  </si>
  <si>
    <t>Bài 1 Won có bảng quy đổi 1.000 Won (theo meta). (Theo title/meta, chưa đọc bài.)</t>
  </si>
  <si>
    <t>Bài anh em mệnh giá. (Theo title/meta, chưa đọc bài.)</t>
  </si>
  <si>
    <t>1,000 won</t>
  </si>
  <si>
    <t>Du lịch Hàn — giá món đồ thường tính nghìn Won. (Theo title/meta, chưa đọc bài.)</t>
  </si>
  <si>
    <t>Chuyển tiền Hàn — quy đổi. (Theo title/meta, chưa đọc bài.)</t>
  </si>
  <si>
    <t>https://techcombank.com/thong-tin/blog/chuyen-tien-di-uc</t>
  </si>
  <si>
    <t>https://techcombank.com/thong-tin/blog/kieu-hoi-la-gi</t>
  </si>
  <si>
    <t>Kiều hối là tiền từ nước ngoài về. (Theo title/meta, chưa đọc bài.)</t>
  </si>
  <si>
    <t>https://techcombank.com/thong-tin/blog/nhan-tien-western-union</t>
  </si>
  <si>
    <t>https://techcombank.com/thong-tin/blog/tien-lao</t>
  </si>
  <si>
    <t>Một kênh nhận tiền từ nước ngoài. (Theo title/meta, chưa đọc bài.)</t>
  </si>
  <si>
    <t>nhận tiền từ nước ngoài</t>
  </si>
  <si>
    <t>Nhận tiền quốc tế cần mã SWIFT. (Theo title/meta, chưa đọc bài.)</t>
  </si>
  <si>
    <t>nhận kiều hối</t>
  </si>
  <si>
    <t>Trường hợp cụ thể từ Mỹ. (Theo title/meta, chưa đọc bài.)</t>
  </si>
  <si>
    <t>Remittance = chuyển tiền quốc tế. (Theo title/meta, chưa đọc bài.)</t>
  </si>
  <si>
    <t>Điều kiện mua USD → nơi mua. (Theo title/meta, chưa đọc bài.)</t>
  </si>
  <si>
    <t>Hạn mức mua ngoại tệ → nơi đổi. (Theo title/meta, chưa đọc bài.)</t>
  </si>
  <si>
    <t>đổi USD ở đâu</t>
  </si>
  <si>
    <t>So sánh tỷ giá → chọn nơi đổi. (Theo title/meta, chưa đọc bài.)</t>
  </si>
  <si>
    <t>Checklist đi nước ngoài — đổi tiền. (Theo title/meta, chưa đọc bài.)</t>
  </si>
  <si>
    <t>Bài quy đổi USD — chèn ở đoạn đổi tiền. (Theo title/meta, chưa đọc bài.)</t>
  </si>
  <si>
    <t>https://techcombank.com/thong-tin/blog/co-nen-vay-ngan-hang-mua-nha</t>
  </si>
  <si>
    <t>Cân nhắc vay mua nhà — ví dụ khoản vay 1 tỷ. (Theo title/meta, chưa đọc bài.)</t>
  </si>
  <si>
    <t>https://techcombank.com/thong-tin/blog/thu-tuc-vay-ngan-hang-mua-nha</t>
  </si>
  <si>
    <t>Thủ tục vay mua nhà — câu hỏi trả mỗi tháng bao nhiêu. (Theo title/meta, chưa đọc bài.)</t>
  </si>
  <si>
    <t>vay 1 tỷ mỗi tháng trả bao nhiêu</t>
  </si>
  <si>
    <t>https://techcombank.com/thong-tin/blog/kinh-nghiem-vay-tien-mua-nha</t>
  </si>
  <si>
    <t>Kinh nghiệm tránh áp lực trả nợ hàng tháng. (Theo title/meta, chưa đọc bài.)</t>
  </si>
  <si>
    <t>vay 1 tỷ trong 20 năm mỗi tháng trả bao nhiêu</t>
  </si>
  <si>
    <t>https://techcombank.com/thong-tin/blog/vay-mua-chung-cu</t>
  </si>
  <si>
    <t>Vay mua chung cư thường ở mức ~1 tỷ. (Theo title/meta, chưa đọc bài.)</t>
  </si>
  <si>
    <t>https://techcombank.com/thong-tin/blog/lai-suat-vay-the-chap</t>
  </si>
  <si>
    <t>Tài khoản cho con — phụ huynh cần biết quy định độ tuổi.</t>
  </si>
  <si>
    <t>Lãi suất thế chấp → số tiền trả hàng tháng. (Theo title/meta, chưa đọc bài.)</t>
  </si>
  <si>
    <t>Meta description bài đích (vay-ngan-hang-1-ty) đang lệch nội dung — nên sửa. Bài chưa có trong file crawl: kiểm tra link cũ khi mở bài.</t>
  </si>
  <si>
    <t>https://techcombank.com/thong-tin/blog/dat-ve-may-bay</t>
  </si>
  <si>
    <t>HSSV chọn thẻ — câu hỏi bao nhiêu tuổi được làm thẻ đi kèm.</t>
  </si>
  <si>
    <t>Đặt vé máy bay online — Traveloka là kênh đặt vé. (Theo title/meta, chưa đọc bài.)</t>
  </si>
  <si>
    <t>https://techcombank.com/thong-tin/blog/mua-ve-may-bay-gia-re</t>
  </si>
  <si>
    <t>Săn vé rẻ — dùng voucher Traveloka. (Theo title/meta, chưa đọc bài.)</t>
  </si>
  <si>
    <t>Làm thẻ ATM; chèn ở mục điều kiện (độ tuổi).</t>
  </si>
  <si>
    <t>cách lấy voucher Traveloka</t>
  </si>
  <si>
    <t>https://techcombank.com/thong-tin/blog/techcombank-oneu</t>
  </si>
  <si>
    <t>Đổi điểm U-Point trên OneU — voucher Traveloka là quà đổi. (Theo title/meta, chưa đọc bài.)</t>
  </si>
  <si>
    <t>https://techcombank.com/thong-tin/blog/1-nguoi-co-the-lam-duoc-bao-nhieu-the-atm</t>
  </si>
  <si>
    <t>https://techcombank.com/thong-tin/blog/tich-diem-doi-qua</t>
  </si>
  <si>
    <t>Tích điểm đổi quà — ví dụ voucher Traveloka. (Theo title/meta, chưa đọc bài.)</t>
  </si>
  <si>
    <t>Quy định làm thẻ; chèn ở đoạn điều kiện chủ thẻ. (Liên quan yếu – bản chặt đã loại.)</t>
  </si>
  <si>
    <t>https://techcombank.com/thong-tin/blog/ho-kinh-doanh-la-gi</t>
  </si>
  <si>
    <t>https://techcombank.com/thong-tin/blog/lam-the-atm-bao-lau-co</t>
  </si>
  <si>
    <t>Có mục 'mức thuế phải đóng' (theo title). (Theo title/meta, chưa đọc bài.)</t>
  </si>
  <si>
    <t>https://techcombank.com/thong-tin/blog/thue-khoan-ho-kinh-doanh-la-gi</t>
  </si>
  <si>
    <t>Thời gian làm thẻ; chèn ở đoạn điều kiện làm thẻ. (Liên quan yếu – bản chặt đã loại.)</t>
  </si>
  <si>
    <t>Thuế khoán là cách đóng thuế của HKD. (Theo title/meta, chưa đọc bài.)</t>
  </si>
  <si>
    <t>hộ kinh doanh đóng thuế</t>
  </si>
  <si>
    <t>https://techcombank.com/thong-tin/blog/tap-doan-thanh-quang-khoi-sac-kinh-doanh-nho-nguon-von-vay-tin-dung-techcombank-tren-nen-tang-misa-lending</t>
  </si>
  <si>
    <t>Miễn thuế — đối lập với nghĩa vụ đóng thuế. (Theo title/meta, chưa đọc bài.)</t>
  </si>
  <si>
    <t>thuế hộ kinh doanh</t>
  </si>
  <si>
    <t>Nhắc: trẻ em.</t>
  </si>
  <si>
    <t>Truy thu khi đóng thuế sai. (Theo title/meta, chưa đọc bài.)</t>
  </si>
  <si>
    <t>nghĩa vụ thuế hộ kinh doanh</t>
  </si>
  <si>
    <t>https://techcombank.com/thong-tin/blog/the-he-ke-can</t>
  </si>
  <si>
    <t>https://techcombank.com/thong-tin/blog/thue-ho-kinh-doanh-2025</t>
  </si>
  <si>
    <t>Cập nhật quy định HKD — chèn ở đoạn thuế. (Theo title/meta, chưa đọc bài.)</t>
  </si>
  <si>
    <t>Nhắc: cho con.</t>
  </si>
  <si>
    <t>https://techcombank.com/thong-tin/blog/nhuong-quyen-la-gi</t>
  </si>
  <si>
    <t>Nhượng quyền là một mô hình kinh doanh. (Theo title/meta, chưa đọc bài.)</t>
  </si>
  <si>
    <t>Nhắc: tuổi.</t>
  </si>
  <si>
    <t>https://techcombank.com/thong-tin/blog/kinh-doanh-online</t>
  </si>
  <si>
    <t>Kinh doanh online — chọn mô hình. (Theo title/meta, chưa đọc bài.)</t>
  </si>
  <si>
    <t>mô hình kinh doanh</t>
  </si>
  <si>
    <t>https://techcombank.com/thong-tin/blog/lam-the-atm-co-mat-phi-khong</t>
  </si>
  <si>
    <t>Mô hình One-Stop Shop. (Theo title/meta, chưa đọc bài.)</t>
  </si>
  <si>
    <t>Nhắc: làm thẻ.</t>
  </si>
  <si>
    <t>https://techcombank.com/thong-tin/blog/cach-tao-ma-qr</t>
  </si>
  <si>
    <t>https://techcombank.com/thong-tin/blog/sai-lam-ve-tai-chinh-ca-nhan</t>
  </si>
  <si>
    <t>Tạo xong mã QR → gửi cho người khác. (Theo title/meta, chưa đọc bài.)</t>
  </si>
  <si>
    <t>https://techcombank.com/thong-tin/blog/in-ma-qr-ngan-hang</t>
  </si>
  <si>
    <t>https://techcombank.com/thong-tin/blog/the-visa-de-lam-gi</t>
  </si>
  <si>
    <t>In mã QR — dạng chia sẻ khác. (Theo title/meta, chưa đọc bài.)</t>
  </si>
  <si>
    <t>cách gửi mã QR ngân hàng</t>
  </si>
  <si>
    <t>https://techcombank.com/thong-tin/blog/lo-ma-qr-ngan-hang-co-sao-khong</t>
  </si>
  <si>
    <t>Gửi mã QR có an toàn không. (Theo title/meta, chưa đọc bài.)</t>
  </si>
  <si>
    <t>https://techcombank.com/thong-tin/blog/lam-ma-qr-ngan-hang-co-mat-phi-khong</t>
  </si>
  <si>
    <t>Phí làm mã QR — dẫn sang cách lấy/gửi. (Theo title/meta, chưa đọc bài.)</t>
  </si>
  <si>
    <t>Lỗi mã QR khi gửi/nhận. (Theo title/meta, chưa đọc bài.)</t>
  </si>
  <si>
    <t>HKD cần gì ở TK — sát chủ đề. (Theo title/meta, chưa đọc bài.)</t>
  </si>
  <si>
    <t>https://techcombank.com/thong-tin/blog/thanh-lap-ho-kinh-doanh-ca-the</t>
  </si>
  <si>
    <t>Thành lập HKD xong → mở TK. (Theo title/meta, chưa đọc bài.)</t>
  </si>
  <si>
    <t>cách mở tài khoản hộ kinh doanh</t>
  </si>
  <si>
    <t>Nhắc: tuổi, học sinh.</t>
  </si>
  <si>
    <t>Khai báo TK với thuế — cần có TK HKD. (Theo title/meta, chưa đọc bài.)</t>
  </si>
  <si>
    <t>tài khoản hộ kinh doanh</t>
  </si>
  <si>
    <t>https://techcombank.com/thong-tin/blog/ho-kinh-doanh-ca-the</t>
  </si>
  <si>
    <t>https://techcombank.com/thong-tin/blog/no-xau-co-lam-the-visa-duoc-khong</t>
  </si>
  <si>
    <t>Định nghĩa HKD cá thể. (Theo title/meta, chưa đọc bài.)</t>
  </si>
  <si>
    <t>https://techcombank.com/thong-tin/blog/cach-dang-ky-ma-so-thue-ho-kinh-doanh-online</t>
  </si>
  <si>
    <t>Đăng ký MST HKD — bước liền kề. (Theo title/meta, chưa đọc bài.)</t>
  </si>
  <si>
    <t>Kê khai cần tính số thuế trước. (Theo title/meta, chưa đọc bài.)</t>
  </si>
  <si>
    <t>https://techcombank.com/thong-tin/blog/lam-the-visa-mat-bao-lau</t>
  </si>
  <si>
    <t>Kiểm tra số thuế → đối chiếu cách tính. (Theo title/meta, chưa đọc bài.)</t>
  </si>
  <si>
    <t>cách tính thuế hộ kinh doanh</t>
  </si>
  <si>
    <t>Thuế TMĐT cho HKD — tính theo tỷ lệ doanh thu. (Theo title/meta, chưa đọc bài.)</t>
  </si>
  <si>
    <t>Chính sách thuế mới cho HKD. (Theo title/meta, chưa đọc bài.)</t>
  </si>
  <si>
    <t>Tổng quan HKD — chèn ở đoạn nghĩa vụ thuế. (Theo title/meta, chưa đọc bài.)</t>
  </si>
  <si>
    <t>https://techcombank.com/thong-tin/blog/shopeepay-la-gi</t>
  </si>
  <si>
    <t>https://techcombank.com/thong-tin/blog/du-no-la-gi</t>
  </si>
  <si>
    <t>Dư nợ là cơ sở tính lãi. (Theo title/meta, chưa đọc bài.)</t>
  </si>
  <si>
    <t>https://techcombank.com/thong-tin/blog/an-han-no-goc-la-gi</t>
  </si>
  <si>
    <t>Ân hạn gốc thay đổi cách tính lãi. (Theo title/meta, chưa đọc bài.)</t>
  </si>
  <si>
    <t>cách tính lãi suất vay ngân hàng</t>
  </si>
  <si>
    <t>https://techcombank.com/thong-tin/blog/lai-suat-tha-noi</t>
  </si>
  <si>
    <t>Nhắc: sinh viên.</t>
  </si>
  <si>
    <t>Lãi thả nổi/cố định → cách tính khác nhau. (Theo title/meta, chưa đọc bài.)</t>
  </si>
  <si>
    <t>công thức tính lãi vay</t>
  </si>
  <si>
    <t>https://techcombank.com/thong-tin/blog/cong-thuc-tinh-lai-suat-thuc</t>
  </si>
  <si>
    <t>https://techcombank.com/thong-tin/blog/the-mastercard-la-gi</t>
  </si>
  <si>
    <t>Công thức lãi suất thực — cùng chủ đề tính lãi. (Theo title/meta, chưa đọc bài.)</t>
  </si>
  <si>
    <t>tính lãi vay theo dư nợ giảm dần</t>
  </si>
  <si>
    <t>https://techcombank.com/thong-tin/blog/vay-tra-gop</t>
  </si>
  <si>
    <t>Vay trả góp — chèn ở đoạn chi phí lãi. (Theo title/meta, chưa đọc bài.)</t>
  </si>
  <si>
    <t>https://techcombank.com/thong-tin/blog/lam-the-visa-online</t>
  </si>
  <si>
    <t>Hạn mức vay sổ đỏ — anh em trực tiếp. (Theo title/meta, chưa đọc bài.)</t>
  </si>
  <si>
    <t>https://techcombank.com/thong-tin/blog/vay-the-chap-so-hong</t>
  </si>
  <si>
    <t>Sổ hồng ~ sổ đỏ, cùng nhu cầu. (Theo title/meta, chưa đọc bài.)</t>
  </si>
  <si>
    <t>vay thế chấp sổ đỏ</t>
  </si>
  <si>
    <t>https://techcombank.com/thong-tin/blog/kinh-nghiem-vay-the-chap-ngan-hang</t>
  </si>
  <si>
    <t>Kinh nghiệm vay lãi tối ưu. (Theo title/meta, chưa đọc bài.)</t>
  </si>
  <si>
    <t>lãi suất vay thế chấp sổ hồng</t>
  </si>
  <si>
    <t>Chọn ngân hàng — lãi suất là tiêu chí. (Theo title/meta, chưa đọc bài.)</t>
  </si>
  <si>
    <t>vay thế chấp sổ đỏ ngân hàng</t>
  </si>
  <si>
    <t>https://techcombank.com/thong-tin/blog/vay-the-chap-la-gi</t>
  </si>
  <si>
    <t>Định nghĩa — chèn ở đoạn tài sản là sổ đỏ. (Theo title/meta, chưa đọc bài.)</t>
  </si>
  <si>
    <t>https://techcombank.com/thong-tin/blog/lam-the-thanh-toan-quoc-te</t>
  </si>
  <si>
    <t>https://techcombank.com/thong-tin/blog/quy-trinh-tat-toan-khoan-vay-the-chap</t>
  </si>
  <si>
    <t>Tất toán xong → xóa thế chấp. (Theo title/meta, chưa đọc bài.)</t>
  </si>
  <si>
    <t>https://techcombank.com/thong-tin/blog/tat-toan</t>
  </si>
  <si>
    <t>Tất toán khoản vay → bước giải chấp. (Theo title/meta, chưa đọc bài.)</t>
  </si>
  <si>
    <t>https://techcombank.com/thong-tin/blog/dieu-kien-vay-the-chap</t>
  </si>
  <si>
    <t>hồ sơ thủ tục xóa thế chấp</t>
  </si>
  <si>
    <t>https://techcombank.com/thong-tin/blog/the-chap-la-gi</t>
  </si>
  <si>
    <t>Định nghĩa thế chấp; chèn ở đoạn kết thúc thế chấp. (Theo title/meta, chưa đọc bài.)</t>
  </si>
  <si>
    <t>xóa thế chấp sổ đỏ</t>
  </si>
  <si>
    <t>https://techcombank.com/thong-tin/blog/nen-gui-tiet-kiem-6-thang-hay-1-nam</t>
  </si>
  <si>
    <t>https://techcombank.com/thong-tin/blog/thanh-toan-hoc-phi-online</t>
  </si>
  <si>
    <t>So kỳ hạn để lãi cao — cần bảng lãi suất. (Theo title/meta, chưa đọc bài.)</t>
  </si>
  <si>
    <t>Nhắc: học sinh.</t>
  </si>
  <si>
    <t>https://techcombank.com/thong-tin/blog/tai-sao-gui-tiet-kiem-online-lai-suat-cao-hon</t>
  </si>
  <si>
    <t>Thẻ Debit cho con — mở TK cho con dưới 18 tuổi là bước đi kèm.</t>
  </si>
  <si>
    <t>So lãi online/quầy. (Theo title/meta, chưa đọc bài.)</t>
  </si>
  <si>
    <t>lãi suất gửi tiết kiệm</t>
  </si>
  <si>
    <t>https://techcombank.com/thong-tin/blog/co-nen-gui-tiet-kiem-ngan-hang</t>
  </si>
  <si>
    <t>Quyết định gửi dựa trên lãi suất hiện tại. (Theo title/meta, chưa đọc bài.)</t>
  </si>
  <si>
    <t>lãi suất tiết kiệm các ngân hàng</t>
  </si>
  <si>
    <t>Mở TK tiết kiệm cho con — liên quan trực tiếp.</t>
  </si>
  <si>
    <t>https://techcombank.com/thong-tin/blog/tien-gui-co-ky-han</t>
  </si>
  <si>
    <t>Top ngân hàng lãi suất hấp dẫn. (Theo title/meta, chưa đọc bài.)</t>
  </si>
  <si>
    <t>https://techcombank.com/thong-tin/blog/so-sanh-gui-tiet-kiem-online-va-tai-quay</t>
  </si>
  <si>
    <t>Mở TK online; chèn câu lưu ý cho người dưới 18 tuổi.</t>
  </si>
  <si>
    <t>So sánh lãi suất, kỳ hạn hôm nay. (Theo title/meta, chưa đọc bài.)</t>
  </si>
  <si>
    <t>https://techcombank.com/thong-tin/blog/quy-gia-dinh</t>
  </si>
  <si>
    <t>https://techcombank.com/thong-tin/blog/lai-kep-ngan-hang</t>
  </si>
  <si>
    <t>Quỹ gia đình trên app; chèn ở đoạn thành viên là con. (Liên quan yếu – bản chặt đã loại.)</t>
  </si>
  <si>
    <t>Lãi kép và công thức tính. (Theo title/meta, chưa đọc bài.)</t>
  </si>
  <si>
    <t>https://techcombank.com/thong-tin/blog/gui-tiet-kiem-lay-lai-hang-thang</t>
  </si>
  <si>
    <t>Nhận lãi hàng tháng — cách tính khác lãi cuối kỳ. (Theo title/meta, chưa đọc bài.)</t>
  </si>
  <si>
    <t>công thức tính lãi tiết kiệm</t>
  </si>
  <si>
    <t>https://techcombank.com/thong-tin/blog/dao-tao-the-he-ke-can</t>
  </si>
  <si>
    <t>Có mục cách tính lãi (theo title). (Theo title/meta, chưa đọc bài.)</t>
  </si>
  <si>
    <t>Dạy con quản lý tài chính sớm; chèn ở đoạn thực hành có TK riêng. (Liên quan yếu – bản chặt đã loại.)</t>
  </si>
  <si>
    <t>https://techcombank.com/thong-tin/blog/tien-gui-khong-ky-han</t>
  </si>
  <si>
    <t>Có mục cách tính lãi không kỳ hạn. (Theo title/meta, chưa đọc bài.)</t>
  </si>
  <si>
    <t>https://techcombank.com/thong-tin/blog/dao-han-la-gi</t>
  </si>
  <si>
    <t>Đáo hạn và cách tính. (Theo title/meta, chưa đọc bài.)</t>
  </si>
  <si>
    <t>Nhắc: cho con, thế hệ kế cận.</t>
  </si>
  <si>
    <t>https://techcombank.com/thong-tin/blog/tat-toan-so-tiet-kiem</t>
  </si>
  <si>
    <t>Tất toán trước hạn = rút trước hạn. (Theo title/meta, chưa đọc bài.)</t>
  </si>
  <si>
    <t>https://techcombank.com/thong-tin/blog/gui-tiet-kiem-online-co-rut-truoc-han-duoc-khong</t>
  </si>
  <si>
    <t>https://techcombank.com/thong-tin/blog/cho-vay-kinh-doanh-ho-gia-dinh</t>
  </si>
  <si>
    <t>Cùng câu hỏi cho tiết kiệm online. (Theo title/meta, chưa đọc bài.)</t>
  </si>
  <si>
    <t>rút tiết kiệm trước hạn</t>
  </si>
  <si>
    <t>Nhắc: gia đình.</t>
  </si>
  <si>
    <t>https://techcombank.com/thong-tin/blog/vay-thau-chi-bang-so-tiet-kiem</t>
  </si>
  <si>
    <t>https://techcombank.com/thong-tin/blog/cach-tiet-kiem-tien-hieu-qua-cho-gia-dinh</t>
  </si>
  <si>
    <t>Phương án thay cho rút trước hạn. (Theo title/meta, chưa đọc bài.)</t>
  </si>
  <si>
    <t>https://techcombank.com/thong-tin/blog/mat-so-tiet-kiem</t>
  </si>
  <si>
    <t>Mất sổ — chèn ở đoạn rút tiền. (Theo title/meta, chưa đọc bài.)</t>
  </si>
  <si>
    <t>https://techcombank.com/thong-tin/blog/gui-them-tien-vao-so-tiet-kiem</t>
  </si>
  <si>
    <t>https://techcombank.com/thong-tin/blog/bao-hiem-suc-khoe-la-gi</t>
  </si>
  <si>
    <t>Các thao tác với sổ tiết kiệm. (Theo title/meta, chưa đọc bài.)</t>
  </si>
  <si>
    <t>https://techcombank.com/thong-tin/blog/mo-so-tiet-kiem-can-bao-nhieu-tien</t>
  </si>
  <si>
    <t>Mở sổ cần bao nhiêu tiền. (Theo title/meta, chưa đọc bài.)</t>
  </si>
  <si>
    <t>TK tiết kiệm ~ sổ tiết kiệm. (Theo title/meta, chưa đọc bài.)</t>
  </si>
  <si>
    <t>sổ tiết kiệm</t>
  </si>
  <si>
    <t>https://techcombank.com/thong-tin/blog/bao-hiem-nhan-tho-la-gi</t>
  </si>
  <si>
    <t>Mất sổ — cần hiểu sổ. (Theo title/meta, chưa đọc bài.)</t>
  </si>
  <si>
    <t>Gửi thêm vào sổ. (Theo title/meta, chưa đọc bài.)</t>
  </si>
  <si>
    <t>https://techcombank.com/thong-tin/blog/quy-trinh-gui-tien-tiet-kiem</t>
  </si>
  <si>
    <t>Quy trình gửi tiết kiệm tại quầy. (Theo title/meta, chưa đọc bài.)</t>
  </si>
  <si>
    <t>https://techcombank.com/thong-tin/blog/cach-tiet-kiem-tien-theo-tuan</t>
  </si>
  <si>
    <t>Cách tiết kiệm theo tuần — dẫn sang 11 cách. (Theo title/meta, chưa đọc bài.)</t>
  </si>
  <si>
    <t>https://techcombank.com/thong-tin/blog/cac-loai-hinh-bao-hiem-nhan-tho</t>
  </si>
  <si>
    <t>https://techcombank.com/thong-tin/blog/tiet-kiem-tien-moi-ngay</t>
  </si>
  <si>
    <t>Tiết kiệm theo ngày. (Theo title/meta, chưa đọc bài.)</t>
  </si>
  <si>
    <t>cách tiết kiệm tiền hiệu quả</t>
  </si>
  <si>
    <t>Tiết kiệm tiền lương. (Theo title/meta, chưa đọc bài.)</t>
  </si>
  <si>
    <t>https://techcombank.com/thong-tin/blog/loi-ich-cua-viec-tiet-kiem-tien</t>
  </si>
  <si>
    <t>Lợi ích tiết kiệm → cách làm. (Theo title/meta, chưa đọc bài.)</t>
  </si>
  <si>
    <t>https://techcombank.com/thong-tin/blog/the-nao-la-tiet-kiem</t>
  </si>
  <si>
    <t>Máy CDM dùng để nộp tiền — một trong các cách nạp tiền vào TK.</t>
  </si>
  <si>
    <t>Thực hành tiết kiệm. (Theo title/meta, chưa đọc bài.)</t>
  </si>
  <si>
    <t>https://techcombank.com/thong-tin/blog/co-nen-gui-tiet-kiem-online</t>
  </si>
  <si>
    <t>Nạp tiền vào thẻ ghi nợ = nạp vào TK gắn thẻ.</t>
  </si>
  <si>
    <t>Lý do nên gửi → đối chiếu rủi ro. (Theo title/meta, chưa đọc bài.)</t>
  </si>
  <si>
    <t>https://techcombank.com/thong-tin/blog/gui-tiet-kiem-online-bi-mat-tien</t>
  </si>
  <si>
    <t>Mất tiền gửi online — rủi ro cụ thể. (Theo title/meta, chưa đọc bài.)</t>
  </si>
  <si>
    <t>gửi tiết kiệm online có an toàn không</t>
  </si>
  <si>
    <t>https://techcombank.com/thong-tin/blog/kinh-nghiem-gui-tiet-kiem-online</t>
  </si>
  <si>
    <t>TK 0 đồng → giải pháp nạp thêm tiền.</t>
  </si>
  <si>
    <t>Kinh nghiệm gửi an toàn. (Theo title/meta, chưa đọc bài.)</t>
  </si>
  <si>
    <t>https://techcombank.com/thong-tin/blog/cach-gui-tiet-kiem-online</t>
  </si>
  <si>
    <t>Hướng dẫn gửi — chèn lưu ý rủi ro. (Theo title/meta, chưa đọc bài.)</t>
  </si>
  <si>
    <t>https://techcombank.com/thong-tin/blog/rui-ro-khi-gui-tiet-kiem-ngan-hang</t>
  </si>
  <si>
    <t>Bài anh em (rủi ro chung). (Theo title/meta, chưa đọc bài.)</t>
  </si>
  <si>
    <t>Tìm ATM/CDM gần đây để nộp tiền.</t>
  </si>
  <si>
    <t>https://techcombank.com/thong-tin/blog/vay-100-trieu</t>
  </si>
  <si>
    <t>Vay 100 triệu — dùng công cụ tính tiền trả. (Theo title/meta, chưa đọc bài.)</t>
  </si>
  <si>
    <t>https://techcombank.com/thong-tin/blog/mm-yy-la-gi</t>
  </si>
  <si>
    <t>https://techcombank.com/thong-tin/blog/vay-200-trieu</t>
  </si>
  <si>
    <t>Nhắc: atm.</t>
  </si>
  <si>
    <t>Vay 200 triệu trả góp — người đọc cần tính số tiền trả hàng tháng. (Theo title/meta, chưa đọc bài.)</t>
  </si>
  <si>
    <t>công cụ tính lãi suất vay ngân hàng</t>
  </si>
  <si>
    <t>https://techcombank.com/thong-tin/blog/vay-300-trieu</t>
  </si>
  <si>
    <t>Vay 300 triệu trả góp — người đọc cần tính số tiền trả hàng tháng. (Theo title/meta, chưa đọc bài.)</t>
  </si>
  <si>
    <t>bảng tính lãi suất vay</t>
  </si>
  <si>
    <t>Nhắc: nộp tiền.</t>
  </si>
  <si>
    <t>Vay trả góp — tính số tiền trả. (Theo title/meta, chưa đọc bài.)</t>
  </si>
  <si>
    <t>https://techcombank.com/thong-tin/blog/dang-vay-tra-gop-co-vay-them-duoc-khong</t>
  </si>
  <si>
    <t>Vay thêm → tính lại khả năng trả. (Theo title/meta, chưa đọc bài.)</t>
  </si>
  <si>
    <t>https://techcombank.com/thong-tin/blog/cach-tiet-kiem-100-trieu-1-nam</t>
  </si>
  <si>
    <t>Mục tiêu 100 triệu — tính lãi tích lũy. (Theo title/meta, chưa đọc bài.)</t>
  </si>
  <si>
    <t>So sánh gửi tiết kiệm 50 triệu — cần tính lãi. (Theo title/meta, chưa đọc bài.)</t>
  </si>
  <si>
    <t>bảng tính lãi suất tiết kiệm</t>
  </si>
  <si>
    <t>https://techcombank.com/thong-tin/blog/gui-tiet-kiem-tich-luy-la-gi</t>
  </si>
  <si>
    <t>Tiết kiệm tích lũy — tính lãi. (Theo title/meta, chưa đọc bài.)</t>
  </si>
  <si>
    <t>Trước khi gửi, tính lãi dự kiến. (Theo title/meta, chưa đọc bài.)</t>
  </si>
  <si>
    <t>https://techcombank.com/thong-tin/blog/tra-cuu-han-muc-the-tin-dung</t>
  </si>
  <si>
    <t>https://techcombank.com/thong-tin/blog/nen-de-tien-trong-the-hay-gui-tiet-kiem</t>
  </si>
  <si>
    <t>So sánh lãi — dùng công cụ. (Theo title/meta, chưa đọc bài.)</t>
  </si>
  <si>
    <t>https://techcombank.com/thong-tin/blog/vay-tien-online</t>
  </si>
  <si>
    <t>Nhắc: nạp tiền.</t>
  </si>
  <si>
    <t>Vay online — app là kênh chính. (Theo title/meta, chưa đọc bài.)</t>
  </si>
  <si>
    <t>Bài chưa có trong file crawl: kiểm tra link cũ khi mở bài. Anchor "vay tiền online" của trang đích 68 trùng chủ đề chính bài này — không dùng anchor đó tại đây; cân nhắc rủi ro ăn thịt từ khóa giữa vay-tien-online và app-vay-tien-nhanh.</t>
  </si>
  <si>
    <t>https://techcombank.com/thong-tin/blog/vay-ngan-hang-chi-can-cccd</t>
  </si>
  <si>
    <t>Vay chỉ cần CCCD — trùng nhu cầu. (Theo title/meta, chưa đọc bài.)</t>
  </si>
  <si>
    <t>app vay tiền chỉ cần CCCD</t>
  </si>
  <si>
    <t>https://techcombank.com/thong-tin/blog/vay-30-trieu</t>
  </si>
  <si>
    <t>Vay nhanh 24/24. (Theo title/meta, chưa đọc bài.)</t>
  </si>
  <si>
    <t>vay tiền online</t>
  </si>
  <si>
    <t>https://techcombank.com/thong-tin/blog/vay-50-trieu</t>
  </si>
  <si>
    <t>Vay online 3 phút. (Theo title/meta, chưa đọc bài.)</t>
  </si>
  <si>
    <t>https://techcombank.com/thong-tin/blog/vay-sieu-toc</t>
  </si>
  <si>
    <t>Vay siêu tốc. (Theo title/meta, chưa đọc bài.)</t>
  </si>
  <si>
    <t>https://techcombank.com/thong-tin/blog/lai-suat-la-gi</t>
  </si>
  <si>
    <t>Lãi suất là gì → lãi suất vay hiện nay. (Theo title/meta, chưa đọc bài.)</t>
  </si>
  <si>
    <t>Lãi vay tiêu dùng — một phần lãi vay ngân hàng. (Theo title/meta, chưa đọc bài.)</t>
  </si>
  <si>
    <t>lãi suất vay ngân hàng mới nhất</t>
  </si>
  <si>
    <t>Lãi vay tín chấp — anh em. (Theo title/meta, chưa đọc bài.)</t>
  </si>
  <si>
    <t>Điều kiện vay — chèn ở đoạn chi phí vay. (Theo title/meta, chưa đọc bài.)</t>
  </si>
  <si>
    <t>https://techcombank.com/thong-tin/blog/lai-suat-qua-han</t>
  </si>
  <si>
    <t>https://techcombank.com/thong-tin/blog/the-atm-gan-chip</t>
  </si>
  <si>
    <t>Lãi quá hạn so với lãi vay thông thường. (Theo title/meta, chưa đọc bài.)</t>
  </si>
  <si>
    <t>https://techcombank.com/thong-tin/blog/han-muc-thau-chi-la-gi</t>
  </si>
  <si>
    <t>Hạn mức thấu chi. (Theo title/meta, chưa đọc bài.)</t>
  </si>
  <si>
    <t>https://techcombank.com/thong-tin/blog/lai-suat-vay-thau-chi</t>
  </si>
  <si>
    <t>Lãi suất thấu chi. (Theo title/meta, chưa đọc bài.)</t>
  </si>
  <si>
    <t>vay thấu chi</t>
  </si>
  <si>
    <t>https://techcombank.com/thong-tin/blog/thoi-han-vay-thau-chi</t>
  </si>
  <si>
    <t>Thời hạn thấu chi. (Theo title/meta, chưa đọc bài.)</t>
  </si>
  <si>
    <t>https://techcombank.com/thong-tin/blog/tra-no-vay-thau-chi-nhu-the-nao</t>
  </si>
  <si>
    <t>Trả nợ thấu chi. (Theo title/meta, chưa đọc bài.)</t>
  </si>
  <si>
    <t>https://techcombank.com/thong-tin/blog/vay-han-muc-la-gi</t>
  </si>
  <si>
    <t>Vay hạn mức — gần với thấu chi. (Theo title/meta, chưa đọc bài.)</t>
  </si>
  <si>
    <t>https://techcombank.com/thong-tin/blog/ma-pin-the-atm</t>
  </si>
  <si>
    <t>Trước khi làm thẻ cần kiểm tra nợ xấu. (Theo title/meta, chưa đọc bài.)</t>
  </si>
  <si>
    <t>https://techcombank.com/thong-tin/blog/no-xau-mo-the-tin-dung-duoc-khong</t>
  </si>
  <si>
    <t>Nợ xấu có mở thẻ tín dụng được không — cần kiểm tra nợ xấu trước khi mở thẻ. (Theo title/meta, chưa đọc bài.)</t>
  </si>
  <si>
    <t>tra cứu nợ xấu</t>
  </si>
  <si>
    <t>https://techcombank.com/thong-tin/blog/vay-tin-chap-no-xau</t>
  </si>
  <si>
    <t>Có mục cách kiểm tra (theo title). (Theo title/meta, chưa đọc bài.)</t>
  </si>
  <si>
    <t>Kiểm tra trước khi vay thế chấp. (Theo title/meta, chưa đọc bài.)</t>
  </si>
  <si>
    <t>Nợ nhóm 2 — kiểm tra nhóm nợ. (Theo title/meta, chưa đọc bài.)</t>
  </si>
  <si>
    <t>https://techcombank.com/thong-tin/blog/vay-tin-chap-la-gi</t>
  </si>
  <si>
    <t>Định nghĩa → chọn nơi vay. (Theo title/meta, chưa đọc bài.)</t>
  </si>
  <si>
    <t>https://techcombank.com/thong-tin/blog/cach-kich-hoat-the-atm</t>
  </si>
  <si>
    <t>https://techcombank.com/thong-tin/blog/ho-so-vay-tin-chap</t>
  </si>
  <si>
    <t>Hồ sơ vay → nơi nộp. (Theo title/meta, chưa đọc bài.)</t>
  </si>
  <si>
    <t>https://techcombank.com/thong-tin/blog/vay-tin-chap-toi-da-duoc-bao-nhieu</t>
  </si>
  <si>
    <t>https://techcombank.com/thong-tin/blog/atm-la-gi</t>
  </si>
  <si>
    <t>Hạn mức khác nhau giữa ngân hàng. (Theo title/meta, chưa đọc bài.)</t>
  </si>
  <si>
    <t>https://techcombank.com/thong-tin/blog/vay-tin-chap-va-vay-the-chap</t>
  </si>
  <si>
    <t>Chọn hình thức → chọn nơi vay. (Theo title/meta, chưa đọc bài.)</t>
  </si>
  <si>
    <t>So lãi suất các ngân hàng. (Theo title/meta, chưa đọc bài.)</t>
  </si>
  <si>
    <t>Nợ nhóm 2 — giải thích nợ xấu. (Theo title/meta, chưa đọc bài.)</t>
  </si>
  <si>
    <t>Nợ nhóm 3 là nợ xấu. (Theo title/meta, chưa đọc bài.)</t>
  </si>
  <si>
    <t>nợ xấu</t>
  </si>
  <si>
    <t>https://techcombank.com/thong-tin/blog/du-no-tin-dung-la-gi</t>
  </si>
  <si>
    <t>https://techcombank.com/thong-tin/blog/chuyen-doi-the-atm</t>
  </si>
  <si>
    <t>Dư nợ — chèn ở đoạn chất lượng dư nợ. (Theo title/meta, chưa đọc bài.)</t>
  </si>
  <si>
    <t>Quá hạn thẻ có thể thành nợ xấu. (Theo title/meta, chưa đọc bài.)</t>
  </si>
  <si>
    <t>https://techcombank.com/thong-tin/blog/vay-the-chap-khong-tra-duoc</t>
  </si>
  <si>
    <t>Bài anh em (thế chấp). (Theo title/meta, chưa đọc bài.)</t>
  </si>
  <si>
    <t>Lãi quá hạn khi không trả được. (Theo title/meta, chưa đọc bài.)</t>
  </si>
  <si>
    <t>Nợ quá hạn tương tự. (Theo title/meta, chưa đọc bài.)</t>
  </si>
  <si>
    <t>https://techcombank.com/thong-tin/blog/the-visa-ao-la-gi</t>
  </si>
  <si>
    <t>Định nghĩa — chèn ở đoạn rủi ro. (Theo title/meta, chưa đọc bài.)</t>
  </si>
  <si>
    <t>https://techcombank.com/thong-tin/blog/chung-chi-quy</t>
  </si>
  <si>
    <t>https://techcombank.com/thong-tin/blog/the-atm-tu</t>
  </si>
  <si>
    <t>Chứng chỉ quỹ là gì → phương pháp đầu tư. (Theo title/meta, chưa đọc bài.)</t>
  </si>
  <si>
    <t>Hướng dẫn mua → phương pháp. (Theo title/meta, chưa đọc bài.)</t>
  </si>
  <si>
    <t>cách đầu tư chứng chỉ quỹ</t>
  </si>
  <si>
    <t>https://techcombank.com/thong-tin/blog/dau-tu-quy-mo</t>
  </si>
  <si>
    <t>Đầu tư quỹ mở cho người mới. (Theo title/meta, chưa đọc bài.)</t>
  </si>
  <si>
    <t>đầu tư chứng chỉ quỹ cho người mới</t>
  </si>
  <si>
    <t>https://techcombank.com/thong-tin/blog/app-theo-doi-chung-chi-quy</t>
  </si>
  <si>
    <t>App theo dõi CCQ. (Theo title/meta, chưa đọc bài.)</t>
  </si>
  <si>
    <t>https://techcombank.com/thong-tin/blog/chung-chi-quy-va-co-phieu</t>
  </si>
  <si>
    <t>So sánh CCQ với cổ phiếu. (Theo title/meta, chưa đọc bài.)</t>
  </si>
  <si>
    <t>Sao kê lương là một dạng sao kê TK — dẫn sang hướng dẫn sao kê chung.</t>
  </si>
  <si>
    <t>Bài anh em cho DN; chèn câu dẫn cho TK cá nhân.</t>
  </si>
  <si>
    <t>Hồ sơ vay qua lương cần sao kê TK.</t>
  </si>
  <si>
    <t>Cơ quan thuế có thể yêu cầu sao kê — chèn ở đoạn đó nếu có. (Liên quan yếu – bản chặt đã loại.)</t>
  </si>
  <si>
    <t>https://techcombank.com/thong-tin/blog/ghi-chep-chi-tieu</t>
  </si>
  <si>
    <t>Dùng sao kê để đối chiếu chi tiêu. (Liên quan yếu – bản chặt đã loại.)</t>
  </si>
  <si>
    <t>https://techcombank.com/thong-tin/blog/ma-mcc</t>
  </si>
  <si>
    <t>Nhắc: chi tiêu.</t>
  </si>
  <si>
    <t>https://techcombank.com/thong-tin/blog/vi-tra-sau</t>
  </si>
  <si>
    <t>https://techcombank.com/thong-tin/blog/uu-dai-the-tin-dung-techcombank-signature</t>
  </si>
  <si>
    <t>https://techcombank.com/thong-tin/blog/app-mua-truoc-tra-sau</t>
  </si>
  <si>
    <t>https://techcombank.com/thong-tin/blog/tiet-kiem-khi-di-du-lich</t>
  </si>
  <si>
    <t>https://techcombank.com/thong-tin/blog/cho-vay-tieu-dung-la-gi</t>
  </si>
  <si>
    <t>https://techcombank.com/thong-tin/blog/phan-mem-lap-ke-hoach-tai-chinh-ca-nhan</t>
  </si>
  <si>
    <t>https://techcombank.com/thong-tin/blog/mo-the-tin-dung-han-muc-cao</t>
  </si>
  <si>
    <t>https://techcombank.com/thong-tin/blog/app-quan-ly-chi-tieu</t>
  </si>
  <si>
    <t>Nhắc: sao kê.</t>
  </si>
  <si>
    <t>https://techcombank.com/thong-tin/blog/nang-han-muc-tin-dung</t>
  </si>
  <si>
    <t>Nhắc: chứng minh thu nhập.</t>
  </si>
  <si>
    <t>https://techcombank.com/thong-tin/blog/ung-dung-cong-nghe</t>
  </si>
  <si>
    <t>https://techcombank.com/thong-tin/blog/the-visa-co-may-loai</t>
  </si>
  <si>
    <t>https://techcombank.com/thong-tin/blog/6-chiec-lo-tai-chinh-ca-nhan</t>
  </si>
  <si>
    <t>https://techcombank.com/thong-tin/blog/hu-chi-tieu</t>
  </si>
  <si>
    <t>https://techcombank.com/thong-tin/blog/ngan-hang-so</t>
  </si>
  <si>
    <t>https://techcombank.com/thong-tin/blog/the-tin-dung-phu-la-gi</t>
  </si>
  <si>
    <t>Nhắc: lịch sử giao dịch.</t>
  </si>
  <si>
    <t>https://techcombank.com/thong-tin/blog/vay-the-chap-khong-chung-minh-thu-nhap</t>
  </si>
  <si>
    <t>https://techcombank.com/thong-tin/blog/han-muc-tra-gop-the-tin-dung</t>
  </si>
  <si>
    <t>https://techcombank.com/thong-tin/blog/the-debit</t>
  </si>
  <si>
    <t>https://techcombank.com/thong-tin/blog/thanh-toan-khi-du-lich-hong-kong</t>
  </si>
  <si>
    <t>https://techcombank.com/thong-tin/blog/thanh-toan-khi-du-lich-singapore</t>
  </si>
  <si>
    <t>https://techcombank.com/thong-tin/blog/vnd-to-myr</t>
  </si>
  <si>
    <t>Ý nghĩa số 88 — một dãy số phát lộc; dẫn sang bài tổng hợp.</t>
  </si>
  <si>
    <t>Ý nghĩa 6868 — cùng chủ đề con số lộc phát.</t>
  </si>
  <si>
    <t>Gợi ý dãy số TK đẹp phát tài phát lộc — sát chủ đề.</t>
  </si>
  <si>
    <t>Cách chọn số TK phát tài — dẫn sang danh sách dãy số.</t>
  </si>
  <si>
    <t>Lì xì số đẹp phát tài — chèn ở đoạn ý nghĩa con số.</t>
  </si>
  <si>
    <t>Nhắc: số đẹp, tài khoản số.</t>
  </si>
  <si>
    <t>https://techcombank.com/thong-tin/blog/li-xi-tet</t>
  </si>
  <si>
    <t>Nhắc: lộc.</t>
  </si>
  <si>
    <t>https://techcombank.com/thong-tin/blog/sinh-loi-rinh-loc</t>
  </si>
  <si>
    <t>Nhắc: phát tài, lộc.</t>
  </si>
  <si>
    <t>Nhắc: ý nghĩa số, lộc.</t>
  </si>
  <si>
    <t>Nhắc: phát lộc, phát tài, ý nghĩa số, lộc.</t>
  </si>
  <si>
    <t>Tra cứu nợ thuế TNCN — cùng nhóm tra cứu.</t>
  </si>
  <si>
    <t>Có MST rồi thì kiểm tra thuế TNCN theo MST.</t>
  </si>
  <si>
    <t>eTax Mobile là kênh kiểm tra thuế TNCN.</t>
  </si>
  <si>
    <t>Trước khi hoàn thuế cần kiểm tra số thuế đã nộp.</t>
  </si>
  <si>
    <t>Kiểm tra số thuế đã khấu trừ trước khi quyết toán.</t>
  </si>
  <si>
    <t>Nhắc: nợ thuế, etax.</t>
  </si>
  <si>
    <t>Nhắc: thu nhập cá nhân, tncn, etax.</t>
  </si>
  <si>
    <t>Mật khẩu đi cùng tên đăng nhập — bài anh em trực tiếp.</t>
  </si>
  <si>
    <t>Đăng nhập Internet Banking cần tên đăng nhập.</t>
  </si>
  <si>
    <t>Bảo vệ TK — giữ bí mật tên đăng nhập/mật khẩu.</t>
  </si>
  <si>
    <t>Đăng nhập + OTP; chèn ở đoạn bước đăng nhập.</t>
  </si>
  <si>
    <t>Mất SĐT ảnh hưởng lấy lại thông tin đăng nhập.</t>
  </si>
  <si>
    <t>Nhắc: mobile banking.</t>
  </si>
  <si>
    <t>Nhắc: internet banking.</t>
  </si>
  <si>
    <t>https://techcombank.com/thong-tin/blog/thanh-toan-ve-may-bay-online</t>
  </si>
  <si>
    <t>https://techcombank.com/thong-tin/blog/the-visa-co-can-mat-khau-khong</t>
  </si>
  <si>
    <t>Nhắc: mật khẩu.</t>
  </si>
  <si>
    <t>Nhắc: bảo vệ tài khoản.</t>
  </si>
  <si>
    <t>https://techcombank.com/thong-tin/blog/ma-otp-la-gi</t>
  </si>
  <si>
    <t>Nhắc: otp.</t>
  </si>
  <si>
    <t>Nhắc: internet banking, mobile banking.</t>
  </si>
  <si>
    <t>https://techcombank.com/thong-tin/blog/thanh-toan-tra-gop-qua-the-tin-dung</t>
  </si>
  <si>
    <t>Nhắc: đăng nhập.</t>
  </si>
  <si>
    <t>https://techcombank.com/thong-tin/blog/thanh-toan-tien-nuoc-online</t>
  </si>
  <si>
    <t>https://techcombank.com/thong-tin/blog/mobile-banking-la-gi</t>
  </si>
  <si>
    <t>Hỏi tiền vào TK có bị tính thuế — liên quan trực tiếp thuế TNCN.</t>
  </si>
  <si>
    <t>Nợ thuế TNCN — người đọc cần hiểu thuế TNCN là gì.</t>
  </si>
  <si>
    <t>mức đóng thuế thu nhập cá nhân</t>
  </si>
  <si>
    <t>Lương hưu và thuế TNCN; chèn ở đoạn thu nhập. (Liên quan yếu – bản chặt đã loại.)</t>
  </si>
  <si>
    <t>Thu nhập từ lương là đối tượng chịu thuế TNCN. (Liên quan yếu – bản chặt đã loại.)</t>
  </si>
  <si>
    <t>Nhắc: thuế cá nhân.</t>
  </si>
  <si>
    <t>Nhắc: thu nhập cá nhân, tncn, lương.</t>
  </si>
  <si>
    <t>Bài anh em — người đọc cần hướng dẫn rút tiền QR cơ bản.</t>
  </si>
  <si>
    <t>Các cách rút tiền ATM — QR là một cách.</t>
  </si>
  <si>
    <t>Thẻ lỗi không rút được → giải pháp rút bằng QR.</t>
  </si>
  <si>
    <t>Bị nuốt thẻ → vẫn rút được tiền bằng QR.</t>
  </si>
  <si>
    <t>Tìm ATM; chèn ở đoạn ATM hỗ trợ rút QR.</t>
  </si>
  <si>
    <t>https://techcombank.com/thong-tin/blog/quet-ma-qr-techcombank</t>
  </si>
  <si>
    <t>Nhắc: mã qr.</t>
  </si>
  <si>
    <t>https://techcombank.com/thong-tin/blog/tao-ma-qr-thanh-toan-cho-cua-hang</t>
  </si>
  <si>
    <t>https://techcombank.com/thong-tin/blog/pos</t>
  </si>
  <si>
    <t>https://techcombank.com/thong-tin/blog/softpos</t>
  </si>
  <si>
    <t>Nhắc: rút tiền.</t>
  </si>
  <si>
    <t>Nhắc: rút tiền, atm.</t>
  </si>
  <si>
    <t>https://techcombank.com/thong-tin/blog/ma-qr-lam-gia-duoc-khong</t>
  </si>
  <si>
    <t>https://techcombank.com/thong-tin/blog/ma-qr-techcombank</t>
  </si>
  <si>
    <t>https://techcombank.com/thong-tin/blog/so-sanh-ma-qr-va-ma-vach</t>
  </si>
  <si>
    <t>https://techcombank.com/thong-tin/blog/qr-code-doanh-nghiep</t>
  </si>
  <si>
    <t>https://techcombank.com/thong-tin/blog/thanh-toan-bang-ma-qr</t>
  </si>
  <si>
    <t>https://techcombank.com/thong-tin/blog/qr-dong</t>
  </si>
  <si>
    <t>https://techcombank.com/thong-tin/blog/thanh-toan-ma-qr-tro-thanh-phuong-thuc-duoc-ua-chuong-va-trien-khai-manh-me</t>
  </si>
  <si>
    <t>https://techcombank.com/thong-tin/blog/qr-code-phuong-thuc-thanh-toan-toi-uu-trong-ky-nguyen-so</t>
  </si>
  <si>
    <t>https://techcombank.com/thong-tin/blog/rut-tien-bao-hiem-nhan-tho-khi-het-han</t>
  </si>
  <si>
    <t>Nhắc: atm, mã qr.</t>
  </si>
  <si>
    <t>https://techcombank.com/thong-tin/blog/cach-su-dung-the-ghi-no</t>
  </si>
  <si>
    <t>https://techcombank.com/thong-tin/blog/the-ghi-no-co-rut-tien-duoc-khong</t>
  </si>
  <si>
    <t>Xác thực sinh trắc học yêu cầu quét NFC chip CCCD.</t>
  </si>
  <si>
    <t>Liên kết VNeID cần quét chip CCCD.</t>
  </si>
  <si>
    <t>eKYC dùng NFC CCCD để định danh.</t>
  </si>
  <si>
    <t>Định danh mức 2 cần quét CCCD gắn chip.</t>
  </si>
  <si>
    <t>Mở TK online có bước quét NFC CCCD.</t>
  </si>
  <si>
    <t>https://techcombank.com/thong-tin/blog/tra-cuu-ma-so-thue-ho-kinh-doanh</t>
  </si>
  <si>
    <t>Nhắc: cccd, căn cước.</t>
  </si>
  <si>
    <t>Nhắc: cccd, định danh.</t>
  </si>
  <si>
    <t>Nhắc: cccd.</t>
  </si>
  <si>
    <t>Bài dấu chân carbon nhắc lợi ích xanh của thẻ Visa Eco.</t>
  </si>
  <si>
    <t>Điểm danh sản phẩm xanh ngành ngân hàng — Eco Card là ví dụ.</t>
  </si>
  <si>
    <t>Lối sống xanh → thẻ xanh.</t>
  </si>
  <si>
    <t>Thẻ Visa Debit — Eco Card là một loại Visa Debit.</t>
  </si>
  <si>
    <t>https://techcombank.com/thong-tin/blog/tieu-dung-xanh</t>
  </si>
  <si>
    <t>Tiêu dùng xanh; chèn ở đoạn giải pháp thanh toán xanh. (Liên quan yếu – bản chặt đã loại.)</t>
  </si>
  <si>
    <t>Nhắc: bền vững.</t>
  </si>
  <si>
    <t>Nhắc: thẻ ghi nợ.</t>
  </si>
  <si>
    <t>https://techcombank.com/thong-tin/blog/luu-y-khi-chuyen-doi-tu-ho-kinh-doanh-len-doanh-nghiep</t>
  </si>
  <si>
    <t>https://techcombank.com/thong-tin/blog/cach-quan-ly-tai-san</t>
  </si>
  <si>
    <t>https://techcombank.com/thong-tin/blog/mr-eco</t>
  </si>
  <si>
    <t>Nhắc: eco.</t>
  </si>
  <si>
    <t>https://techcombank.com/thong-tin/blog/dat-xe-xanh-sm</t>
  </si>
  <si>
    <t>Nhắc: xanh.</t>
  </si>
  <si>
    <t>https://techcombank.com/thong-tin/blog/thuc-day-thi-truong-the-noi-dia-va-xu-huong-thanh-toan-tuong-lai</t>
  </si>
  <si>
    <t>https://techcombank.com/thong-tin/blog/ngan-hang-so-cho-doanh-nghiep</t>
  </si>
  <si>
    <t>https://techcombank.com/thong-tin/blog/voucher-xanh-sm</t>
  </si>
  <si>
    <t>https://techcombank.com/thong-tin/blog/bao-hiem-pin-xe-dien</t>
  </si>
  <si>
    <t>https://techcombank.com/thong-tin/blog/phan-bo-tai-san</t>
  </si>
  <si>
    <t>https://techcombank.com/thong-tin/blog/xu-huong-tieu-dung</t>
  </si>
  <si>
    <t>https://techcombank.com/thong-tin/blog/cach-lam-the-ngan-hang-chay-quang-cao-facebook</t>
  </si>
  <si>
    <t>https://techcombank.com/thong-tin/blog/the-ghi-no-va-the-tin-dung</t>
  </si>
  <si>
    <t>https://techcombank.com/thong-tin/blog/khau-vi-nha-dau-tu-tpdn-thay-doi-the-nao-sau-nhung-bien-dong-vua-qua</t>
  </si>
  <si>
    <t>https://techcombank.com/thong-tin/blog/gia-tri-tai-san-rong</t>
  </si>
  <si>
    <t>https://techcombank.com/thong-tin/blog/the-ghi-no-la-gi</t>
  </si>
  <si>
    <t>https://techcombank.com/thong-tin/blog/mo-the-ghi-no</t>
  </si>
  <si>
    <t>https://techcombank.com/thong-tin/blog/the-tin-dung-techcombank-visa-eco</t>
  </si>
  <si>
    <t>Nhắc: eco, xanh, carbon, bền vững.</t>
  </si>
  <si>
    <t>https://techcombank.com/thong-tin/blog/the-ghi-no-noi-dia</t>
  </si>
  <si>
    <t>https://techcombank.com/thong-tin/blog/giao-thong-xanh</t>
  </si>
  <si>
    <t>https://techcombank.com/thong-tin/blog/tich-luy-tai-san</t>
  </si>
  <si>
    <t>https://techcombank.com/thong-tin/blog/ke-hoach-huu-tri</t>
  </si>
  <si>
    <t>https://techcombank.com/thong-tin/blog/tieu-dung-ben-vung</t>
  </si>
  <si>
    <t>Nhắc: xanh, bền vững.</t>
  </si>
  <si>
    <t>https://techcombank.com/thong-tin/blog/ngan-hang-xanh</t>
  </si>
  <si>
    <t>https://techcombank.com/thong-tin/blog/esg</t>
  </si>
  <si>
    <t>https://techcombank.com/thong-tin/blog/dau-tu-dai-han</t>
  </si>
  <si>
    <t>https://techcombank.com/thong-tin/blog/chuyen-doi-xanh</t>
  </si>
  <si>
    <t>https://techcombank.com/thong-tin/blog/lap-ke-hoach-chi-tieu-ca-nhan</t>
  </si>
  <si>
    <t>Điểm tín dụng CIC — cần hiểu CIC là gì.</t>
  </si>
  <si>
    <t>Lịch sử tín dụng lưu tại CIC.</t>
  </si>
  <si>
    <t>Nợ nhóm 3 bao lâu xóa trên CIC.</t>
  </si>
  <si>
    <t>Nợ cần chú ý được ghi nhận trên CIC.</t>
  </si>
  <si>
    <t>Nợ nhóm 2 — tra trên CIC.</t>
  </si>
  <si>
    <t>Nhắc: lịch sử tín dụng.</t>
  </si>
  <si>
    <t>Nhắc: cic, nợ xấu.</t>
  </si>
  <si>
    <t>https://techcombank.com/thong-tin/blog/no-xau</t>
  </si>
  <si>
    <t>Nhắc: nợ xấu.</t>
  </si>
  <si>
    <t>Nhắc: điểm tín dụng.</t>
  </si>
  <si>
    <t>https://techcombank.com/thong-tin/blog/spaylater</t>
  </si>
  <si>
    <t>Nhắc: cic.</t>
  </si>
  <si>
    <t>https://techcombank.com/thong-tin/blog/luu-y-khi-su-dung-the-tin-dung</t>
  </si>
  <si>
    <t>Nhắc: nợ xấu, điểm tín dụng.</t>
  </si>
  <si>
    <t>Bài phí rút tiền — người đọc cần cách rút.</t>
  </si>
  <si>
    <t>Thẻ Visa rút tiền được không — dẫn sang hướng dẫn rút từ thẻ tín dụng.</t>
  </si>
  <si>
    <t>Nhu cầu lấy tiền mặt từ thẻ tín dụng tương tự.</t>
  </si>
  <si>
    <t>Hạn mức rút tiền mặt là một phần hạn mức thẻ.</t>
  </si>
  <si>
    <t>Rút tiền mặt phát sinh lãi ngay — chèn ở đoạn khi nào phát sinh lãi.</t>
  </si>
  <si>
    <t>Nhắc: tiền mặt.</t>
  </si>
  <si>
    <t>https://techcombank.com/thong-tin/blog/vi-dien-tu</t>
  </si>
  <si>
    <t>https://techcombank.com/thong-tin/blog/thanh-toan-khong-dung-tien-mat</t>
  </si>
  <si>
    <t>Nhắc: rút tiền, tiền mặt.</t>
  </si>
  <si>
    <t>Nhắc: hạn mức thẻ.</t>
  </si>
  <si>
    <t>https://techcombank.com/thong-tin/blog/ty-le-thanh-toan-khong-dung-tien-mat-trong-linh-vuc-y-te-con-han-che</t>
  </si>
  <si>
    <t>https://techcombank.com/thong-tin/blog/thanh-toan-khong-dung-tien-mat-tro-thanh-xu-huong-tang-truong-chong-mat</t>
  </si>
  <si>
    <t>https://techcombank.com/thong-tin/blog/vay-tien-mat</t>
  </si>
  <si>
    <t>https://techcombank.com/thong-tin/blog/xu-huong-thanh-toan-khong-dung-tien-mat-tai-viet-nam</t>
  </si>
  <si>
    <t>https://techcombank.com/thong-tin/blog/thanh-toan-khong-tien-mat-trong-nganh-giao-duc-co-hoi-va-thach-thuc</t>
  </si>
  <si>
    <t>https://techcombank.com/thong-tin/blog/the-he-tre-day-manh-xu-huong-thanh-toan-khong-dung-tien-mat</t>
  </si>
  <si>
    <t>Định nghĩa thẻ tín dụng → nhu cầu làm thẻ.</t>
  </si>
  <si>
    <t>Một cách mở thẻ — dẫn sang hướng dẫn đầy đủ.</t>
  </si>
  <si>
    <t>Phí làm thẻ — đi kèm thủ tục làm thẻ.</t>
  </si>
  <si>
    <t>Điều kiện mở thẻ — sát chủ đề.</t>
  </si>
  <si>
    <t>Quyết định dùng thẻ → bước làm thẻ.</t>
  </si>
  <si>
    <t>Nhắc: thẻ tín dụng.</t>
  </si>
  <si>
    <t>Nhắc: thẻ tín dụng, mở thẻ.</t>
  </si>
  <si>
    <t>https://techcombank.com/thong-tin/blog/uu-dai-mua-ve-may-bay-bang-the-tin-dung</t>
  </si>
  <si>
    <t>https://techcombank.com/thong-tin/blog/mat-the-tin-dung-co-bi-mat-tien-khong</t>
  </si>
  <si>
    <t>https://techcombank.com/thong-tin/blog/so-cvv-la-gi</t>
  </si>
  <si>
    <t>Nhắc: mở thẻ.</t>
  </si>
  <si>
    <t>https://techcombank.com/thong-tin/blog/mua-iphone-17</t>
  </si>
  <si>
    <t>https://techcombank.com/thong-tin/blog/mua-truoc-tra-sau</t>
  </si>
  <si>
    <t>Nhắc: mở thẻ, làm thẻ.</t>
  </si>
  <si>
    <t>https://techcombank.com/thong-tin/blog/the-napas-la-gi</t>
  </si>
  <si>
    <t>https://techcombank.com/thong-tin/blog/ma-buu-chinh-the-tin-dung</t>
  </si>
  <si>
    <t>https://techcombank.com/thong-tin/blog/the-tin-dung-quoc-te</t>
  </si>
  <si>
    <t>https://techcombank.com/thong-tin/blog/the-tin-dung-den</t>
  </si>
  <si>
    <t>https://techcombank.com/thong-tin/blog/dao-han-the-tin-dung</t>
  </si>
  <si>
    <t>https://techcombank.com/thong-tin/blog/thanh-toan-online-bang-the-tin-dung</t>
  </si>
  <si>
    <t>https://techcombank.com/thong-tin/blog/3d-secure</t>
  </si>
  <si>
    <t>https://techcombank.com/thong-tin/blog/the-tin-dung-ao</t>
  </si>
  <si>
    <t>https://techcombank.com/thong-tin/blog/tra-gop-shopee</t>
  </si>
  <si>
    <t>https://techcombank.com/thong-tin/blog/cach-dang-ky-the-visa</t>
  </si>
  <si>
    <t>https://techcombank.com/thong-tin/blog/tra-gop-lazada</t>
  </si>
  <si>
    <t>https://techcombank.com/thong-tin/blog/the-tin-dung-co-ma-pin-khong</t>
  </si>
  <si>
    <t>https://techcombank.com/thong-tin/blog/the-tin-dung-noi-dia</t>
  </si>
  <si>
    <t>https://techcombank.com/thong-tin/blog/lam-ho-so-tra-gop-dien-thoai</t>
  </si>
  <si>
    <t>https://techcombank.com/thong-tin/blog/tra-gop-qua-the-tin-dung</t>
  </si>
  <si>
    <t>https://techcombank.com/thong-tin/blog/kich-hoat-the-tin-dung-techcombank</t>
  </si>
  <si>
    <t>https://techcombank.com/thong-tin/blog/the-tin-dung-vip</t>
  </si>
  <si>
    <t>https://techcombank.com/thong-tin/blog/so-luong-the-tin-dung-noi-dia-dang-luu-hanh-da-tang-42-so-voi-cung-ky-nam-2022</t>
  </si>
  <si>
    <t>https://techcombank.com/thong-tin/blog/uu-dai-mua-iphone-18</t>
  </si>
  <si>
    <t>https://techcombank.com/thong-tin/blog/so-the-tin-dung</t>
  </si>
  <si>
    <t>https://techcombank.com/thong-tin/blog/sang-ngang-the-tin-dung</t>
  </si>
  <si>
    <t>So sánh thẻ tín dụng Techcombank — Everyday nên được nhắc.</t>
  </si>
  <si>
    <t>Chương trình hoàn tiền thẻ tín dụng Techcombank.</t>
  </si>
  <si>
    <t>Top ưu đãi thẻ tín dụng; chèn ở mục Techcombank.</t>
  </si>
  <si>
    <t>Phân loại thẻ — chèn ví dụ thẻ hoàn tiền.</t>
  </si>
  <si>
    <t>Lợi ích thẻ tín dụng — hoàn tiền là một lợi ích.</t>
  </si>
  <si>
    <t>Nhắc: thẻ tín dụng, hoàn tiền.</t>
  </si>
  <si>
    <t>Nhắc: hoàn tiền.</t>
  </si>
  <si>
    <t>Nhắc: hoàn tiền, cashback.</t>
  </si>
  <si>
    <t>Nhắc: thẻ tín dụng, hoàn tiền, cashback.</t>
  </si>
  <si>
    <t>Title nhắc 'hoàn tiền' khi trả tiền điện bằng thẻ tín dụng.</t>
  </si>
  <si>
    <t>Cashback thẻ thanh toán (ghi nợ) — so sánh với thẻ tín dụng hoàn tiền.</t>
  </si>
  <si>
    <t>Ưu đãi mở thẻ — hoàn tiền là ưu đãi phổ biến.</t>
  </si>
  <si>
    <t>Top thẻ đáng mở — chèn ở tiêu chí chọn thẻ.</t>
  </si>
  <si>
    <t>Dùng thẻ tiết kiệm — tận dụng hoàn tiền.</t>
  </si>
  <si>
    <t>Nhắc: thẻ tín dụng, ưu đãi thẻ.</t>
  </si>
  <si>
    <t>Nhắc: hoàn tiền, thẻ tín dụng.</t>
  </si>
  <si>
    <t>Nhắc: hoàn tiền, thẻ tín dụng, ưu đãi thẻ.</t>
  </si>
  <si>
    <t>Không muốn trả phí thường niên → hủy thẻ.</t>
  </si>
  <si>
    <t>Không dùng thẻ vẫn mất phí → nên hủy.</t>
  </si>
  <si>
    <t>Khóa vs hủy thẻ — đối chiếu trực tiếp.</t>
  </si>
  <si>
    <t>Thẻ bị khóa — chèn ở đoạn phân biệt khóa/hủy.</t>
  </si>
  <si>
    <t>Thẻ hết hạn: gia hạn hoặc hủy.</t>
  </si>
  <si>
    <t>Nhắc: thẻ tín dụng, phí thường niên.</t>
  </si>
  <si>
    <t>Lịch sử tín dụng quyết định xếp hạng tín dụng.</t>
  </si>
  <si>
    <t>Điều kiện vay — xếp hạng tín dụng là một yếu tố.</t>
  </si>
  <si>
    <t>Nợ xấu làm giảm xếp hạng.</t>
  </si>
  <si>
    <t>https://techcombank.com/thong-tin/blog/tin-dung-la-gi</t>
  </si>
  <si>
    <t>Định nghĩa tín dụng; chèn ở đoạn đánh giá người vay. (Liên quan yếu – bản chặt đã loại.)</t>
  </si>
  <si>
    <t>Dư nợ ảnh hưởng xếp hạng tín dụng. (Liên quan yếu – bản chặt đã loại.)</t>
  </si>
  <si>
    <t>https://techcombank.com/thong-tin/blog/vay-san-xuat-kinh-doanh</t>
  </si>
  <si>
    <t>Nhắc: điều kiện vay.</t>
  </si>
  <si>
    <t>Nhắc: lịch sử tín dụng, nợ xấu.</t>
  </si>
  <si>
    <t>Nhắc: điểm tín dụng, cic.</t>
  </si>
  <si>
    <t>Nhắc: lịch sử tín dụng, cic, nợ xấu.</t>
  </si>
  <si>
    <t>Nhắc: lịch sử tín dụng, cic.</t>
  </si>
  <si>
    <t>Nhắc: điểm tín dụng, nợ xấu.</t>
  </si>
  <si>
    <t>https://techcombank.com/thong-tin/blog/mua-nha-tra-gop-dua-truoc-100-trieu</t>
  </si>
  <si>
    <t>Nhắc: lịch sử tín dụng, điều kiện vay.</t>
  </si>
  <si>
    <t>https://techcombank.com/thong-tin/blog/co-100-trieu-co-mua-nen-mua-tra-gop</t>
  </si>
  <si>
    <t>https://techcombank.com/thong-tin/blog/vay-20-trieu</t>
  </si>
  <si>
    <t>Thanh toán tối thiểu — liên quan trực tiếp cách trả dư nợ.</t>
  </si>
  <si>
    <t>Quá hạn → hướng dẫn các kênh thanh toán để không trễ.</t>
  </si>
  <si>
    <t>Sao kê ghi số tiền và hạn thanh toán.</t>
  </si>
  <si>
    <t>Nợ quá hạn — cần cách trả nợ thẻ.</t>
  </si>
  <si>
    <t>Miễn lãi khi thanh toán đúng hạn.</t>
  </si>
  <si>
    <t>Nhắc: dư nợ, quá hạn.</t>
  </si>
  <si>
    <t>https://techcombank.com/thong-tin/blog/lai-suat-ngan-hang-cho-vay-xay-nha</t>
  </si>
  <si>
    <t>Nhắc: dư nợ.</t>
  </si>
  <si>
    <t>https://techcombank.com/thong-tin/blog/vay-tin-chap-theo-luong</t>
  </si>
  <si>
    <t>Nhắc: quá hạn.</t>
  </si>
  <si>
    <t>So sánh CD và tiết kiệm — cần định nghĩa CD.</t>
  </si>
  <si>
    <t>Câu hỏi bản chất CD.</t>
  </si>
  <si>
    <t>Lý do nên mua CD → dẫn về bài tổng quan.</t>
  </si>
  <si>
    <t>Tính an toàn của CD.</t>
  </si>
  <si>
    <t>Kênh sinh lời cho tiền nhàn rỗi — CD là một kênh.</t>
  </si>
  <si>
    <t>https://techcombank.com/thong-tin/blog/chuyen-doi-so-ho-kinh-doanh</t>
  </si>
  <si>
    <t>Nhắc: tiền nhàn rỗi.</t>
  </si>
  <si>
    <t>Nhắc: gửi tiết kiệm.</t>
  </si>
  <si>
    <t>https://techcombank.com/thong-tin/blog/gui-tiet-kiem-theo-ngay</t>
  </si>
  <si>
    <t>https://techcombank.com/thong-tin/blog/gui-tiet-kiem-vang</t>
  </si>
  <si>
    <t>https://techcombank.com/thong-tin/blog/nen-gui-tiet-kiem-thong-thuong-hay-tich-luy</t>
  </si>
  <si>
    <t>https://techcombank.com/thong-tin/blog/chung-chi-tien-gui-co-duoc-bao-hiem-khong</t>
  </si>
  <si>
    <t>Nhắc: chứng chỉ tiền gửi.</t>
  </si>
  <si>
    <t>https://techcombank.com/thong-tin/blog/quan-ly-tai-chinh-cho-dan-van-phong</t>
  </si>
  <si>
    <t>https://techcombank.com/thong-tin/blog/chung-chi-quy-va-chung-khoan</t>
  </si>
  <si>
    <t>Nhắc: kênh đầu tư.</t>
  </si>
  <si>
    <t>https://techcombank.com/thong-tin/blog/gui-tiet-kiem-ngan-hang-van-la-lua-chon-an-toan-trong-thoi-ky-kinh-te-con-nhieu-bien-dong</t>
  </si>
  <si>
    <t>Nhắc: kênh đầu tư, gửi tiết kiệm.</t>
  </si>
  <si>
    <t>https://techcombank.com/thong-tin/blog/dau-tu-trai-phieu-doanh-nghiep-dung-ham-lai-suat-cao</t>
  </si>
  <si>
    <t>https://techcombank.com/thong-tin/blog/dau-tu-ngan-han</t>
  </si>
  <si>
    <t>https://techcombank.com/thong-tin/blog/chon-kenh-dau-tu-an-toan-trong-boi-canh-thi-truong-bien-dong</t>
  </si>
  <si>
    <t>https://techcombank.com/thong-tin/blog/gui-tiet-kiem-online-quay-vong-ca-goc-va-lai</t>
  </si>
  <si>
    <t>https://techcombank.com/thong-tin/blog/cach-tiet-kiem-tien-sinh-loi</t>
  </si>
  <si>
    <t>https://techcombank.com/thong-tin/blog/gui-tiet-kiem-usd</t>
  </si>
  <si>
    <t>Tính lợi nhuận CD cần mức lãi suất.</t>
  </si>
  <si>
    <t>Tất toán ảnh hưởng lợi suất — chèn ở đoạn lãi suất.</t>
  </si>
  <si>
    <t>Rút trước hạn mất lãi suất — chèn ở đoạn lãi.</t>
  </si>
  <si>
    <t>Giá chuyển nhượng phụ thuộc lãi suất.</t>
  </si>
  <si>
    <t>Chèn ở đoạn so sánh lợi ích. (Liên quan yếu – bản chặt đã loại.)</t>
  </si>
  <si>
    <t>Nhắc: lãi suất tiết kiệm.</t>
  </si>
  <si>
    <t>Bài tổng quan tiền Trung Quốc — dẫn sang quy đổi 1 tệ.</t>
  </si>
  <si>
    <t>Bài anh em mệnh giá 1 vạn tệ.</t>
  </si>
  <si>
    <t>Bài anh em mệnh giá 1000 tệ.</t>
  </si>
  <si>
    <t>Du lịch Trung Quốc cần quy đổi tệ.</t>
  </si>
  <si>
    <t>Nhắc: tệ.</t>
  </si>
  <si>
    <t>https://techcombank.com/thong-tin/blog/quy-dinh-ve-mua-ban-ngoai-te-cua-doanh-nghiep</t>
  </si>
  <si>
    <t>Nhắc: trung quốc.</t>
  </si>
  <si>
    <t>https://techcombank.com/thong-tin/blog/phi-chuyen-doi-ngoai-te</t>
  </si>
  <si>
    <t>Xu hướng tỷ giá USD — người đọc cần tỷ giá hiện tại.</t>
  </si>
  <si>
    <t>Mua USD cần biết 1 USD bằng bao nhiêu VND.</t>
  </si>
  <si>
    <t>Bài anh em (cent = 1/100 USD).</t>
  </si>
  <si>
    <t>Tiết kiệm USD — quy đổi sang VND.</t>
  </si>
  <si>
    <t>Chuyển tiền từ Mỹ — quy đổi USD.</t>
  </si>
  <si>
    <t>https://techcombank.com/thong-tin/blog/vang-my-ky</t>
  </si>
  <si>
    <t>Nhắc: mỹ.</t>
  </si>
  <si>
    <t>Nhắc: usd.</t>
  </si>
  <si>
    <t>Nhắc: đô la, tiền đô.</t>
  </si>
  <si>
    <t>Nhắc: đô la.</t>
  </si>
  <si>
    <t>Nhắc: tiền đô.</t>
  </si>
  <si>
    <t>Du lịch Nhật cần biết mệnh giá tiền Nhật.</t>
  </si>
  <si>
    <t>Chuyển tiền từ Nhật — liên quan tiền Yên.</t>
  </si>
  <si>
    <t>Bài quy đổi 1 Yên dẫn về tổng quan tiền Nhật.</t>
  </si>
  <si>
    <t>Bài 1 Man dẫn về mệnh giá tiền Nhật.</t>
  </si>
  <si>
    <t>https://techcombank.com/thong-tin/blog/cach-tiet-kiem-tien-cua-nguoi-nhat</t>
  </si>
  <si>
    <t>Chủ đề người Nhật; chỉ chèn nếu có nhắc tiền Yên. (Liên quan yếu – bản chặt đã loại.)</t>
  </si>
  <si>
    <t>https://techcombank.com/thong-tin/blog/chixmax</t>
  </si>
  <si>
    <t>Nhắc: nhật bản.</t>
  </si>
  <si>
    <t>Nhắc: yên nhật, jpy, 1000 yên.</t>
  </si>
  <si>
    <t>Bài anh em mệnh giá 1000 Yên.</t>
  </si>
  <si>
    <t>Bài tổng quan tiền Nhật — đoạn tỷ giá dẫn sang quy đổi 1 Yên.</t>
  </si>
  <si>
    <t>1 Man = 10.000 Yên — dẫn sang tỷ giá 1 Yên.</t>
  </si>
  <si>
    <t>Chuyển tiền từ Nhật — quy đổi JPY/VND.</t>
  </si>
  <si>
    <t>Bài anh em mệnh giá 1 triệu Won.</t>
  </si>
  <si>
    <t>Bài anh em 1000 Won.</t>
  </si>
  <si>
    <t>Du lịch Hàn Quốc cần quy đổi Won.</t>
  </si>
  <si>
    <t>Chuyển tiền Hàn về VN — tỷ giá Won.</t>
  </si>
  <si>
    <t>So sánh tỷ giá các ngân hàng — chèn ở mục KRW.</t>
  </si>
  <si>
    <t>Bài anh em 1 vạn Đài tệ.</t>
  </si>
  <si>
    <t>Định nghĩa ngoại tệ; chèn ví dụ Đài tệ.</t>
  </si>
  <si>
    <t>Bảng tỷ giá — chèn ở mục TWD.</t>
  </si>
  <si>
    <t>Mua ngoại tệ đi du lịch — chèn ví dụ Đài Loan.</t>
  </si>
  <si>
    <t>https://techcombank.com/thong-tin/blog/shang-chi</t>
  </si>
  <si>
    <t>Nhắc: đài loan.</t>
  </si>
  <si>
    <t>Tổng quan tiền Nhật — đoạn mệnh giá 10.000 Yên dẫn sang 1 Man.</t>
  </si>
  <si>
    <t>Bài 1 Yên — chèn ở đoạn quy đổi mệnh giá lớn.</t>
  </si>
  <si>
    <t>Bài 1000 Yên — dẫn sang 1 Man.</t>
  </si>
  <si>
    <t>Người lao động Nhật hay tính lương theo 'man'.</t>
  </si>
  <si>
    <t>Du lịch Nhật; chèn ở đoạn chuẩn bị tiền mặt.</t>
  </si>
  <si>
    <t>Du lịch Thái cần biết tiền Thái.</t>
  </si>
  <si>
    <t>Thanh toán QR ở Thái — liên quan quy đổi Baht.</t>
  </si>
  <si>
    <t>Mua ngoại tệ đi du lịch — ví dụ Baht.</t>
  </si>
  <si>
    <t>Checklist du lịch — mục đổi tiền.</t>
  </si>
  <si>
    <t>Thanh toán thẻ quốc tế khi du lịch — chèn ở đoạn tiền mặt.</t>
  </si>
  <si>
    <t>Bài 1 USD — chèn ở đoạn quy đổi số tiền lớn.</t>
  </si>
  <si>
    <t>Ngưỡng tài sản 'triệu đô' của HNWI.</t>
  </si>
  <si>
    <t>Tỷ giá USD — ví dụ quy đổi 1 triệu đô.</t>
  </si>
  <si>
    <t>Net worth — ví dụ tài sản triệu đô. (Liên quan yếu – bản chặt đã loại.)</t>
  </si>
  <si>
    <t>Nhắc: usd, đô.</t>
  </si>
  <si>
    <t>Nhắc: đô.</t>
  </si>
  <si>
    <t>https://techcombank.com/thong-tin/blog/tien-singapore</t>
  </si>
  <si>
    <t>https://techcombank.com/thong-tin/blog/1-do-uc-bang-bao-nhieu-tien-viet</t>
  </si>
  <si>
    <t>Bài 1 Won có bảng quy đổi 1.000 Won (theo meta).</t>
  </si>
  <si>
    <t>Bài anh em mệnh giá.</t>
  </si>
  <si>
    <t>Du lịch Hàn — giá món đồ thường tính nghìn Won.</t>
  </si>
  <si>
    <t>Chuyển tiền Hàn — quy đổi.</t>
  </si>
  <si>
    <t>Kiều hối là tiền từ nước ngoài về.</t>
  </si>
  <si>
    <t>Một kênh nhận tiền từ nước ngoài.</t>
  </si>
  <si>
    <t>Nhận tiền quốc tế cần mã SWIFT.</t>
  </si>
  <si>
    <t>Trường hợp cụ thể từ Mỹ.</t>
  </si>
  <si>
    <t>Remittance = chuyển tiền quốc tế.</t>
  </si>
  <si>
    <t>https://techcombank.com/thong-tin/blog/thanh-toan-quoc-te</t>
  </si>
  <si>
    <t>Nhắc: quốc tế.</t>
  </si>
  <si>
    <t>https://techcombank.com/thong-tin/blog/bao-hiem-du-lich-quoc-te-nao-tot</t>
  </si>
  <si>
    <t>https://techcombank.com/thong-tin/blog/bib-techcombank</t>
  </si>
  <si>
    <t>Nhắc: quốc tế, swift.</t>
  </si>
  <si>
    <t>https://techcombank.com/thong-tin/blog/app-ngan-hang-co-dung-duoc-o-nuoc-ngoai</t>
  </si>
  <si>
    <t>Nhắc: nước ngoài.</t>
  </si>
  <si>
    <t>https://techcombank.com/thong-tin/blog/the-visa-co-thanh-toan-quoc-te-duoc-khong</t>
  </si>
  <si>
    <t>Nhắc: nước ngoài, quốc tế.</t>
  </si>
  <si>
    <t>https://techcombank.com/thong-tin/blog/nen-lam-the-visa-hay-noi-dia</t>
  </si>
  <si>
    <t>https://techcombank.com/thong-tin/blog/vay-du-hoc</t>
  </si>
  <si>
    <t>https://techcombank.com/thong-tin/blog/gia-ca-phe-hom-nay</t>
  </si>
  <si>
    <t>https://techcombank.com/thong-tin/blog/gui-tien-du-hoc</t>
  </si>
  <si>
    <t>Nhắc: kiều hối.</t>
  </si>
  <si>
    <t>Điều kiện mua USD → nơi mua.</t>
  </si>
  <si>
    <t>Hạn mức mua ngoại tệ → nơi đổi.</t>
  </si>
  <si>
    <t>So sánh tỷ giá → chọn nơi đổi.</t>
  </si>
  <si>
    <t>Checklist đi nước ngoài — đổi tiền.</t>
  </si>
  <si>
    <t>Bài quy đổi USD — chèn ở đoạn đổi tiền.</t>
  </si>
  <si>
    <t>Nhắc: ngoại tệ.</t>
  </si>
  <si>
    <t>Nhắc: tỷ giá.</t>
  </si>
  <si>
    <t>Nhắc: đổi tiền.</t>
  </si>
  <si>
    <t>https://techcombank.com/thong-tin/blog/dinar-kuwait</t>
  </si>
  <si>
    <t>Nhắc: ngoại tệ, tỷ giá.</t>
  </si>
  <si>
    <t>Nhắc: đổi tiền, đô, tỷ giá.</t>
  </si>
  <si>
    <t>Nhắc: đổi tiền, tỷ giá.</t>
  </si>
  <si>
    <t>Nhắc: usd, tỷ giá.</t>
  </si>
  <si>
    <t>Nhắc: đổi tiền, usd, tỷ giá.</t>
  </si>
  <si>
    <t>https://techcombank.com/thong-tin/blog/100-riel-bang-bao-nhieu-tien-viet-nam</t>
  </si>
  <si>
    <t>https://techcombank.com/thong-tin/blog/tien-malaysia</t>
  </si>
  <si>
    <t>https://techcombank.com/thong-tin/blog/tien-indonesia</t>
  </si>
  <si>
    <t>Nhắc: đổi tiền, usd, đô, tỷ giá.</t>
  </si>
  <si>
    <t>https://techcombank.com/thong-tin/blog/cach-tinh-ty-gia-ky-han</t>
  </si>
  <si>
    <t>https://techcombank.com/thong-tin/blog/bien-dong-ty-gia-voi-doanh-nghiep-sme</t>
  </si>
  <si>
    <t>https://techcombank.com/thong-tin/blog/1-euro-bang-bao-nhieu-tien-viet</t>
  </si>
  <si>
    <t>https://techcombank.com/thong-tin/blog/ty-gia-hoi-doai-la-gi</t>
  </si>
  <si>
    <t>Cân nhắc vay mua nhà — ví dụ khoản vay 1 tỷ.</t>
  </si>
  <si>
    <t>Thủ tục vay mua nhà — câu hỏi trả mỗi tháng bao nhiêu.</t>
  </si>
  <si>
    <t>Kinh nghiệm tránh áp lực trả nợ hàng tháng.</t>
  </si>
  <si>
    <t>Vay mua chung cư thường ở mức ~1 tỷ.</t>
  </si>
  <si>
    <t>Lãi suất thế chấp → số tiền trả hàng tháng.</t>
  </si>
  <si>
    <t>Meta description bài đích (vay-ngan-hang-1-ty) đang lệch nội dung — nên sửa.</t>
  </si>
  <si>
    <t>https://techcombank.com/thong-tin/blog/thu-tuc-vay-von-kinh-doanh-nho</t>
  </si>
  <si>
    <t>Nhắc: vay thế chấp.</t>
  </si>
  <si>
    <t>https://techcombank.com/thong-tin/blog/cac-hinh-thuc-vay-von-ngan-hang</t>
  </si>
  <si>
    <t>https://techcombank.com/thong-tin/blog/vay-the-chap-kinh-doanh</t>
  </si>
  <si>
    <t>Nhắc: trả góp.</t>
  </si>
  <si>
    <t>https://techcombank.com/thong-tin/blog/vay-the-chap-so-bao-hiem-xa-hoi</t>
  </si>
  <si>
    <t>https://techcombank.com/thong-tin/blog/thanh-toan-phi-quan-ly-chung-cu</t>
  </si>
  <si>
    <t>Nhắc: chung cư.</t>
  </si>
  <si>
    <t>https://techcombank.com/thong-tin/blog/rui-ro-khi-vay-the-chap-ngan-hang</t>
  </si>
  <si>
    <t>https://techcombank.com/thong-tin/blog/chuyen-gia-du-doan-gia-bat-dong-san-2025-va-cac-no-luc-tu-ngan-hang</t>
  </si>
  <si>
    <t>Nhắc: mua nhà.</t>
  </si>
  <si>
    <t>https://techcombank.com/thong-tin/blog/vay-mua-nha-tra-gop</t>
  </si>
  <si>
    <t>Nhắc: vay mua nhà, mua nhà, trả góp.</t>
  </si>
  <si>
    <t>https://techcombank.com/thong-tin/blog/vay-40-trieu</t>
  </si>
  <si>
    <t>https://techcombank.com/thong-tin/blog/tra-gop-hoc-phi</t>
  </si>
  <si>
    <t>https://techcombank.com/thong-tin/blog/bi-quyet-tiet-kiem-tien-mua-nha</t>
  </si>
  <si>
    <t>Nhắc: vay mua nhà, mua nhà.</t>
  </si>
  <si>
    <t>Nhắc: vay thế chấp, trả góp.</t>
  </si>
  <si>
    <t>https://techcombank.com/thong-tin/blog/vay-15-trieu</t>
  </si>
  <si>
    <t>https://techcombank.com/thong-tin/blog/vay-mua-nha-o-xa-hoi</t>
  </si>
  <si>
    <t>https://techcombank.com/thong-tin/blog/kinh-nghiem-vay-tien-ngan-hang-xay-nha</t>
  </si>
  <si>
    <t>https://techcombank.com/thong-tin/blog/giai-ngan-vay-the-chap</t>
  </si>
  <si>
    <t>https://techcombank.com/thong-tin/blog/phi-vay-the-chap</t>
  </si>
  <si>
    <t>https://techcombank.com/thong-tin/blog/vay-the-chap-toi-da-duoc-bao-nhieu</t>
  </si>
  <si>
    <t>https://techcombank.com/thong-tin/blog/vay-mua-dien-thoai</t>
  </si>
  <si>
    <t>https://techcombank.com/thong-tin/blog/vay-the-chap-hop-dong-mua-ban-can-ho</t>
  </si>
  <si>
    <t>Đặt vé máy bay online — Traveloka là kênh đặt vé.</t>
  </si>
  <si>
    <t>Săn vé rẻ — dùng voucher Traveloka.</t>
  </si>
  <si>
    <t>Đổi điểm U-Point trên OneU — voucher Traveloka là quà đổi.</t>
  </si>
  <si>
    <t>Tích điểm đổi quà — ví dụ voucher Traveloka.</t>
  </si>
  <si>
    <t>Tiết kiệm khi du lịch — dùng voucher. (Liên quan yếu – bản chặt đã loại.)</t>
  </si>
  <si>
    <t>https://techcombank.com/thong-tin/blog/giam-gia-be</t>
  </si>
  <si>
    <t>Nhắc: u-point, oneu.</t>
  </si>
  <si>
    <t>https://techcombank.com/thong-tin/blog/4p-pizza</t>
  </si>
  <si>
    <t>Nhắc: u-point.</t>
  </si>
  <si>
    <t>https://techcombank.com/thong-tin/blog/doi-dam-bay</t>
  </si>
  <si>
    <t>Nhắc: du lịch, u-point, oneu.</t>
  </si>
  <si>
    <t>https://techcombank.com/thong-tin/blog/voucher-the-coffee-house</t>
  </si>
  <si>
    <t>Nhắc: oneu.</t>
  </si>
  <si>
    <t>https://techcombank.com/thong-tin/blog/yakimono</t>
  </si>
  <si>
    <t>https://techcombank.com/thong-tin/blog/kichi-kichi</t>
  </si>
  <si>
    <t>https://techcombank.com/thong-tin/blog/ma-giam-gia-shopee</t>
  </si>
  <si>
    <t>https://techcombank.com/thong-tin/blog/voucher-starbucks</t>
  </si>
  <si>
    <t>https://techcombank.com/thong-tin/blog/voucher-cgv</t>
  </si>
  <si>
    <t>https://techcombank.com/thong-tin/blog/cua-hang-tien-loi</t>
  </si>
  <si>
    <t>https://techcombank.com/thong-tin/blog/voucher-highland</t>
  </si>
  <si>
    <t>https://techcombank.com/thong-tin/blog/ma-giam-xanh-sm</t>
  </si>
  <si>
    <t>https://techcombank.com/thong-tin/blog/voucher-kfc</t>
  </si>
  <si>
    <t>https://techcombank.com/thong-tin/blog/voucher-grab</t>
  </si>
  <si>
    <t>https://techcombank.com/thong-tin/blog/tous-les-jours</t>
  </si>
  <si>
    <t>https://techcombank.com/thong-tin/blog/woomaster</t>
  </si>
  <si>
    <t>https://techcombank.com/thong-tin/blog/diem-loyalty-la-gi</t>
  </si>
  <si>
    <t>Nhắc: vé máy bay.</t>
  </si>
  <si>
    <t>https://techcombank.com/thong-tin/blog/dac-san-hai-phong</t>
  </si>
  <si>
    <t>Nhắc: du lịch.</t>
  </si>
  <si>
    <t>https://techcombank.com/thong-tin/blog/dac-san-ha-long</t>
  </si>
  <si>
    <t>https://techcombank.com/thong-tin/blog/minigame-world-cup</t>
  </si>
  <si>
    <t>https://techcombank.com/thong-tin/blog/voucher-winmart</t>
  </si>
  <si>
    <t>https://techcombank.com/thong-tin/blog/bao-hiem-hanh-ly</t>
  </si>
  <si>
    <t>https://techcombank.com/thong-tin/blog/dac-san-da-nang</t>
  </si>
  <si>
    <t>https://techcombank.com/thong-tin/blog/dac-san-nha-trang</t>
  </si>
  <si>
    <t>https://techcombank.com/thong-tin/blog/ban-do-du-lich</t>
  </si>
  <si>
    <t>Nhắc: du lịch, oneu.</t>
  </si>
  <si>
    <t>https://techcombank.com/thong-tin/blog/voucher-jollibee</t>
  </si>
  <si>
    <t>https://techcombank.com/thong-tin/blog/voucher-the-pizza-company</t>
  </si>
  <si>
    <t>https://techcombank.com/thong-tin/blog/ma-giam-gia-phela</t>
  </si>
  <si>
    <t>https://techcombank.com/thong-tin/blog/voucher-golden-gate</t>
  </si>
  <si>
    <t>https://techcombank.com/thong-tin/blog/voucher-coopmart</t>
  </si>
  <si>
    <t>https://techcombank.com/thong-tin/blog/ma-giam-gia-al-frescos</t>
  </si>
  <si>
    <t>https://techcombank.com/thong-tin/blog/voucher-katinat</t>
  </si>
  <si>
    <t>https://techcombank.com/thong-tin/blog/oneu</t>
  </si>
  <si>
    <t>https://techcombank.com/thong-tin/blog/chuong-trinh-khach-hang-than-thiet</t>
  </si>
  <si>
    <t>Có mục 'mức thuế phải đóng' (theo title).</t>
  </si>
  <si>
    <t>Thuế khoán là cách đóng thuế của HKD.</t>
  </si>
  <si>
    <t>Miễn thuế — đối lập với nghĩa vụ đóng thuế.</t>
  </si>
  <si>
    <t>Truy thu khi đóng thuế sai.</t>
  </si>
  <si>
    <t>Cập nhật quy định HKD — chèn ở đoạn thuế.</t>
  </si>
  <si>
    <t>Nhắc: thuế.</t>
  </si>
  <si>
    <t>Nhắc: hộ kinh doanh, thuế.</t>
  </si>
  <si>
    <t>Nhắc: hộ kinh doanh.</t>
  </si>
  <si>
    <t>https://techcombank.com/thong-tin/blog/loi-ich-khi-ho-kinh-doanh-chuyen-len-doanh-nghiep</t>
  </si>
  <si>
    <t>https://techcombank.com/thong-tin/blog/tiem-nang-chuyen-doi-tu-ho-kinh-doanh-len-doanh-nghiep-sme</t>
  </si>
  <si>
    <t>https://techcombank.com/thong-tin/blog/lai-suat-vay-kinh-doanh</t>
  </si>
  <si>
    <t>https://techcombank.com/thong-tin/blog/khoi-nghiep-truoc-chinh-sach-thue-moi</t>
  </si>
  <si>
    <t>https://techcombank.com/thong-tin/blog/chuyen-doi-ho-kinh-doanh-len-doanh-nghiep</t>
  </si>
  <si>
    <t>https://techcombank.com/thong-tin/blog/nen-thanh-lap-ho-kinh-doanh-ke-khai-hay-doanh-nghiep</t>
  </si>
  <si>
    <t>https://techcombank.com/thong-tin/blog/due-diligence</t>
  </si>
  <si>
    <t>https://techcombank.com/thong-tin/blog/vay-tin-chap-ho-kinh-doanh</t>
  </si>
  <si>
    <t>https://techcombank.com/thong-tin/blog/cac-sai-lam-pho-bien-khi-chuyen-doi-ho-kinh-doanh-len-sme</t>
  </si>
  <si>
    <t>https://techcombank.com/thong-tin/blog/giay-phep-kinh-doanh</t>
  </si>
  <si>
    <t>https://techcombank.com/thong-tin/blog/dang-ky-kinh-doanh-la-gi</t>
  </si>
  <si>
    <t>https://techcombank.com/thong-tin/blog/thay-doi-dia-chi-ho-kinh-doanh</t>
  </si>
  <si>
    <t>https://techcombank.com/thong-tin/blog/barcode-la-gi</t>
  </si>
  <si>
    <t>https://techcombank.com/thong-tin/blog/dang-ky-thue-ho-kinh-doanh-ca-the-online</t>
  </si>
  <si>
    <t>Nhắc: hộ kinh doanh, thuế khoán, thuế.</t>
  </si>
  <si>
    <t>https://techcombank.com/thong-tin/blog/luat-thuong-mai-dien-tu</t>
  </si>
  <si>
    <t>https://techcombank.com/thong-tin/blog/dong-ma-so-thue-ho-kinh-doanh</t>
  </si>
  <si>
    <t>https://techcombank.com/thong-tin/blog/kinh-nghiem-chuyen-doi-tu-ho-kinh-doanh-len-doanh-nghiep</t>
  </si>
  <si>
    <t>https://techcombank.com/thong-tin/blog/top-phan-mem-ban-hang</t>
  </si>
  <si>
    <t>https://techcombank.com/thong-tin/blog/phat-cham-dang-ky-thue-ho-kinh-doanh</t>
  </si>
  <si>
    <t>Nhượng quyền là một mô hình kinh doanh.</t>
  </si>
  <si>
    <t>Kinh doanh online — chọn mô hình.</t>
  </si>
  <si>
    <t>Mô hình One-Stop Shop.</t>
  </si>
  <si>
    <t>https://techcombank.com/thong-tin/blog/cac-loai-hinh-doanh-nghiep</t>
  </si>
  <si>
    <t>Loại hình DN ≠ mô hình KD nhưng có thể dẫn câu ngắn. (Liên quan yếu – bản chặt đã loại.)</t>
  </si>
  <si>
    <t>https://techcombank.com/thong-tin/blog/merchant-la-gi</t>
  </si>
  <si>
    <t>Merchant — mô hình bán lẻ. (Liên quan yếu – bản chặt đã loại.)</t>
  </si>
  <si>
    <t>Nhắc: khởi nghiệp.</t>
  </si>
  <si>
    <t>Nhắc: kinh doanh online.</t>
  </si>
  <si>
    <t>https://techcombank.com/thong-tin/blog/quan-ly-chuoi-cua-hang</t>
  </si>
  <si>
    <t>Nhắc: chuỗi cửa hàng.</t>
  </si>
  <si>
    <t>https://techcombank.com/thong-tin/blog/giai-phap-quan-ly-chuoi-cua-hang</t>
  </si>
  <si>
    <t>https://techcombank.com/thong-tin/blog/vay-kinh-doanh-online</t>
  </si>
  <si>
    <t>https://techcombank.com/thong-tin/blog/quan-ly-chi-phi-doanh-nghiep</t>
  </si>
  <si>
    <t>Nhắc: mô hình.</t>
  </si>
  <si>
    <t>Tạo xong mã QR → gửi cho người khác.</t>
  </si>
  <si>
    <t>In mã QR — dạng chia sẻ khác.</t>
  </si>
  <si>
    <t>Gửi mã QR có an toàn không.</t>
  </si>
  <si>
    <t>Phí làm mã QR — dẫn sang cách lấy/gửi.</t>
  </si>
  <si>
    <t>Lỗi mã QR khi gửi/nhận.</t>
  </si>
  <si>
    <t>Nhắc: mã qr, qr.</t>
  </si>
  <si>
    <t>Nhắc: qr.</t>
  </si>
  <si>
    <t>HKD cần gì ở TK — sát chủ đề.</t>
  </si>
  <si>
    <t>Thành lập HKD xong → mở TK.</t>
  </si>
  <si>
    <t>Khai báo TK với thuế — cần có TK HKD.</t>
  </si>
  <si>
    <t>Định nghĩa HKD cá thể.</t>
  </si>
  <si>
    <t>Đăng ký MST HKD — bước liền kề.</t>
  </si>
  <si>
    <t>Kê khai cần tính số thuế trước.</t>
  </si>
  <si>
    <t>Kiểm tra số thuế → đối chiếu cách tính.</t>
  </si>
  <si>
    <t>Thuế TMĐT cho HKD — tính theo tỷ lệ doanh thu.</t>
  </si>
  <si>
    <t>Chính sách thuế mới cho HKD.</t>
  </si>
  <si>
    <t>Tổng quan HKD — chèn ở đoạn nghĩa vụ thuế.</t>
  </si>
  <si>
    <t>Nhắc: hộ kinh doanh, thuế khoán.</t>
  </si>
  <si>
    <t>Nhắc: hộ kinh doanh, kê khai thuế.</t>
  </si>
  <si>
    <t>Dư nợ là cơ sở tính lãi.</t>
  </si>
  <si>
    <t>Ân hạn gốc thay đổi cách tính lãi.</t>
  </si>
  <si>
    <t>Lãi thả nổi/cố định → cách tính khác nhau.</t>
  </si>
  <si>
    <t>Công thức lãi suất thực — cùng chủ đề tính lãi.</t>
  </si>
  <si>
    <t>Vay trả góp — chèn ở đoạn chi phí lãi.</t>
  </si>
  <si>
    <t>Nhắc: lãi suất vay.</t>
  </si>
  <si>
    <t>Nhắc: khoản vay.</t>
  </si>
  <si>
    <t>Nhắc: lãi vay.</t>
  </si>
  <si>
    <t>https://techcombank.com/thong-tin/blog/thanh-toan-khoan-vay</t>
  </si>
  <si>
    <t>Nhắc: lãi vay, lãi suất vay.</t>
  </si>
  <si>
    <t>https://techcombank.com/thong-tin/blog/thu-tuc-vay-von-ngan-hang-de-xay-nha</t>
  </si>
  <si>
    <t>Nhắc: dư nợ, trả góp.</t>
  </si>
  <si>
    <t>Nhắc: dư nợ, khoản vay.</t>
  </si>
  <si>
    <t>Nhắc: trả góp, khoản vay.</t>
  </si>
  <si>
    <t>Nhắc: lãi suất vay, dư nợ.</t>
  </si>
  <si>
    <t>https://techcombank.com/thong-tin/blog/quy-trinh-cho-vay-tieu-dung</t>
  </si>
  <si>
    <t>https://techcombank.com/thong-tin/blog/lai-suat-cho-vay-doanh-nghiep</t>
  </si>
  <si>
    <t>Hạn mức vay sổ đỏ — anh em trực tiếp.</t>
  </si>
  <si>
    <t>Sổ hồng ~ sổ đỏ, cùng nhu cầu.</t>
  </si>
  <si>
    <t>Kinh nghiệm vay lãi tối ưu.</t>
  </si>
  <si>
    <t>Chọn ngân hàng — lãi suất là tiêu chí.</t>
  </si>
  <si>
    <t>Định nghĩa — chèn ở đoạn tài sản là sổ đỏ.</t>
  </si>
  <si>
    <t>https://techcombank.com/thong-tin/blog/vay-von-doanh-nghiep-khong-the-chap</t>
  </si>
  <si>
    <t>Nhắc: thế chấp.</t>
  </si>
  <si>
    <t>https://techcombank.com/thong-tin/blog/vay-ngan-han</t>
  </si>
  <si>
    <t>Nhắc: thế chấp, sổ đỏ.</t>
  </si>
  <si>
    <t>https://techcombank.com/thong-tin/blog/cac-hinh-thuc-cho-vay-tieu-dung</t>
  </si>
  <si>
    <t>Tất toán xong → xóa thế chấp.</t>
  </si>
  <si>
    <t>Tất toán khoản vay → bước giải chấp.</t>
  </si>
  <si>
    <t>Định nghĩa thế chấp; chèn ở đoạn kết thúc thế chấp.</t>
  </si>
  <si>
    <t>thủ tục giải chấp sổ đỏ</t>
  </si>
  <si>
    <t>Xử lý tài sản thế chấp — đối lập với xóa thế chấp. (Liên quan yếu – bản chặt đã loại.)</t>
  </si>
  <si>
    <t>Vòng đời khoản vay thế chấp. (Liên quan yếu – bản chặt đã loại.)</t>
  </si>
  <si>
    <t>Nhắc: tất toán.</t>
  </si>
  <si>
    <t>So kỳ hạn để lãi cao — cần bảng lãi suất.</t>
  </si>
  <si>
    <t>So lãi online/quầy.</t>
  </si>
  <si>
    <t>Quyết định gửi dựa trên lãi suất hiện tại.</t>
  </si>
  <si>
    <t>Top ngân hàng lãi suất hấp dẫn.</t>
  </si>
  <si>
    <t>So sánh lãi suất, kỳ hạn hôm nay.</t>
  </si>
  <si>
    <t>Nhắc: kỳ hạn.</t>
  </si>
  <si>
    <t>https://techcombank.com/thong-tin/blog/gia-cao-su</t>
  </si>
  <si>
    <t>https://techcombank.com/thong-tin/blog/casa-la-gi</t>
  </si>
  <si>
    <t>Nhắc: lãi suất tiết kiệm, lãi suất gửi tiết kiệm, gửi tiết kiệm.</t>
  </si>
  <si>
    <t>https://techcombank.com/thong-tin/blog/xu-huong-dau-tu-trai-phieu-ky-han-duoi-mot-nam-lua-chon-an-toan-khi-thi-truong-bien-dong</t>
  </si>
  <si>
    <t>Nhắc: gửi tiết kiệm, kỳ hạn.</t>
  </si>
  <si>
    <t>Nhắc: lãi suất gửi tiết kiệm, gửi tiết kiệm.</t>
  </si>
  <si>
    <t>Lãi kép và công thức tính.</t>
  </si>
  <si>
    <t>Nhận lãi hàng tháng — cách tính khác lãi cuối kỳ.</t>
  </si>
  <si>
    <t>Có mục cách tính lãi (theo title).</t>
  </si>
  <si>
    <t>Có mục cách tính lãi không kỳ hạn.</t>
  </si>
  <si>
    <t>Đáo hạn và cách tính.</t>
  </si>
  <si>
    <t>Nhắc: tính lãi.</t>
  </si>
  <si>
    <t>Nhắc: lãi suất tiết kiệm, gửi tiết kiệm.</t>
  </si>
  <si>
    <t>Nhắc: lãi kép.</t>
  </si>
  <si>
    <t>Tất toán trước hạn = rút trước hạn.</t>
  </si>
  <si>
    <t>Cùng câu hỏi cho tiết kiệm online.</t>
  </si>
  <si>
    <t>Phương án thay cho rút trước hạn.</t>
  </si>
  <si>
    <t>Mất sổ — chèn ở đoạn rút tiền.</t>
  </si>
  <si>
    <t>Các thao tác với sổ tiết kiệm.</t>
  </si>
  <si>
    <t>Nhắc: sổ tiết kiệm.</t>
  </si>
  <si>
    <t>Nhắc: tất toán, trước hạn, sổ tiết kiệm.</t>
  </si>
  <si>
    <t>Nhắc: trước hạn.</t>
  </si>
  <si>
    <t>Nhắc: tất toán, trước hạn.</t>
  </si>
  <si>
    <t>Mở sổ cần bao nhiêu tiền.</t>
  </si>
  <si>
    <t>TK tiết kiệm ~ sổ tiết kiệm.</t>
  </si>
  <si>
    <t>Mất sổ — cần hiểu sổ.</t>
  </si>
  <si>
    <t>Gửi thêm vào sổ.</t>
  </si>
  <si>
    <t>Quy trình gửi tiết kiệm tại quầy.</t>
  </si>
  <si>
    <t>Nhắc: tài khoản tiết kiệm.</t>
  </si>
  <si>
    <t>Nhắc: sổ tiết kiệm, gửi tiết kiệm.</t>
  </si>
  <si>
    <t>Cách tiết kiệm theo tuần — dẫn sang 11 cách.</t>
  </si>
  <si>
    <t>Tiết kiệm theo ngày.</t>
  </si>
  <si>
    <t>Tiết kiệm tiền lương.</t>
  </si>
  <si>
    <t>Lợi ích tiết kiệm → cách làm.</t>
  </si>
  <si>
    <t>Thực hành tiết kiệm.</t>
  </si>
  <si>
    <t>Nhắc: tài chính cá nhân.</t>
  </si>
  <si>
    <t>Nhắc: quản lý tài chính.</t>
  </si>
  <si>
    <t>https://techcombank.com/thong-tin/blog/ke-hoach-tai-chinh</t>
  </si>
  <si>
    <t>Nhắc: tài chính cá nhân, quản lý tài chính.</t>
  </si>
  <si>
    <t>Nhắc: chi tiêu, quản lý tài chính.</t>
  </si>
  <si>
    <t>https://techcombank.com/thong-tin/blog/tinh-thanh-khoan-la-gi</t>
  </si>
  <si>
    <t>https://techcombank.com/thong-tin/blog/loi-ich-cua-ngan-hang-so-voi-sme</t>
  </si>
  <si>
    <t>https://techcombank.com/thong-tin/blog/npv-la-gi</t>
  </si>
  <si>
    <t>https://techcombank.com/thong-tin/blog/quan-ly-tai-chinh-doanh-nghiep-nho</t>
  </si>
  <si>
    <t>https://techcombank.com/thong-tin/blog/tai-san-va-tieu-san-la-gi</t>
  </si>
  <si>
    <t>Nhắc: tiết kiệm tiền.</t>
  </si>
  <si>
    <t>https://techcombank.com/thong-tin/blog/lam-phat-la-gi</t>
  </si>
  <si>
    <t>Nhắc: tiết kiệm tiền, chi tiêu.</t>
  </si>
  <si>
    <t>https://techcombank.com/thong-tin/blog/phan-mem-quan-ly-tai-chinh-doanh-nghiep</t>
  </si>
  <si>
    <t>https://techcombank.com/thong-tin/blog/lap-ke-hoach-tai-chinh-ca-nhan</t>
  </si>
  <si>
    <t>Nhắc: chi tiêu, tài chính cá nhân, quản lý tài chính.</t>
  </si>
  <si>
    <t>https://techcombank.com/thong-tin/blog/nguyen-tac-quan-ly-tai-chinh-ca-nhan</t>
  </si>
  <si>
    <t>https://techcombank.com/thong-tin/blog/quy-du-phong-tai-chinh-la-gi</t>
  </si>
  <si>
    <t>https://techcombank.com/thong-tin/blog/nhung-kho-khan-khi-tiet-kiem-tien</t>
  </si>
  <si>
    <t>https://techcombank.com/thong-tin/blog/bang-can-doi-tai-chinh</t>
  </si>
  <si>
    <t>https://techcombank.com/thong-tin/blog/ly-do-ngan-hang-so-tro-thanh-cong-cu-tai-chinh-hang-dau-cua-gioi-tre</t>
  </si>
  <si>
    <t>https://techcombank.com/thong-tin/blog/dau-tu-tai-chinh-ca-nhan</t>
  </si>
  <si>
    <t>https://techcombank.com/thong-tin/blog/cach-quan-ly-tai-chinh-kinh-doanh</t>
  </si>
  <si>
    <t>Lý do nên gửi → đối chiếu rủi ro.</t>
  </si>
  <si>
    <t>Mất tiền gửi online — rủi ro cụ thể.</t>
  </si>
  <si>
    <t>Kinh nghiệm gửi an toàn.</t>
  </si>
  <si>
    <t>Hướng dẫn gửi — chèn lưu ý rủi ro.</t>
  </si>
  <si>
    <t>Bài anh em (rủi ro chung).</t>
  </si>
  <si>
    <t>Nhắc: rủi ro.</t>
  </si>
  <si>
    <t>https://techcombank.com/thong-tin/blog/cho-vay-hop-von-la-gi</t>
  </si>
  <si>
    <t>Nhắc: tiết kiệm online.</t>
  </si>
  <si>
    <t>Nhắc: mất tiền.</t>
  </si>
  <si>
    <t>https://techcombank.com/thong-tin/blog/cac-chung-chi-quy-o-viet-nam</t>
  </si>
  <si>
    <t>https://techcombank.com/thong-tin/blog/tactical-asset-allocation</t>
  </si>
  <si>
    <t>Vay 100 triệu — dùng công cụ tính tiền trả.</t>
  </si>
  <si>
    <t>Vay 200 triệu trả góp — người đọc cần tính số tiền trả hàng tháng.</t>
  </si>
  <si>
    <t>Vay 300 triệu trả góp — người đọc cần tính số tiền trả hàng tháng.</t>
  </si>
  <si>
    <t>Vay trả góp — tính số tiền trả.</t>
  </si>
  <si>
    <t>Vay thêm → tính lại khả năng trả.</t>
  </si>
  <si>
    <t>Mục tiêu 100 triệu — tính lãi tích lũy.</t>
  </si>
  <si>
    <t>So sánh gửi tiết kiệm 50 triệu — cần tính lãi.</t>
  </si>
  <si>
    <t>Tiết kiệm tích lũy — tính lãi.</t>
  </si>
  <si>
    <t>Trước khi gửi, tính lãi dự kiến.</t>
  </si>
  <si>
    <t>So sánh lãi — dùng công cụ.</t>
  </si>
  <si>
    <t>Nhắc: tích lũy.</t>
  </si>
  <si>
    <t>Nhắc: gửi tiết kiệm, tích lũy.</t>
  </si>
  <si>
    <t>Nhắc: tính lãi, lãi suất tiết kiệm, gửi tiết kiệm.</t>
  </si>
  <si>
    <t>Nhắc: tính lãi, gửi tiết kiệm, tích lũy.</t>
  </si>
  <si>
    <t>Vay online — app là kênh chính.</t>
  </si>
  <si>
    <t>Anchor "vay tiền online" của trang đích 68 trùng chủ đề chính bài này — không dùng anchor đó tại đây; cân nhắc rủi ro ăn thịt từ khóa giữa vay-tien-online và app-vay-tien-nhanh.</t>
  </si>
  <si>
    <t>Vay chỉ cần CCCD — trùng nhu cầu.</t>
  </si>
  <si>
    <t>Vay nhanh 24/24.</t>
  </si>
  <si>
    <t>Vay online 3 phút.</t>
  </si>
  <si>
    <t>Vay siêu tốc.</t>
  </si>
  <si>
    <t>Nhắc: vay online.</t>
  </si>
  <si>
    <t>Nhắc: vay tiền.</t>
  </si>
  <si>
    <t>Nhắc: vay tiền, vay tiền mặt.</t>
  </si>
  <si>
    <t>Nhắc: vay nhanh.</t>
  </si>
  <si>
    <t>Lãi suất là gì → lãi suất vay hiện nay.</t>
  </si>
  <si>
    <t>Lãi vay tiêu dùng — một phần lãi vay ngân hàng.</t>
  </si>
  <si>
    <t>Lãi vay tín chấp — anh em.</t>
  </si>
  <si>
    <t>Điều kiện vay — chèn ở đoạn chi phí vay.</t>
  </si>
  <si>
    <t>Lãi quá hạn so với lãi vay thông thường.</t>
  </si>
  <si>
    <t>Nhắc: lãi suất cho vay.</t>
  </si>
  <si>
    <t>Hạn mức thấu chi.</t>
  </si>
  <si>
    <t>Lãi suất thấu chi.</t>
  </si>
  <si>
    <t>Thời hạn thấu chi.</t>
  </si>
  <si>
    <t>Trả nợ thấu chi.</t>
  </si>
  <si>
    <t>Vay hạn mức — gần với thấu chi.</t>
  </si>
  <si>
    <t>Nhắc: thấu chi.</t>
  </si>
  <si>
    <t>Trước khi làm thẻ cần kiểm tra nợ xấu.</t>
  </si>
  <si>
    <t>Nợ xấu có mở thẻ tín dụng được không — cần kiểm tra nợ xấu trước khi mở thẻ.</t>
  </si>
  <si>
    <t>Có mục cách kiểm tra (theo title).</t>
  </si>
  <si>
    <t>Kiểm tra trước khi vay thế chấp.</t>
  </si>
  <si>
    <t>Nợ nhóm 2 — kiểm tra nhóm nợ.</t>
  </si>
  <si>
    <t>Nhắc: nợ xấu, nợ nhóm.</t>
  </si>
  <si>
    <t>Nhắc: nợ xấu, cic, nợ nhóm.</t>
  </si>
  <si>
    <t>Định nghĩa → chọn nơi vay.</t>
  </si>
  <si>
    <t>Hồ sơ vay → nơi nộp.</t>
  </si>
  <si>
    <t>Hạn mức khác nhau giữa ngân hàng.</t>
  </si>
  <si>
    <t>Chọn hình thức → chọn nơi vay.</t>
  </si>
  <si>
    <t>So lãi suất các ngân hàng.</t>
  </si>
  <si>
    <t>Nhắc: tín chấp.</t>
  </si>
  <si>
    <t>https://techcombank.com/thong-tin/blog/vay-tin-chap-cho-doanh-nghiep-moi-thanh-lap</t>
  </si>
  <si>
    <t>https://techcombank.com/thong-tin/blog/tin-chap-doanh-nghiep</t>
  </si>
  <si>
    <t>Nhắc: vay tiêu dùng.</t>
  </si>
  <si>
    <t>https://techcombank.com/thong-tin/blog/nhu-cau-vay-tieu-dung-cua-nguoi-viet-du-kien-tang-manh-trong-thoi-gian-toi</t>
  </si>
  <si>
    <t>Nhắc: tín chấp, vay tiêu dùng.</t>
  </si>
  <si>
    <t>Nhắc: tín chấp, vay tiền.</t>
  </si>
  <si>
    <t>Nhắc: vay tiêu dùng, vay tiền.</t>
  </si>
  <si>
    <t>Nợ nhóm 2 — giải thích nợ xấu.</t>
  </si>
  <si>
    <t>Nợ nhóm 3 là nợ xấu.</t>
  </si>
  <si>
    <t>Dư nợ — chèn ở đoạn chất lượng dư nợ.</t>
  </si>
  <si>
    <t>Quá hạn thẻ có thể thành nợ xấu.</t>
  </si>
  <si>
    <t>Bài trùng chủ đề — nếu giữ cả 2 thì cần đọc kỹ để tránh cannibal. (Liên quan yếu – bản chặt đã loại.)</t>
  </si>
  <si>
    <t>Bài anh em (thế chấp).</t>
  </si>
  <si>
    <t>Lãi quá hạn khi không trả được.</t>
  </si>
  <si>
    <t>Nợ quá hạn tương tự.</t>
  </si>
  <si>
    <t>Định nghĩa — chèn ở đoạn rủi ro.</t>
  </si>
  <si>
    <t>Tất toán — đối lập với không trả được. (Liên quan yếu – bản chặt đã loại.)</t>
  </si>
  <si>
    <t>Nhắc: tín chấp, nợ xấu.</t>
  </si>
  <si>
    <t>Chứng chỉ quỹ là gì → phương pháp đầu tư.</t>
  </si>
  <si>
    <t>Hướng dẫn mua → phương pháp.</t>
  </si>
  <si>
    <t>Đầu tư quỹ mở cho người mới.</t>
  </si>
  <si>
    <t>App theo dõi CCQ.</t>
  </si>
  <si>
    <t>So sánh CCQ với cổ phiếu.</t>
  </si>
  <si>
    <t>https://techcombank.com/thong-tin/blog/wacc-la-gi</t>
  </si>
  <si>
    <t>Nhắc: đầu tư.</t>
  </si>
  <si>
    <t>https://techcombank.com/thong-tin/blog/thi-truong-trai-phieu-co-hoi-dau-tu-trai-phieu-vang-du-lai-suat-thap</t>
  </si>
  <si>
    <t>https://techcombank.com/thong-tin/blog/y-concert</t>
  </si>
  <si>
    <t>https://techcombank.com/thong-tin/blog/5-trieu-mua-duoc-bao-nhieu-vang</t>
  </si>
  <si>
    <t>https://techcombank.com/thong-tin/blog/vang-24k</t>
  </si>
  <si>
    <t>https://techcombank.com/thong-tin/blog/chien-luoc-dau-tu</t>
  </si>
  <si>
    <t>https://techcombank.com/thong-tin/blog/thoi-gian-khop-lech-chung-chi-quy</t>
  </si>
  <si>
    <t>Nhắc: chứng chỉ quỹ, quỹ mở, đầu tư.</t>
  </si>
  <si>
    <t>https://techcombank.com/thong-tin/blog/techcom-securities-nhung-buoc-tien-phong-tren-san-thu-cap</t>
  </si>
  <si>
    <t>Nhắc: chứng chỉ quỹ, đầu tư.</t>
  </si>
  <si>
    <t>https://techcombank.com/thong-tin/blog/bao-hiem-lien-ket-dau-tu</t>
  </si>
  <si>
    <t>https://techcombank.com/thong-tin/blog/nghich-ly-nha-dau-tu-che-trai-phieu-lai-suat-cao-ua-ma-an-toan-du-lai-suat-thap-hon-05-1</t>
  </si>
  <si>
    <t>https://techcombank.com/thong-tin/blog/anh-sang-cuoi-duong-ham-xuat-hien-trai-phieu-doanh-nghiep-tot-va-an-toan-se-duoc-nha-dau-tu-chon</t>
  </si>
  <si>
    <t>https://techcombank.com/thong-tin/blog/vang-giam</t>
  </si>
  <si>
    <t>https://techcombank.com/thong-tin/blog/bang-gia-chung-chi-quy</t>
  </si>
  <si>
    <t>https://techcombank.com/thong-tin/blog/chung-chi-quy-dong</t>
  </si>
  <si>
    <t>https://techcombank.com/thong-tin/blog/bao-hiem-sinh-ky-la-gi</t>
  </si>
  <si>
    <t>https://techcombank.com/thong-tin/blog/chung-chi-quy-mo-va-dong</t>
  </si>
  <si>
    <t>https://techcombank.com/thong-tin/blog/bi-quyet-lua-chon-trai-phieu-an-toan-cho-nha-dau-tu</t>
  </si>
  <si>
    <t>https://techcombank.com/thong-tin/blog/bao-hiem-tu-ky-la-gi</t>
  </si>
  <si>
    <t>https://techcombank.com/thong-tin/blog/quan-ly-danh-muc-dau-tu</t>
  </si>
  <si>
    <t>https://techcombank.com/thong-tin/blog/fdi</t>
  </si>
  <si>
    <t>https://techcombank.com/thong-tin/blog/cach-dau-tu</t>
  </si>
  <si>
    <t>https://techcombank.com/thong-tin/blog/du-bao-gia-vang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</si>
</sst>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3.0"/>
      <color theme="1"/>
      <name val="Arial"/>
    </font>
    <font>
      <b/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0.0"/>
      <color theme="1"/>
      <name val="Arial"/>
    </font>
    <font>
      <u/>
      <sz val="10.0"/>
      <color rgb="FF0000FF"/>
      <name val="Arial"/>
    </font>
    <font>
      <color theme="1"/>
      <name val="Arial"/>
    </font>
    <font>
      <u/>
      <color rgb="FF0000FF"/>
      <name val="Arial"/>
    </font>
    <font>
      <u/>
      <sz val="10.0"/>
      <color rgb="FF0000FF"/>
      <name val="Arial"/>
    </font>
    <font>
      <b/>
      <color theme="1"/>
      <name val="Arial"/>
    </font>
    <font>
      <color theme="1"/>
      <name val="Arial"/>
      <scheme val="minor"/>
    </font>
    <font>
      <u/>
      <color rgb="FF0000FF"/>
    </font>
    <font>
      <u/>
      <sz val="10.0"/>
      <color rgb="FF0000FF"/>
      <name val="Arial"/>
    </font>
    <font>
      <u/>
      <sz val="10.0"/>
      <color rgb="FF0000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990000"/>
        <bgColor rgb="FF990000"/>
      </patternFill>
    </fill>
    <fill>
      <patternFill patternType="solid">
        <fgColor rgb="FFFFFFFF"/>
        <bgColor rgb="FFFFFFFF"/>
      </patternFill>
    </fill>
    <fill>
      <patternFill patternType="solid">
        <fgColor rgb="FFDDEAF9"/>
        <bgColor rgb="FFDDEAF9"/>
      </patternFill>
    </fill>
    <fill>
      <patternFill patternType="solid">
        <fgColor rgb="FFF2F2F2"/>
        <bgColor rgb="FFF2F2F2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top" wrapText="1"/>
    </xf>
    <xf borderId="0" fillId="2" fontId="2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top" wrapText="1"/>
    </xf>
    <xf borderId="0" fillId="0" fontId="4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0" fillId="3" fontId="5" numFmtId="0" xfId="0" applyAlignment="1" applyFill="1" applyFont="1">
      <alignment horizontal="center" readingOrder="0" shrinkToFit="0" vertical="top" wrapText="1"/>
    </xf>
    <xf borderId="0" fillId="3" fontId="6" numFmtId="0" xfId="0" applyAlignment="1" applyFill="1" applyFont="1">
      <alignment readingOrder="0" shrinkToFit="0" vertical="top" wrapText="1"/>
    </xf>
    <xf borderId="0" fillId="3" fontId="5" numFmtId="0" xfId="0" applyAlignment="1" applyFill="1" applyFont="1">
      <alignment readingOrder="0" shrinkToFit="0" vertical="top" wrapText="1"/>
    </xf>
    <xf borderId="0" fillId="0" fontId="7" numFmtId="0" xfId="0" applyAlignment="1" applyFont="1">
      <alignment horizontal="center" shrinkToFit="0" vertical="top" wrapText="1"/>
    </xf>
    <xf borderId="0" fillId="0" fontId="5" numFmtId="0" xfId="0" applyAlignment="1" applyFont="1">
      <alignment horizontal="center" shrinkToFit="0" vertical="center" wrapText="0"/>
    </xf>
    <xf borderId="0" fillId="3" fontId="5" numFmtId="0" xfId="0" applyAlignment="1" applyFill="1" applyFont="1">
      <alignment horizontal="center" readingOrder="0" shrinkToFit="0" vertical="top" wrapText="1"/>
    </xf>
    <xf borderId="0" fillId="0" fontId="8" numFmtId="0" xfId="0" applyAlignment="1" applyFont="1">
      <alignment shrinkToFit="0" vertical="top" wrapText="1"/>
    </xf>
    <xf borderId="0" fillId="3" fontId="5" numFmtId="0" xfId="0" applyAlignment="1" applyFill="1" applyFont="1">
      <alignment horizontal="center" shrinkToFit="0" vertical="top" wrapText="1"/>
    </xf>
    <xf borderId="0" fillId="0" fontId="7" numFmtId="0" xfId="0" applyAlignment="1" applyFont="1">
      <alignment shrinkToFit="0" vertical="top" wrapText="1"/>
    </xf>
    <xf borderId="0" fillId="0" fontId="5" numFmtId="0" xfId="0" applyAlignment="1" applyFont="1">
      <alignment horizontal="center" readingOrder="0" shrinkToFit="0" vertical="top" wrapText="1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4" fontId="5" numFmtId="0" xfId="0" applyAlignment="1" applyFill="1" applyFont="1">
      <alignment shrinkToFit="0" vertical="center" wrapText="0"/>
    </xf>
    <xf borderId="0" fillId="0" fontId="9" numFmtId="0" xfId="0" applyAlignment="1" applyFont="1">
      <alignment readingOrder="0" shrinkToFit="0" vertical="top" wrapText="1"/>
    </xf>
    <xf borderId="0" fillId="3" fontId="5" numFmtId="0" xfId="0" applyAlignment="1" applyFill="1" applyFont="1">
      <alignment shrinkToFit="0" vertical="top" wrapText="1"/>
    </xf>
    <xf borderId="0" fillId="0" fontId="5" numFmtId="0" xfId="0" applyAlignment="1" applyFont="1">
      <alignment readingOrder="0" shrinkToFit="0" vertical="top" wrapText="1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readingOrder="0" shrinkToFit="0" vertical="top" wrapText="1"/>
    </xf>
    <xf borderId="0" fillId="0" fontId="5" numFmtId="0" xfId="0" applyAlignment="1" applyFont="1">
      <alignment horizontal="center" shrinkToFit="0" vertical="top" wrapText="1"/>
    </xf>
    <xf borderId="0" fillId="5" fontId="10" numFmtId="0" xfId="0" applyAlignment="1" applyFill="1" applyFont="1">
      <alignment horizontal="center" shrinkToFit="0" vertical="top" wrapText="1"/>
    </xf>
    <xf borderId="0" fillId="5" fontId="10" numFmtId="0" xfId="0" applyAlignment="1" applyFill="1" applyFont="1">
      <alignment readingOrder="0" shrinkToFit="0" vertical="top" wrapText="1"/>
    </xf>
    <xf borderId="0" fillId="5" fontId="10" numFmtId="0" xfId="0" applyAlignment="1" applyFill="1" applyFont="1">
      <alignment shrinkToFit="0" vertical="top" wrapText="1"/>
    </xf>
    <xf borderId="0" fillId="5" fontId="10" numFmtId="0" xfId="0" applyAlignment="1" applyFill="1" applyFont="1">
      <alignment horizontal="center" readingOrder="0" shrinkToFit="0" vertical="top" wrapText="1"/>
    </xf>
    <xf borderId="0" fillId="5" fontId="10" numFmtId="0" xfId="0" applyAlignment="1" applyFill="1" applyFont="1">
      <alignment readingOrder="0" shrinkToFit="0" vertical="top" wrapText="1"/>
    </xf>
    <xf borderId="0" fillId="0" fontId="11" numFmtId="0" xfId="0" applyAlignment="1" applyFont="1">
      <alignment horizontal="center" readingOrder="0"/>
    </xf>
    <xf borderId="0" fillId="0" fontId="11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11" numFmtId="0" xfId="0" applyAlignment="1" applyFont="1">
      <alignment horizontal="center"/>
    </xf>
    <xf borderId="0" fillId="0" fontId="13" numFmtId="0" xfId="0" applyAlignment="1" applyFont="1">
      <alignment shrinkToFit="0" vertical="top" wrapText="1"/>
    </xf>
    <xf borderId="0" fillId="0" fontId="1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</cellXfs>
  <cellStyles count="1">
    <cellStyle xfId="0" name="Normal" builtinId="0"/>
  </cellStyles>
  <dxfs count="7">
    <dxf>
      <font>
        <color rgb="FF991919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7EAD2"/>
          <bgColor rgb="FFD7EAD2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CEE2F2"/>
          <bgColor rgb="FFCEE2F2"/>
        </patternFill>
      </fill>
      <border/>
    </dxf>
    <dxf>
      <font/>
      <fill>
        <patternFill patternType="solid">
          <fgColor rgb="FFD8EAD3"/>
          <bgColor rgb="FFD8EAD3"/>
        </patternFill>
      </fill>
      <border/>
    </dxf>
    <dxf>
      <font/>
      <fill>
        <patternFill patternType="solid">
          <fgColor rgb="FFFFF1CC"/>
          <bgColor rgb="FFFFF1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techcombank.com/thong-tin/blog/tien-nhat" TargetMode="External"/><Relationship Id="rId42" Type="http://schemas.openxmlformats.org/officeDocument/2006/relationships/hyperlink" Target="https://techcombank.com/thong-tin/blog/1-won-bang-bao-nhieu-tien-viet" TargetMode="External"/><Relationship Id="rId41" Type="http://schemas.openxmlformats.org/officeDocument/2006/relationships/hyperlink" Target="https://techcombank.com/thong-tin/blog/1-yen-bang-bao-nhieu-tien-viet-nam" TargetMode="External"/><Relationship Id="rId44" Type="http://schemas.openxmlformats.org/officeDocument/2006/relationships/hyperlink" Target="https://techcombank.com/thong-tin/blog/1-man-bang-bao-nhieu-tien-viet" TargetMode="External"/><Relationship Id="rId43" Type="http://schemas.openxmlformats.org/officeDocument/2006/relationships/hyperlink" Target="https://techcombank.com/thong-tin/blog/tien-dai-loan" TargetMode="External"/><Relationship Id="rId46" Type="http://schemas.openxmlformats.org/officeDocument/2006/relationships/hyperlink" Target="https://techcombank.com/thong-tin/blog/1-trieu-do-bang-bao-nhieu-tien-viet" TargetMode="External"/><Relationship Id="rId45" Type="http://schemas.openxmlformats.org/officeDocument/2006/relationships/hyperlink" Target="https://techcombank.com/thong-tin/blog/tien-thai-lan" TargetMode="External"/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nop-thue-dat-qua-ngan-hang" TargetMode="External"/><Relationship Id="rId3" Type="http://schemas.openxmlformats.org/officeDocument/2006/relationships/hyperlink" Target="https://techcombank.com/thong-tin/blog/cach-nop-thue-dien-tu" TargetMode="External"/><Relationship Id="rId4" Type="http://schemas.openxmlformats.org/officeDocument/2006/relationships/hyperlink" Target="https://techcombank.com/thong-tin/blog/thue-thu-nhap-doanh-nghiep" TargetMode="External"/><Relationship Id="rId9" Type="http://schemas.openxmlformats.org/officeDocument/2006/relationships/hyperlink" Target="https://techcombank.com/thong-tin/blog/cach-tinh-thue-thu-nhap-doanh-nghiep" TargetMode="External"/><Relationship Id="rId48" Type="http://schemas.openxmlformats.org/officeDocument/2006/relationships/hyperlink" Target="https://techcombank.com/thong-tin/blog/cach-nhan-tien-tu-nuoc-ngoai-ve-viet-nam" TargetMode="External"/><Relationship Id="rId47" Type="http://schemas.openxmlformats.org/officeDocument/2006/relationships/hyperlink" Target="https://techcombank.com/thong-tin/blog/1000-won-bang-bao-nhieu-tien-viet" TargetMode="External"/><Relationship Id="rId49" Type="http://schemas.openxmlformats.org/officeDocument/2006/relationships/hyperlink" Target="https://techcombank.com/thong-tin/blog/doi-tien-do-o-dau" TargetMode="External"/><Relationship Id="rId5" Type="http://schemas.openxmlformats.org/officeDocument/2006/relationships/hyperlink" Target="https://techcombank.com/thong-tin/blog/thue-vat-la-gi" TargetMode="External"/><Relationship Id="rId6" Type="http://schemas.openxmlformats.org/officeDocument/2006/relationships/hyperlink" Target="https://techcombank.com/thong-tin/blog/tra-cuu-no-thue-doanh-nghiep" TargetMode="External"/><Relationship Id="rId7" Type="http://schemas.openxmlformats.org/officeDocument/2006/relationships/hyperlink" Target="https://techcombank.com/thong-tin/blog/thue-doanh-nghiep" TargetMode="External"/><Relationship Id="rId8" Type="http://schemas.openxmlformats.org/officeDocument/2006/relationships/hyperlink" Target="https://techcombank.com/thong-tin/blog/cong-ty-su-dung-tai-khoan-ca-nhan" TargetMode="External"/><Relationship Id="rId73" Type="http://schemas.openxmlformats.org/officeDocument/2006/relationships/hyperlink" Target="https://techcombank.com/thong-tin/blog/no-xau-la-gi" TargetMode="External"/><Relationship Id="rId72" Type="http://schemas.openxmlformats.org/officeDocument/2006/relationships/hyperlink" Target="https://techcombank.com/thong-tin/blog/nen-vay-tin-chap-o-dau" TargetMode="External"/><Relationship Id="rId31" Type="http://schemas.openxmlformats.org/officeDocument/2006/relationships/hyperlink" Target="https://techcombank.com/khach-hang-ca-nhan/chi-tieu/the/the-tin-dung/techcombank-everyday" TargetMode="External"/><Relationship Id="rId75" Type="http://schemas.openxmlformats.org/officeDocument/2006/relationships/hyperlink" Target="https://techcombank.com/thong-tin/blog/phuong-phap-dau-tu-chung-chi-quy" TargetMode="External"/><Relationship Id="rId30" Type="http://schemas.openxmlformats.org/officeDocument/2006/relationships/hyperlink" Target="https://techcombank.com/thong-tin/blog/lam-the-tin-dung" TargetMode="External"/><Relationship Id="rId74" Type="http://schemas.openxmlformats.org/officeDocument/2006/relationships/hyperlink" Target="https://techcombank.com/thong-tin/blog/vay-tin-chap-khong-tra-duoc-co-sao-khong" TargetMode="External"/><Relationship Id="rId33" Type="http://schemas.openxmlformats.org/officeDocument/2006/relationships/hyperlink" Target="https://techcombank.com/thong-tin/blog/cach-huy-the-tin-dung" TargetMode="External"/><Relationship Id="rId32" Type="http://schemas.openxmlformats.org/officeDocument/2006/relationships/hyperlink" Target="https://techcombank.com/thong-tin/blog/the-tin-dung-hoan-tien" TargetMode="External"/><Relationship Id="rId76" Type="http://schemas.openxmlformats.org/officeDocument/2006/relationships/drawing" Target="../drawings/drawing3.xml"/><Relationship Id="rId35" Type="http://schemas.openxmlformats.org/officeDocument/2006/relationships/hyperlink" Target="https://techcombank.com/thong-tin/blog/cach-thanh-toan-the-tin-dung" TargetMode="External"/><Relationship Id="rId34" Type="http://schemas.openxmlformats.org/officeDocument/2006/relationships/hyperlink" Target="https://techcombank.com/thong-tin/blog/xep-hang-tin-dung" TargetMode="External"/><Relationship Id="rId71" Type="http://schemas.openxmlformats.org/officeDocument/2006/relationships/hyperlink" Target="https://techcombank.com/thong-tin/blog/kiem-tra-no-xau" TargetMode="External"/><Relationship Id="rId70" Type="http://schemas.openxmlformats.org/officeDocument/2006/relationships/hyperlink" Target="https://techcombank.com/thong-tin/blog/vay-thau-chi-la-gi" TargetMode="External"/><Relationship Id="rId37" Type="http://schemas.openxmlformats.org/officeDocument/2006/relationships/hyperlink" Target="https://techcombank.com/thong-tin/blog/lai-suat-chung-chi-tien-gui-cac-ngan-hang" TargetMode="External"/><Relationship Id="rId36" Type="http://schemas.openxmlformats.org/officeDocument/2006/relationships/hyperlink" Target="https://techcombank.com/thong-tin/blog/chung-chi-tien-gui-la-gi" TargetMode="External"/><Relationship Id="rId39" Type="http://schemas.openxmlformats.org/officeDocument/2006/relationships/hyperlink" Target="https://techcombank.com/thong-tin/blog/1-dong-do-la-my-bang-bao-nhieu-tien-viet-nam" TargetMode="External"/><Relationship Id="rId38" Type="http://schemas.openxmlformats.org/officeDocument/2006/relationships/hyperlink" Target="https://techcombank.com/thong-tin/blog/1-te-bang-bao-nhieu-tien-viet-nam" TargetMode="External"/><Relationship Id="rId62" Type="http://schemas.openxmlformats.org/officeDocument/2006/relationships/hyperlink" Target="https://techcombank.com/thong-tin/blog/rut-tien-tiet-kiem-truoc-thoi-han" TargetMode="External"/><Relationship Id="rId61" Type="http://schemas.openxmlformats.org/officeDocument/2006/relationships/hyperlink" Target="https://techcombank.com/thong-tin/blog/cach-tinh-lai-suat-tien-gui-tiet-kiem" TargetMode="External"/><Relationship Id="rId20" Type="http://schemas.openxmlformats.org/officeDocument/2006/relationships/hyperlink" Target="https://techcombank.com/thong-tin/blog/cach-sao-ke-tai-khoan-ngan-hang" TargetMode="External"/><Relationship Id="rId64" Type="http://schemas.openxmlformats.org/officeDocument/2006/relationships/hyperlink" Target="https://techcombank.com/thong-tin/blog/cach-tiet-kiem-tien" TargetMode="External"/><Relationship Id="rId63" Type="http://schemas.openxmlformats.org/officeDocument/2006/relationships/hyperlink" Target="https://techcombank.com/thong-tin/blog/so-tiet-kiem-ngan-hang" TargetMode="External"/><Relationship Id="rId22" Type="http://schemas.openxmlformats.org/officeDocument/2006/relationships/hyperlink" Target="https://techcombank.com/thong-tin/blog/kiem-tra-thue-thu-nhap-ca-nhan" TargetMode="External"/><Relationship Id="rId66" Type="http://schemas.openxmlformats.org/officeDocument/2006/relationships/hyperlink" Target="https://techcombank.com/cong-cu-tien-ich/cong-cu-tinh-toan/bang-tinh-lai-suat-vay" TargetMode="External"/><Relationship Id="rId21" Type="http://schemas.openxmlformats.org/officeDocument/2006/relationships/hyperlink" Target="https://techcombank.com/thong-tin/blog/day-so-phat-tai-phat-loc" TargetMode="External"/><Relationship Id="rId65" Type="http://schemas.openxmlformats.org/officeDocument/2006/relationships/hyperlink" Target="https://techcombank.com/thong-tin/blog/rui-ro-khi-gui-tiet-kiem-online" TargetMode="External"/><Relationship Id="rId24" Type="http://schemas.openxmlformats.org/officeDocument/2006/relationships/hyperlink" Target="https://techcombank.com/thong-tin/blog/thue-thu-nhap-ca-nhan" TargetMode="External"/><Relationship Id="rId68" Type="http://schemas.openxmlformats.org/officeDocument/2006/relationships/hyperlink" Target="https://techcombank.com/thong-tin/blog/app-vay-tien-nhanh" TargetMode="External"/><Relationship Id="rId23" Type="http://schemas.openxmlformats.org/officeDocument/2006/relationships/hyperlink" Target="https://techcombank.com/thong-tin/blog/ten-dang-nhap-tai-khoan-ngan-hang-la-gi" TargetMode="External"/><Relationship Id="rId67" Type="http://schemas.openxmlformats.org/officeDocument/2006/relationships/hyperlink" Target="https://techcombank.com/cong-cu-tien-ich/cong-cu-tinh-toan/bang-tinh-lai-suat-tiet-kiem" TargetMode="External"/><Relationship Id="rId60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cach-quet-nfc-cccd-tren-iphone" TargetMode="External"/><Relationship Id="rId25" Type="http://schemas.openxmlformats.org/officeDocument/2006/relationships/hyperlink" Target="https://techcombank.com/thong-tin/blog/rut-tien-bang-ma-qr-la-gi-cach-thuc-hien-nhu-the-nao" TargetMode="External"/><Relationship Id="rId69" Type="http://schemas.openxmlformats.org/officeDocument/2006/relationships/hyperlink" Target="https://techcombank.com/thong-tin/blog/lai-suat-vay-ngan-hang" TargetMode="External"/><Relationship Id="rId28" Type="http://schemas.openxmlformats.org/officeDocument/2006/relationships/hyperlink" Target="https://techcombank.com/thong-tin/blog/cic-la-gi" TargetMode="External"/><Relationship Id="rId27" Type="http://schemas.openxmlformats.org/officeDocument/2006/relationships/hyperlink" Target="https://techcombank.com/thong-tin/blog/eco-card" TargetMode="External"/><Relationship Id="rId29" Type="http://schemas.openxmlformats.org/officeDocument/2006/relationships/hyperlink" Target="https://techcombank.com/thong-tin/blog/rut-tien-mat-tu-the-tin-dung" TargetMode="External"/><Relationship Id="rId51" Type="http://schemas.openxmlformats.org/officeDocument/2006/relationships/hyperlink" Target="https://techcombank.com/thong-tin/blog/traveloka-voucher" TargetMode="External"/><Relationship Id="rId50" Type="http://schemas.openxmlformats.org/officeDocument/2006/relationships/hyperlink" Target="https://techcombank.com/thong-tin/blog/vay-ngan-hang-1-ty-moi-thang-tra-bao-nhieu" TargetMode="External"/><Relationship Id="rId53" Type="http://schemas.openxmlformats.org/officeDocument/2006/relationships/hyperlink" Target="https://techcombank.com/thong-tin/blog/mo-hinh-kinh-doanh-la-gi" TargetMode="External"/><Relationship Id="rId52" Type="http://schemas.openxmlformats.org/officeDocument/2006/relationships/hyperlink" Target="https://techcombank.com/thong-tin/blog/ho-kinh-doanh-dong-thue-nhu-nao" TargetMode="External"/><Relationship Id="rId11" Type="http://schemas.openxmlformats.org/officeDocument/2006/relationships/hyperlink" Target="https://techcombank.com/thong-tin/blog/cach-tinh-tien-dien-sinh-hoat" TargetMode="External"/><Relationship Id="rId55" Type="http://schemas.openxmlformats.org/officeDocument/2006/relationships/hyperlink" Target="https://techcombank.com/thong-tin/blog/mo-tai-khoan-ho-kinh-doanh" TargetMode="External"/><Relationship Id="rId10" Type="http://schemas.openxmlformats.org/officeDocument/2006/relationships/hyperlink" Target="https://techcombank.com/thong-tin/blog/cach-nap-the-viettel" TargetMode="External"/><Relationship Id="rId54" Type="http://schemas.openxmlformats.org/officeDocument/2006/relationships/hyperlink" Target="https://techcombank.com/thong-tin/blog/gui-ma-qr-ngan-hang" TargetMode="External"/><Relationship Id="rId13" Type="http://schemas.openxmlformats.org/officeDocument/2006/relationships/hyperlink" Target="https://techcombank.com/thong-tin/blog/cach-kiem-tra-tai-khoan-ngan-hang" TargetMode="External"/><Relationship Id="rId57" Type="http://schemas.openxmlformats.org/officeDocument/2006/relationships/hyperlink" Target="https://techcombank.com/thong-tin/blog/cach-tinh-lai-vay-ngan-hang" TargetMode="External"/><Relationship Id="rId12" Type="http://schemas.openxmlformats.org/officeDocument/2006/relationships/hyperlink" Target="https://techcombank.com/thong-tin/blog/cach-tinh-thue-thu-nhap-ca-nhan-2025" TargetMode="External"/><Relationship Id="rId56" Type="http://schemas.openxmlformats.org/officeDocument/2006/relationships/hyperlink" Target="https://techcombank.com/thong-tin/blog/cach-tinh-thue-ho-kinh-doanh-nho-le" TargetMode="External"/><Relationship Id="rId15" Type="http://schemas.openxmlformats.org/officeDocument/2006/relationships/hyperlink" Target="https://techcombank.com/thong-tin/blog/ngan-hang-uy-tin" TargetMode="External"/><Relationship Id="rId59" Type="http://schemas.openxmlformats.org/officeDocument/2006/relationships/hyperlink" Target="https://techcombank.com/thong-tin/blog/ho-so-thu-tuc-xoa-the-chap" TargetMode="External"/><Relationship Id="rId14" Type="http://schemas.openxmlformats.org/officeDocument/2006/relationships/hyperlink" Target="https://techcombank.com/thong-tin/blog/cach-mo-tai-khoan" TargetMode="External"/><Relationship Id="rId58" Type="http://schemas.openxmlformats.org/officeDocument/2006/relationships/hyperlink" Target="https://techcombank.com/thong-tin/blog/lai-suat-vay-the-chap-so-do" TargetMode="External"/><Relationship Id="rId17" Type="http://schemas.openxmlformats.org/officeDocument/2006/relationships/hyperlink" Target="https://techcombank.com/thong-tin/blog/bao-nhieu-tuoi-duoc-mo-tai-khoan-ngan-hang" TargetMode="External"/><Relationship Id="rId16" Type="http://schemas.openxmlformats.org/officeDocument/2006/relationships/hyperlink" Target="https://techcombank.com/thong-tin/blog/chuyen-khoan-thanh-cong-nhung-khong-nhan-duoc-tien" TargetMode="External"/><Relationship Id="rId19" Type="http://schemas.openxmlformats.org/officeDocument/2006/relationships/hyperlink" Target="https://techcombank.com/thong-tin/blog/nap-tien-vao-tai-khoan-ngan-hang" TargetMode="External"/><Relationship Id="rId18" Type="http://schemas.openxmlformats.org/officeDocument/2006/relationships/hyperlink" Target="https://techcombank.com/thong-tin/blog/mo-tai-khoan-ngan-hang-duoi-18-tuoi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techcombank.com/thong-tin/blog/cach-mo-tai-khoan" TargetMode="External"/><Relationship Id="rId190" Type="http://schemas.openxmlformats.org/officeDocument/2006/relationships/hyperlink" Target="https://techcombank.com/thong-tin/blog/phuong-phap-dau-tu-chung-chi-quy" TargetMode="External"/><Relationship Id="rId42" Type="http://schemas.openxmlformats.org/officeDocument/2006/relationships/hyperlink" Target="https://techcombank.com/thong-tin/blog/cach-mo-tai-khoan" TargetMode="External"/><Relationship Id="rId41" Type="http://schemas.openxmlformats.org/officeDocument/2006/relationships/hyperlink" Target="https://techcombank.com/thong-tin/blog/cach-mo-tai-khoan" TargetMode="External"/><Relationship Id="rId44" Type="http://schemas.openxmlformats.org/officeDocument/2006/relationships/hyperlink" Target="https://techcombank.com/thong-tin/blog/ngan-hang-uy-tin" TargetMode="External"/><Relationship Id="rId43" Type="http://schemas.openxmlformats.org/officeDocument/2006/relationships/hyperlink" Target="https://techcombank.com/thong-tin/blog/ngan-hang-uy-tin" TargetMode="External"/><Relationship Id="rId193" Type="http://schemas.openxmlformats.org/officeDocument/2006/relationships/drawing" Target="../drawings/drawing4.xml"/><Relationship Id="rId46" Type="http://schemas.openxmlformats.org/officeDocument/2006/relationships/hyperlink" Target="https://techcombank.com/thong-tin/blog/chuyen-khoan-thanh-cong-nhung-khong-nhan-duoc-tien" TargetMode="External"/><Relationship Id="rId192" Type="http://schemas.openxmlformats.org/officeDocument/2006/relationships/hyperlink" Target="https://techcombank.com/thong-tin/blog/phuong-phap-dau-tu-chung-chi-quy" TargetMode="External"/><Relationship Id="rId45" Type="http://schemas.openxmlformats.org/officeDocument/2006/relationships/hyperlink" Target="https://techcombank.com/thong-tin/blog/chuyen-khoan-thanh-cong-nhung-khong-nhan-duoc-tien" TargetMode="External"/><Relationship Id="rId191" Type="http://schemas.openxmlformats.org/officeDocument/2006/relationships/hyperlink" Target="https://techcombank.com/thong-tin/blog/phuong-phap-dau-tu-chung-chi-quy" TargetMode="External"/><Relationship Id="rId48" Type="http://schemas.openxmlformats.org/officeDocument/2006/relationships/hyperlink" Target="https://techcombank.com/thong-tin/blog/bao-nhieu-tuoi-duoc-mo-tai-khoan-ngan-hang" TargetMode="External"/><Relationship Id="rId187" Type="http://schemas.openxmlformats.org/officeDocument/2006/relationships/hyperlink" Target="https://techcombank.com/thong-tin/blog/no-xau-la-gi" TargetMode="External"/><Relationship Id="rId47" Type="http://schemas.openxmlformats.org/officeDocument/2006/relationships/hyperlink" Target="https://techcombank.com/thong-tin/blog/chuyen-khoan-thanh-cong-nhung-khong-nhan-duoc-tien" TargetMode="External"/><Relationship Id="rId186" Type="http://schemas.openxmlformats.org/officeDocument/2006/relationships/hyperlink" Target="https://techcombank.com/thong-tin/blog/nen-vay-tin-chap-o-dau" TargetMode="External"/><Relationship Id="rId185" Type="http://schemas.openxmlformats.org/officeDocument/2006/relationships/hyperlink" Target="https://techcombank.com/thong-tin/blog/kiem-tra-no-xau" TargetMode="External"/><Relationship Id="rId49" Type="http://schemas.openxmlformats.org/officeDocument/2006/relationships/hyperlink" Target="https://techcombank.com/thong-tin/blog/bao-nhieu-tuoi-duoc-mo-tai-khoan-ngan-hang" TargetMode="External"/><Relationship Id="rId184" Type="http://schemas.openxmlformats.org/officeDocument/2006/relationships/hyperlink" Target="https://techcombank.com/thong-tin/blog/kiem-tra-no-xau" TargetMode="External"/><Relationship Id="rId189" Type="http://schemas.openxmlformats.org/officeDocument/2006/relationships/hyperlink" Target="https://techcombank.com/thong-tin/blog/vay-tin-chap-khong-tra-duoc-co-sao-khong" TargetMode="External"/><Relationship Id="rId188" Type="http://schemas.openxmlformats.org/officeDocument/2006/relationships/hyperlink" Target="https://techcombank.com/thong-tin/blog/no-xau-la-gi" TargetMode="External"/><Relationship Id="rId31" Type="http://schemas.openxmlformats.org/officeDocument/2006/relationships/hyperlink" Target="https://techcombank.com/thong-tin/blog/cach-tinh-tien-dien-sinh-hoat" TargetMode="External"/><Relationship Id="rId30" Type="http://schemas.openxmlformats.org/officeDocument/2006/relationships/hyperlink" Target="https://techcombank.com/thong-tin/blog/cach-nap-the-viettel" TargetMode="External"/><Relationship Id="rId33" Type="http://schemas.openxmlformats.org/officeDocument/2006/relationships/hyperlink" Target="https://techcombank.com/thong-tin/blog/cach-tinh-tien-dien-sinh-hoat" TargetMode="External"/><Relationship Id="rId183" Type="http://schemas.openxmlformats.org/officeDocument/2006/relationships/hyperlink" Target="https://techcombank.com/thong-tin/blog/vay-thau-chi-la-gi" TargetMode="External"/><Relationship Id="rId32" Type="http://schemas.openxmlformats.org/officeDocument/2006/relationships/hyperlink" Target="https://techcombank.com/thong-tin/blog/cach-tinh-tien-dien-sinh-hoat" TargetMode="External"/><Relationship Id="rId182" Type="http://schemas.openxmlformats.org/officeDocument/2006/relationships/hyperlink" Target="https://techcombank.com/thong-tin/blog/vay-thau-chi-la-gi" TargetMode="External"/><Relationship Id="rId35" Type="http://schemas.openxmlformats.org/officeDocument/2006/relationships/hyperlink" Target="https://techcombank.com/thong-tin/blog/cach-tinh-thue-thu-nhap-ca-nhan-2025" TargetMode="External"/><Relationship Id="rId181" Type="http://schemas.openxmlformats.org/officeDocument/2006/relationships/hyperlink" Target="https://techcombank.com/thong-tin/blog/lai-suat-vay-ngan-hang" TargetMode="External"/><Relationship Id="rId34" Type="http://schemas.openxmlformats.org/officeDocument/2006/relationships/hyperlink" Target="https://techcombank.com/thong-tin/blog/cach-tinh-thue-thu-nhap-ca-nhan-2025" TargetMode="External"/><Relationship Id="rId180" Type="http://schemas.openxmlformats.org/officeDocument/2006/relationships/hyperlink" Target="https://techcombank.com/thong-tin/blog/lai-suat-vay-ngan-hang" TargetMode="External"/><Relationship Id="rId37" Type="http://schemas.openxmlformats.org/officeDocument/2006/relationships/hyperlink" Target="https://techcombank.com/thong-tin/blog/cach-kiem-tra-tai-khoan-ngan-hang" TargetMode="External"/><Relationship Id="rId176" Type="http://schemas.openxmlformats.org/officeDocument/2006/relationships/hyperlink" Target="https://techcombank.com/cong-cu-tien-ich/cong-cu-tinh-toan/bang-tinh-lai-suat-tiet-kiem" TargetMode="External"/><Relationship Id="rId36" Type="http://schemas.openxmlformats.org/officeDocument/2006/relationships/hyperlink" Target="https://techcombank.com/thong-tin/blog/cach-tinh-thue-thu-nhap-ca-nhan-2025" TargetMode="External"/><Relationship Id="rId175" Type="http://schemas.openxmlformats.org/officeDocument/2006/relationships/hyperlink" Target="https://techcombank.com/cong-cu-tien-ich/cong-cu-tinh-toan/bang-tinh-lai-suat-tiet-kiem" TargetMode="External"/><Relationship Id="rId39" Type="http://schemas.openxmlformats.org/officeDocument/2006/relationships/hyperlink" Target="https://techcombank.com/thong-tin/blog/cach-kiem-tra-tai-khoan-ngan-hang" TargetMode="External"/><Relationship Id="rId174" Type="http://schemas.openxmlformats.org/officeDocument/2006/relationships/hyperlink" Target="https://techcombank.com/cong-cu-tien-ich/cong-cu-tinh-toan/bang-tinh-lai-suat-vay" TargetMode="External"/><Relationship Id="rId38" Type="http://schemas.openxmlformats.org/officeDocument/2006/relationships/hyperlink" Target="https://techcombank.com/thong-tin/blog/cach-kiem-tra-tai-khoan-ngan-hang" TargetMode="External"/><Relationship Id="rId173" Type="http://schemas.openxmlformats.org/officeDocument/2006/relationships/hyperlink" Target="https://techcombank.com/cong-cu-tien-ich/cong-cu-tinh-toan/bang-tinh-lai-suat-vay" TargetMode="External"/><Relationship Id="rId179" Type="http://schemas.openxmlformats.org/officeDocument/2006/relationships/hyperlink" Target="https://techcombank.com/thong-tin/blog/app-vay-tien-nhanh" TargetMode="External"/><Relationship Id="rId178" Type="http://schemas.openxmlformats.org/officeDocument/2006/relationships/hyperlink" Target="https://techcombank.com/thong-tin/blog/app-vay-tien-nhanh" TargetMode="External"/><Relationship Id="rId177" Type="http://schemas.openxmlformats.org/officeDocument/2006/relationships/hyperlink" Target="https://techcombank.com/thong-tin/blog/app-vay-tien-nhanh" TargetMode="External"/><Relationship Id="rId20" Type="http://schemas.openxmlformats.org/officeDocument/2006/relationships/hyperlink" Target="https://techcombank.com/thong-tin/blog/thue-doanh-nghiep" TargetMode="External"/><Relationship Id="rId22" Type="http://schemas.openxmlformats.org/officeDocument/2006/relationships/hyperlink" Target="https://techcombank.com/thong-tin/blog/thue-doanh-nghiep" TargetMode="External"/><Relationship Id="rId21" Type="http://schemas.openxmlformats.org/officeDocument/2006/relationships/hyperlink" Target="https://techcombank.com/thong-tin/blog/thue-doanh-nghiep" TargetMode="External"/><Relationship Id="rId24" Type="http://schemas.openxmlformats.org/officeDocument/2006/relationships/hyperlink" Target="https://techcombank.com/thong-tin/blog/cong-ty-su-dung-tai-khoan-ca-nhan" TargetMode="External"/><Relationship Id="rId23" Type="http://schemas.openxmlformats.org/officeDocument/2006/relationships/hyperlink" Target="https://techcombank.com/thong-tin/blog/cong-ty-su-dung-tai-khoan-ca-nhan" TargetMode="External"/><Relationship Id="rId26" Type="http://schemas.openxmlformats.org/officeDocument/2006/relationships/hyperlink" Target="https://techcombank.com/thong-tin/blog/cach-tinh-thue-thu-nhap-doanh-nghiep" TargetMode="External"/><Relationship Id="rId25" Type="http://schemas.openxmlformats.org/officeDocument/2006/relationships/hyperlink" Target="https://techcombank.com/thong-tin/blog/cach-tinh-thue-thu-nhap-doanh-nghiep" TargetMode="External"/><Relationship Id="rId28" Type="http://schemas.openxmlformats.org/officeDocument/2006/relationships/hyperlink" Target="https://techcombank.com/thong-tin/blog/cach-nap-the-viettel" TargetMode="External"/><Relationship Id="rId27" Type="http://schemas.openxmlformats.org/officeDocument/2006/relationships/hyperlink" Target="https://techcombank.com/thong-tin/blog/cach-tinh-thue-thu-nhap-doanh-nghiep" TargetMode="External"/><Relationship Id="rId29" Type="http://schemas.openxmlformats.org/officeDocument/2006/relationships/hyperlink" Target="https://techcombank.com/thong-tin/blog/cach-nap-the-viettel" TargetMode="External"/><Relationship Id="rId11" Type="http://schemas.openxmlformats.org/officeDocument/2006/relationships/hyperlink" Target="https://techcombank.com/thong-tin/blog/thue-thu-nhap-doanh-nghiep" TargetMode="External"/><Relationship Id="rId10" Type="http://schemas.openxmlformats.org/officeDocument/2006/relationships/hyperlink" Target="https://techcombank.com/thong-tin/blog/cach-nop-thue-dien-tu" TargetMode="External"/><Relationship Id="rId13" Type="http://schemas.openxmlformats.org/officeDocument/2006/relationships/hyperlink" Target="https://techcombank.com/thong-tin/blog/thue-thu-nhap-doanh-nghiep" TargetMode="External"/><Relationship Id="rId12" Type="http://schemas.openxmlformats.org/officeDocument/2006/relationships/hyperlink" Target="https://techcombank.com/thong-tin/blog/thue-thu-nhap-doanh-nghiep" TargetMode="External"/><Relationship Id="rId15" Type="http://schemas.openxmlformats.org/officeDocument/2006/relationships/hyperlink" Target="https://techcombank.com/thong-tin/blog/thue-vat-la-gi" TargetMode="External"/><Relationship Id="rId14" Type="http://schemas.openxmlformats.org/officeDocument/2006/relationships/hyperlink" Target="https://techcombank.com/thong-tin/blog/thue-vat-la-gi" TargetMode="External"/><Relationship Id="rId17" Type="http://schemas.openxmlformats.org/officeDocument/2006/relationships/hyperlink" Target="https://techcombank.com/thong-tin/blog/tra-cuu-no-thue-doanh-nghiep" TargetMode="External"/><Relationship Id="rId16" Type="http://schemas.openxmlformats.org/officeDocument/2006/relationships/hyperlink" Target="https://techcombank.com/thong-tin/blog/thue-vat-la-gi" TargetMode="External"/><Relationship Id="rId19" Type="http://schemas.openxmlformats.org/officeDocument/2006/relationships/hyperlink" Target="https://techcombank.com/thong-tin/blog/tra-cuu-no-thue-doanh-nghiep" TargetMode="External"/><Relationship Id="rId18" Type="http://schemas.openxmlformats.org/officeDocument/2006/relationships/hyperlink" Target="https://techcombank.com/thong-tin/blog/tra-cuu-no-thue-doanh-nghiep" TargetMode="External"/><Relationship Id="rId84" Type="http://schemas.openxmlformats.org/officeDocument/2006/relationships/hyperlink" Target="https://techcombank.com/thong-tin/blog/lam-the-tin-dung" TargetMode="External"/><Relationship Id="rId83" Type="http://schemas.openxmlformats.org/officeDocument/2006/relationships/hyperlink" Target="https://techcombank.com/thong-tin/blog/lam-the-tin-dung" TargetMode="External"/><Relationship Id="rId86" Type="http://schemas.openxmlformats.org/officeDocument/2006/relationships/hyperlink" Target="https://techcombank.com/khach-hang-ca-nhan/chi-tieu/the/the-tin-dung/techcombank-everyday" TargetMode="External"/><Relationship Id="rId85" Type="http://schemas.openxmlformats.org/officeDocument/2006/relationships/hyperlink" Target="https://techcombank.com/khach-hang-ca-nhan/chi-tieu/the/the-tin-dung/techcombank-everyday" TargetMode="External"/><Relationship Id="rId88" Type="http://schemas.openxmlformats.org/officeDocument/2006/relationships/hyperlink" Target="https://techcombank.com/thong-tin/blog/the-tin-dung-hoan-tien" TargetMode="External"/><Relationship Id="rId150" Type="http://schemas.openxmlformats.org/officeDocument/2006/relationships/hyperlink" Target="https://techcombank.com/thong-tin/blog/cach-tinh-lai-vay-ngan-hang" TargetMode="External"/><Relationship Id="rId87" Type="http://schemas.openxmlformats.org/officeDocument/2006/relationships/hyperlink" Target="https://techcombank.com/thong-tin/blog/the-tin-dung-hoan-tien" TargetMode="External"/><Relationship Id="rId89" Type="http://schemas.openxmlformats.org/officeDocument/2006/relationships/hyperlink" Target="https://techcombank.com/thong-tin/blog/the-tin-dung-hoan-tien" TargetMode="External"/><Relationship Id="rId80" Type="http://schemas.openxmlformats.org/officeDocument/2006/relationships/hyperlink" Target="https://techcombank.com/thong-tin/blog/rut-tien-mat-tu-the-tin-dung" TargetMode="External"/><Relationship Id="rId82" Type="http://schemas.openxmlformats.org/officeDocument/2006/relationships/hyperlink" Target="https://techcombank.com/thong-tin/blog/rut-tien-mat-tu-the-tin-dung" TargetMode="External"/><Relationship Id="rId81" Type="http://schemas.openxmlformats.org/officeDocument/2006/relationships/hyperlink" Target="https://techcombank.com/thong-tin/blog/rut-tien-mat-tu-the-tin-dung" TargetMode="External"/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lai-suat-vay-mua-o-to" TargetMode="External"/><Relationship Id="rId3" Type="http://schemas.openxmlformats.org/officeDocument/2006/relationships/hyperlink" Target="https://techcombank.com/thong-tin/blog/lai-suat-vay-mua-o-to" TargetMode="External"/><Relationship Id="rId149" Type="http://schemas.openxmlformats.org/officeDocument/2006/relationships/hyperlink" Target="https://techcombank.com/thong-tin/blog/cach-tinh-lai-vay-ngan-hang" TargetMode="External"/><Relationship Id="rId4" Type="http://schemas.openxmlformats.org/officeDocument/2006/relationships/hyperlink" Target="https://techcombank.com/thong-tin/blog/lai-suat-vay-mua-o-to" TargetMode="External"/><Relationship Id="rId148" Type="http://schemas.openxmlformats.org/officeDocument/2006/relationships/hyperlink" Target="https://techcombank.com/thong-tin/blog/cach-tinh-lai-vay-ngan-hang" TargetMode="External"/><Relationship Id="rId9" Type="http://schemas.openxmlformats.org/officeDocument/2006/relationships/hyperlink" Target="https://techcombank.com/thong-tin/blog/cach-nop-thue-dien-tu" TargetMode="External"/><Relationship Id="rId143" Type="http://schemas.openxmlformats.org/officeDocument/2006/relationships/hyperlink" Target="https://techcombank.com/thong-tin/blog/mo-tai-khoan-ho-kinh-doanh" TargetMode="External"/><Relationship Id="rId142" Type="http://schemas.openxmlformats.org/officeDocument/2006/relationships/hyperlink" Target="https://techcombank.com/thong-tin/blog/mo-tai-khoan-ho-kinh-doanh" TargetMode="External"/><Relationship Id="rId141" Type="http://schemas.openxmlformats.org/officeDocument/2006/relationships/hyperlink" Target="https://techcombank.com/thong-tin/blog/gui-ma-qr-ngan-hang" TargetMode="External"/><Relationship Id="rId140" Type="http://schemas.openxmlformats.org/officeDocument/2006/relationships/hyperlink" Target="https://techcombank.com/thong-tin/blog/gui-ma-qr-ngan-hang" TargetMode="External"/><Relationship Id="rId5" Type="http://schemas.openxmlformats.org/officeDocument/2006/relationships/hyperlink" Target="https://techcombank.com/thong-tin/blog/nop-thue-dat-qua-ngan-hang" TargetMode="External"/><Relationship Id="rId147" Type="http://schemas.openxmlformats.org/officeDocument/2006/relationships/hyperlink" Target="https://techcombank.com/thong-tin/blog/cach-tinh-lai-vay-ngan-hang" TargetMode="External"/><Relationship Id="rId6" Type="http://schemas.openxmlformats.org/officeDocument/2006/relationships/hyperlink" Target="https://techcombank.com/thong-tin/blog/nop-thue-dat-qua-ngan-hang" TargetMode="External"/><Relationship Id="rId146" Type="http://schemas.openxmlformats.org/officeDocument/2006/relationships/hyperlink" Target="https://techcombank.com/thong-tin/blog/cach-tinh-thue-ho-kinh-doanh-nho-le" TargetMode="External"/><Relationship Id="rId7" Type="http://schemas.openxmlformats.org/officeDocument/2006/relationships/hyperlink" Target="https://techcombank.com/thong-tin/blog/nop-thue-dat-qua-ngan-hang" TargetMode="External"/><Relationship Id="rId145" Type="http://schemas.openxmlformats.org/officeDocument/2006/relationships/hyperlink" Target="https://techcombank.com/thong-tin/blog/cach-tinh-thue-ho-kinh-doanh-nho-le" TargetMode="External"/><Relationship Id="rId8" Type="http://schemas.openxmlformats.org/officeDocument/2006/relationships/hyperlink" Target="https://techcombank.com/thong-tin/blog/cach-nop-thue-dien-tu" TargetMode="External"/><Relationship Id="rId144" Type="http://schemas.openxmlformats.org/officeDocument/2006/relationships/hyperlink" Target="https://techcombank.com/thong-tin/blog/mo-tai-khoan-ho-kinh-doanh" TargetMode="External"/><Relationship Id="rId73" Type="http://schemas.openxmlformats.org/officeDocument/2006/relationships/hyperlink" Target="https://techcombank.com/thong-tin/blog/eco-card" TargetMode="External"/><Relationship Id="rId72" Type="http://schemas.openxmlformats.org/officeDocument/2006/relationships/hyperlink" Target="https://techcombank.com/thong-tin/blog/eco-card" TargetMode="External"/><Relationship Id="rId75" Type="http://schemas.openxmlformats.org/officeDocument/2006/relationships/hyperlink" Target="https://techcombank.com/thong-tin/blog/cic-la-gi" TargetMode="External"/><Relationship Id="rId74" Type="http://schemas.openxmlformats.org/officeDocument/2006/relationships/hyperlink" Target="https://techcombank.com/thong-tin/blog/eco-card" TargetMode="External"/><Relationship Id="rId77" Type="http://schemas.openxmlformats.org/officeDocument/2006/relationships/hyperlink" Target="https://techcombank.com/thong-tin/blog/cic-la-gi" TargetMode="External"/><Relationship Id="rId76" Type="http://schemas.openxmlformats.org/officeDocument/2006/relationships/hyperlink" Target="https://techcombank.com/thong-tin/blog/cic-la-gi" TargetMode="External"/><Relationship Id="rId79" Type="http://schemas.openxmlformats.org/officeDocument/2006/relationships/hyperlink" Target="https://techcombank.com/thong-tin/blog/cic-la-gi" TargetMode="External"/><Relationship Id="rId78" Type="http://schemas.openxmlformats.org/officeDocument/2006/relationships/hyperlink" Target="https://techcombank.com/thong-tin/blog/cic-la-gi" TargetMode="External"/><Relationship Id="rId71" Type="http://schemas.openxmlformats.org/officeDocument/2006/relationships/hyperlink" Target="https://techcombank.com/thong-tin/blog/cach-quet-nfc-cccd-tren-iphone" TargetMode="External"/><Relationship Id="rId70" Type="http://schemas.openxmlformats.org/officeDocument/2006/relationships/hyperlink" Target="https://techcombank.com/thong-tin/blog/cach-quet-nfc-cccd-tren-iphone" TargetMode="External"/><Relationship Id="rId139" Type="http://schemas.openxmlformats.org/officeDocument/2006/relationships/hyperlink" Target="https://techcombank.com/thong-tin/blog/mo-hinh-kinh-doanh-la-gi" TargetMode="External"/><Relationship Id="rId138" Type="http://schemas.openxmlformats.org/officeDocument/2006/relationships/hyperlink" Target="https://techcombank.com/thong-tin/blog/mo-hinh-kinh-doanh-la-gi" TargetMode="External"/><Relationship Id="rId137" Type="http://schemas.openxmlformats.org/officeDocument/2006/relationships/hyperlink" Target="https://techcombank.com/thong-tin/blog/ho-kinh-doanh-dong-thue-nhu-nao" TargetMode="External"/><Relationship Id="rId132" Type="http://schemas.openxmlformats.org/officeDocument/2006/relationships/hyperlink" Target="https://techcombank.com/thong-tin/blog/traveloka-voucher" TargetMode="External"/><Relationship Id="rId131" Type="http://schemas.openxmlformats.org/officeDocument/2006/relationships/hyperlink" Target="https://techcombank.com/thong-tin/blog/vay-ngan-hang-1-ty-moi-thang-tra-bao-nhieu" TargetMode="External"/><Relationship Id="rId130" Type="http://schemas.openxmlformats.org/officeDocument/2006/relationships/hyperlink" Target="https://techcombank.com/thong-tin/blog/vay-ngan-hang-1-ty-moi-thang-tra-bao-nhieu" TargetMode="External"/><Relationship Id="rId136" Type="http://schemas.openxmlformats.org/officeDocument/2006/relationships/hyperlink" Target="https://techcombank.com/thong-tin/blog/ho-kinh-doanh-dong-thue-nhu-nao" TargetMode="External"/><Relationship Id="rId135" Type="http://schemas.openxmlformats.org/officeDocument/2006/relationships/hyperlink" Target="https://techcombank.com/thong-tin/blog/ho-kinh-doanh-dong-thue-nhu-nao" TargetMode="External"/><Relationship Id="rId134" Type="http://schemas.openxmlformats.org/officeDocument/2006/relationships/hyperlink" Target="https://techcombank.com/thong-tin/blog/ho-kinh-doanh-dong-thue-nhu-nao" TargetMode="External"/><Relationship Id="rId133" Type="http://schemas.openxmlformats.org/officeDocument/2006/relationships/hyperlink" Target="https://techcombank.com/thong-tin/blog/traveloka-voucher" TargetMode="External"/><Relationship Id="rId62" Type="http://schemas.openxmlformats.org/officeDocument/2006/relationships/hyperlink" Target="https://techcombank.com/thong-tin/blog/ten-dang-nhap-tai-khoan-ngan-hang-la-gi" TargetMode="External"/><Relationship Id="rId61" Type="http://schemas.openxmlformats.org/officeDocument/2006/relationships/hyperlink" Target="https://techcombank.com/thong-tin/blog/ten-dang-nhap-tai-khoan-ngan-hang-la-gi" TargetMode="External"/><Relationship Id="rId64" Type="http://schemas.openxmlformats.org/officeDocument/2006/relationships/hyperlink" Target="https://techcombank.com/thong-tin/blog/thue-thu-nhap-ca-nhan" TargetMode="External"/><Relationship Id="rId63" Type="http://schemas.openxmlformats.org/officeDocument/2006/relationships/hyperlink" Target="https://techcombank.com/thong-tin/blog/thue-thu-nhap-ca-nhan" TargetMode="External"/><Relationship Id="rId66" Type="http://schemas.openxmlformats.org/officeDocument/2006/relationships/hyperlink" Target="https://techcombank.com/thong-tin/blog/rut-tien-bang-ma-qr-la-gi-cach-thuc-hien-nhu-the-nao" TargetMode="External"/><Relationship Id="rId172" Type="http://schemas.openxmlformats.org/officeDocument/2006/relationships/hyperlink" Target="https://techcombank.com/cong-cu-tien-ich/cong-cu-tinh-toan/bang-tinh-lai-suat-vay" TargetMode="External"/><Relationship Id="rId65" Type="http://schemas.openxmlformats.org/officeDocument/2006/relationships/hyperlink" Target="https://techcombank.com/thong-tin/blog/thue-thu-nhap-ca-nhan" TargetMode="External"/><Relationship Id="rId171" Type="http://schemas.openxmlformats.org/officeDocument/2006/relationships/hyperlink" Target="https://techcombank.com/thong-tin/blog/rui-ro-khi-gui-tiet-kiem-online" TargetMode="External"/><Relationship Id="rId68" Type="http://schemas.openxmlformats.org/officeDocument/2006/relationships/hyperlink" Target="https://techcombank.com/thong-tin/blog/rut-tien-bang-ma-qr-la-gi-cach-thuc-hien-nhu-the-nao" TargetMode="External"/><Relationship Id="rId170" Type="http://schemas.openxmlformats.org/officeDocument/2006/relationships/hyperlink" Target="https://techcombank.com/thong-tin/blog/rui-ro-khi-gui-tiet-kiem-online" TargetMode="External"/><Relationship Id="rId67" Type="http://schemas.openxmlformats.org/officeDocument/2006/relationships/hyperlink" Target="https://techcombank.com/thong-tin/blog/rut-tien-bang-ma-qr-la-gi-cach-thuc-hien-nhu-the-nao" TargetMode="External"/><Relationship Id="rId60" Type="http://schemas.openxmlformats.org/officeDocument/2006/relationships/hyperlink" Target="https://techcombank.com/thong-tin/blog/kiem-tra-thue-thu-nhap-ca-nhan" TargetMode="External"/><Relationship Id="rId165" Type="http://schemas.openxmlformats.org/officeDocument/2006/relationships/hyperlink" Target="https://techcombank.com/thong-tin/blog/rut-tien-tiet-kiem-truoc-thoi-han" TargetMode="External"/><Relationship Id="rId69" Type="http://schemas.openxmlformats.org/officeDocument/2006/relationships/hyperlink" Target="https://techcombank.com/thong-tin/blog/cach-quet-nfc-cccd-tren-iphone" TargetMode="External"/><Relationship Id="rId164" Type="http://schemas.openxmlformats.org/officeDocument/2006/relationships/hyperlink" Target="https://techcombank.com/thong-tin/blog/rut-tien-tiet-kiem-truoc-thoi-han" TargetMode="External"/><Relationship Id="rId163" Type="http://schemas.openxmlformats.org/officeDocument/2006/relationships/hyperlink" Target="https://techcombank.com/thong-tin/blog/cach-tinh-lai-suat-tien-gui-tiet-kiem" TargetMode="External"/><Relationship Id="rId162" Type="http://schemas.openxmlformats.org/officeDocument/2006/relationships/hyperlink" Target="https://techcombank.com/thong-tin/blog/cach-tinh-lai-suat-tien-gui-tiet-kiem" TargetMode="External"/><Relationship Id="rId169" Type="http://schemas.openxmlformats.org/officeDocument/2006/relationships/hyperlink" Target="https://techcombank.com/thong-tin/blog/cach-tiet-kiem-tien" TargetMode="External"/><Relationship Id="rId168" Type="http://schemas.openxmlformats.org/officeDocument/2006/relationships/hyperlink" Target="https://techcombank.com/thong-tin/blog/cach-tiet-kiem-tien" TargetMode="External"/><Relationship Id="rId167" Type="http://schemas.openxmlformats.org/officeDocument/2006/relationships/hyperlink" Target="https://techcombank.com/thong-tin/blog/so-tiet-kiem-ngan-hang" TargetMode="External"/><Relationship Id="rId166" Type="http://schemas.openxmlformats.org/officeDocument/2006/relationships/hyperlink" Target="https://techcombank.com/thong-tin/blog/so-tiet-kiem-ngan-hang" TargetMode="External"/><Relationship Id="rId51" Type="http://schemas.openxmlformats.org/officeDocument/2006/relationships/hyperlink" Target="https://techcombank.com/thong-tin/blog/mo-tai-khoan-ngan-hang-duoi-18-tuoi" TargetMode="External"/><Relationship Id="rId50" Type="http://schemas.openxmlformats.org/officeDocument/2006/relationships/hyperlink" Target="https://techcombank.com/thong-tin/blog/mo-tai-khoan-ngan-hang-duoi-18-tuoi" TargetMode="External"/><Relationship Id="rId53" Type="http://schemas.openxmlformats.org/officeDocument/2006/relationships/hyperlink" Target="https://techcombank.com/thong-tin/blog/nap-tien-vao-tai-khoan-ngan-hang" TargetMode="External"/><Relationship Id="rId52" Type="http://schemas.openxmlformats.org/officeDocument/2006/relationships/hyperlink" Target="https://techcombank.com/thong-tin/blog/nap-tien-vao-tai-khoan-ngan-hang" TargetMode="External"/><Relationship Id="rId55" Type="http://schemas.openxmlformats.org/officeDocument/2006/relationships/hyperlink" Target="https://techcombank.com/thong-tin/blog/cach-sao-ke-tai-khoan-ngan-hang" TargetMode="External"/><Relationship Id="rId161" Type="http://schemas.openxmlformats.org/officeDocument/2006/relationships/hyperlink" Target="https://techcombank.com/thong-tin/blog/lai-suat-tiet-kiem" TargetMode="External"/><Relationship Id="rId54" Type="http://schemas.openxmlformats.org/officeDocument/2006/relationships/hyperlink" Target="https://techcombank.com/thong-tin/blog/cach-sao-ke-tai-khoan-ngan-hang" TargetMode="External"/><Relationship Id="rId160" Type="http://schemas.openxmlformats.org/officeDocument/2006/relationships/hyperlink" Target="https://techcombank.com/thong-tin/blog/lai-suat-tiet-kiem" TargetMode="External"/><Relationship Id="rId57" Type="http://schemas.openxmlformats.org/officeDocument/2006/relationships/hyperlink" Target="https://techcombank.com/thong-tin/blog/day-so-phat-tai-phat-loc" TargetMode="External"/><Relationship Id="rId56" Type="http://schemas.openxmlformats.org/officeDocument/2006/relationships/hyperlink" Target="https://techcombank.com/thong-tin/blog/day-so-phat-tai-phat-loc" TargetMode="External"/><Relationship Id="rId159" Type="http://schemas.openxmlformats.org/officeDocument/2006/relationships/hyperlink" Target="https://techcombank.com/thong-tin/blog/lai-suat-tiet-kiem" TargetMode="External"/><Relationship Id="rId59" Type="http://schemas.openxmlformats.org/officeDocument/2006/relationships/hyperlink" Target="https://techcombank.com/thong-tin/blog/kiem-tra-thue-thu-nhap-ca-nhan" TargetMode="External"/><Relationship Id="rId154" Type="http://schemas.openxmlformats.org/officeDocument/2006/relationships/hyperlink" Target="https://techcombank.com/thong-tin/blog/lai-suat-vay-the-chap-so-do" TargetMode="External"/><Relationship Id="rId58" Type="http://schemas.openxmlformats.org/officeDocument/2006/relationships/hyperlink" Target="https://techcombank.com/thong-tin/blog/kiem-tra-thue-thu-nhap-ca-nhan" TargetMode="External"/><Relationship Id="rId153" Type="http://schemas.openxmlformats.org/officeDocument/2006/relationships/hyperlink" Target="https://techcombank.com/thong-tin/blog/lai-suat-vay-the-chap-so-do" TargetMode="External"/><Relationship Id="rId152" Type="http://schemas.openxmlformats.org/officeDocument/2006/relationships/hyperlink" Target="https://techcombank.com/thong-tin/blog/lai-suat-vay-the-chap-so-do" TargetMode="External"/><Relationship Id="rId151" Type="http://schemas.openxmlformats.org/officeDocument/2006/relationships/hyperlink" Target="https://techcombank.com/thong-tin/blog/lai-suat-vay-the-chap-so-do" TargetMode="External"/><Relationship Id="rId158" Type="http://schemas.openxmlformats.org/officeDocument/2006/relationships/hyperlink" Target="https://techcombank.com/thong-tin/blog/ho-so-thu-tuc-xoa-the-chap" TargetMode="External"/><Relationship Id="rId157" Type="http://schemas.openxmlformats.org/officeDocument/2006/relationships/hyperlink" Target="https://techcombank.com/thong-tin/blog/ho-so-thu-tuc-xoa-the-chap" TargetMode="External"/><Relationship Id="rId156" Type="http://schemas.openxmlformats.org/officeDocument/2006/relationships/hyperlink" Target="https://techcombank.com/thong-tin/blog/ho-so-thu-tuc-xoa-the-chap" TargetMode="External"/><Relationship Id="rId155" Type="http://schemas.openxmlformats.org/officeDocument/2006/relationships/hyperlink" Target="https://techcombank.com/thong-tin/blog/ho-so-thu-tuc-xoa-the-chap" TargetMode="External"/><Relationship Id="rId107" Type="http://schemas.openxmlformats.org/officeDocument/2006/relationships/hyperlink" Target="https://techcombank.com/thong-tin/blog/tien-nhat" TargetMode="External"/><Relationship Id="rId106" Type="http://schemas.openxmlformats.org/officeDocument/2006/relationships/hyperlink" Target="https://techcombank.com/thong-tin/blog/1-dong-do-la-my-bang-bao-nhieu-tien-viet-nam" TargetMode="External"/><Relationship Id="rId105" Type="http://schemas.openxmlformats.org/officeDocument/2006/relationships/hyperlink" Target="https://techcombank.com/thong-tin/blog/1-dong-do-la-my-bang-bao-nhieu-tien-viet-nam" TargetMode="External"/><Relationship Id="rId104" Type="http://schemas.openxmlformats.org/officeDocument/2006/relationships/hyperlink" Target="https://techcombank.com/thong-tin/blog/1-dong-do-la-my-bang-bao-nhieu-tien-viet-nam" TargetMode="External"/><Relationship Id="rId109" Type="http://schemas.openxmlformats.org/officeDocument/2006/relationships/hyperlink" Target="https://techcombank.com/thong-tin/blog/1-yen-bang-bao-nhieu-tien-viet-nam" TargetMode="External"/><Relationship Id="rId108" Type="http://schemas.openxmlformats.org/officeDocument/2006/relationships/hyperlink" Target="https://techcombank.com/thong-tin/blog/tien-nhat" TargetMode="External"/><Relationship Id="rId103" Type="http://schemas.openxmlformats.org/officeDocument/2006/relationships/hyperlink" Target="https://techcombank.com/thong-tin/blog/1-te-bang-bao-nhieu-tien-viet-nam" TargetMode="External"/><Relationship Id="rId102" Type="http://schemas.openxmlformats.org/officeDocument/2006/relationships/hyperlink" Target="https://techcombank.com/thong-tin/blog/1-te-bang-bao-nhieu-tien-viet-nam" TargetMode="External"/><Relationship Id="rId101" Type="http://schemas.openxmlformats.org/officeDocument/2006/relationships/hyperlink" Target="https://techcombank.com/thong-tin/blog/lai-suat-chung-chi-tien-gui-cac-ngan-hang" TargetMode="External"/><Relationship Id="rId100" Type="http://schemas.openxmlformats.org/officeDocument/2006/relationships/hyperlink" Target="https://techcombank.com/thong-tin/blog/lai-suat-chung-chi-tien-gui-cac-ngan-hang" TargetMode="External"/><Relationship Id="rId129" Type="http://schemas.openxmlformats.org/officeDocument/2006/relationships/hyperlink" Target="https://techcombank.com/thong-tin/blog/vay-ngan-hang-1-ty-moi-thang-tra-bao-nhieu" TargetMode="External"/><Relationship Id="rId128" Type="http://schemas.openxmlformats.org/officeDocument/2006/relationships/hyperlink" Target="https://techcombank.com/thong-tin/blog/doi-tien-do-o-dau" TargetMode="External"/><Relationship Id="rId127" Type="http://schemas.openxmlformats.org/officeDocument/2006/relationships/hyperlink" Target="https://techcombank.com/thong-tin/blog/doi-tien-do-o-dau" TargetMode="External"/><Relationship Id="rId126" Type="http://schemas.openxmlformats.org/officeDocument/2006/relationships/hyperlink" Target="https://techcombank.com/thong-tin/blog/cach-nhan-tien-tu-nuoc-ngoai-ve-viet-nam" TargetMode="External"/><Relationship Id="rId121" Type="http://schemas.openxmlformats.org/officeDocument/2006/relationships/hyperlink" Target="https://techcombank.com/thong-tin/blog/1-trieu-do-bang-bao-nhieu-tien-viet" TargetMode="External"/><Relationship Id="rId120" Type="http://schemas.openxmlformats.org/officeDocument/2006/relationships/hyperlink" Target="https://techcombank.com/thong-tin/blog/tien-thai-lan" TargetMode="External"/><Relationship Id="rId125" Type="http://schemas.openxmlformats.org/officeDocument/2006/relationships/hyperlink" Target="https://techcombank.com/thong-tin/blog/cach-nhan-tien-tu-nuoc-ngoai-ve-viet-nam" TargetMode="External"/><Relationship Id="rId124" Type="http://schemas.openxmlformats.org/officeDocument/2006/relationships/hyperlink" Target="https://techcombank.com/thong-tin/blog/cach-nhan-tien-tu-nuoc-ngoai-ve-viet-nam" TargetMode="External"/><Relationship Id="rId123" Type="http://schemas.openxmlformats.org/officeDocument/2006/relationships/hyperlink" Target="https://techcombank.com/thong-tin/blog/1000-won-bang-bao-nhieu-tien-viet" TargetMode="External"/><Relationship Id="rId122" Type="http://schemas.openxmlformats.org/officeDocument/2006/relationships/hyperlink" Target="https://techcombank.com/thong-tin/blog/1000-won-bang-bao-nhieu-tien-viet" TargetMode="External"/><Relationship Id="rId95" Type="http://schemas.openxmlformats.org/officeDocument/2006/relationships/hyperlink" Target="https://techcombank.com/thong-tin/blog/cach-thanh-toan-the-tin-dung" TargetMode="External"/><Relationship Id="rId94" Type="http://schemas.openxmlformats.org/officeDocument/2006/relationships/hyperlink" Target="https://techcombank.com/thong-tin/blog/cach-thanh-toan-the-tin-dung" TargetMode="External"/><Relationship Id="rId97" Type="http://schemas.openxmlformats.org/officeDocument/2006/relationships/hyperlink" Target="https://techcombank.com/thong-tin/blog/chung-chi-tien-gui-la-gi" TargetMode="External"/><Relationship Id="rId96" Type="http://schemas.openxmlformats.org/officeDocument/2006/relationships/hyperlink" Target="https://techcombank.com/thong-tin/blog/cach-thanh-toan-the-tin-dung" TargetMode="External"/><Relationship Id="rId99" Type="http://schemas.openxmlformats.org/officeDocument/2006/relationships/hyperlink" Target="https://techcombank.com/thong-tin/blog/lai-suat-chung-chi-tien-gui-cac-ngan-hang" TargetMode="External"/><Relationship Id="rId98" Type="http://schemas.openxmlformats.org/officeDocument/2006/relationships/hyperlink" Target="https://techcombank.com/thong-tin/blog/chung-chi-tien-gui-la-gi" TargetMode="External"/><Relationship Id="rId91" Type="http://schemas.openxmlformats.org/officeDocument/2006/relationships/hyperlink" Target="https://techcombank.com/thong-tin/blog/cach-huy-the-tin-dung" TargetMode="External"/><Relationship Id="rId90" Type="http://schemas.openxmlformats.org/officeDocument/2006/relationships/hyperlink" Target="https://techcombank.com/thong-tin/blog/cach-huy-the-tin-dung" TargetMode="External"/><Relationship Id="rId93" Type="http://schemas.openxmlformats.org/officeDocument/2006/relationships/hyperlink" Target="https://techcombank.com/thong-tin/blog/xep-hang-tin-dung" TargetMode="External"/><Relationship Id="rId92" Type="http://schemas.openxmlformats.org/officeDocument/2006/relationships/hyperlink" Target="https://techcombank.com/thong-tin/blog/xep-hang-tin-dung" TargetMode="External"/><Relationship Id="rId118" Type="http://schemas.openxmlformats.org/officeDocument/2006/relationships/hyperlink" Target="https://techcombank.com/thong-tin/blog/tien-thai-lan" TargetMode="External"/><Relationship Id="rId117" Type="http://schemas.openxmlformats.org/officeDocument/2006/relationships/hyperlink" Target="https://techcombank.com/thong-tin/blog/1-man-bang-bao-nhieu-tien-viet" TargetMode="External"/><Relationship Id="rId116" Type="http://schemas.openxmlformats.org/officeDocument/2006/relationships/hyperlink" Target="https://techcombank.com/thong-tin/blog/1-man-bang-bao-nhieu-tien-viet" TargetMode="External"/><Relationship Id="rId115" Type="http://schemas.openxmlformats.org/officeDocument/2006/relationships/hyperlink" Target="https://techcombank.com/thong-tin/blog/tien-dai-loan" TargetMode="External"/><Relationship Id="rId119" Type="http://schemas.openxmlformats.org/officeDocument/2006/relationships/hyperlink" Target="https://techcombank.com/thong-tin/blog/tien-thai-lan" TargetMode="External"/><Relationship Id="rId110" Type="http://schemas.openxmlformats.org/officeDocument/2006/relationships/hyperlink" Target="https://techcombank.com/thong-tin/blog/1-yen-bang-bao-nhieu-tien-viet-nam" TargetMode="External"/><Relationship Id="rId114" Type="http://schemas.openxmlformats.org/officeDocument/2006/relationships/hyperlink" Target="https://techcombank.com/thong-tin/blog/tien-dai-loan" TargetMode="External"/><Relationship Id="rId113" Type="http://schemas.openxmlformats.org/officeDocument/2006/relationships/hyperlink" Target="https://techcombank.com/thong-tin/blog/tien-dai-loan" TargetMode="External"/><Relationship Id="rId112" Type="http://schemas.openxmlformats.org/officeDocument/2006/relationships/hyperlink" Target="https://techcombank.com/thong-tin/blog/1-won-bang-bao-nhieu-tien-viet" TargetMode="External"/><Relationship Id="rId111" Type="http://schemas.openxmlformats.org/officeDocument/2006/relationships/hyperlink" Target="https://techcombank.com/thong-tin/blog/1-won-bang-bao-nhieu-tien-viet" TargetMode="External"/></Relationships>
</file>

<file path=xl/worksheets/_rels/sheet5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quy-gia-dinh" TargetMode="External"/><Relationship Id="rId391" Type="http://schemas.openxmlformats.org/officeDocument/2006/relationships/hyperlink" Target="https://techcombank.com/thong-tin/blog/mo-tai-khoan-ngan-hang-bang-so-dien-thoai" TargetMode="External"/><Relationship Id="rId390" Type="http://schemas.openxmlformats.org/officeDocument/2006/relationships/hyperlink" Target="https://techcombank.com/thong-tin/blog/mo-tai-khoan-tiet-kiem-cho-con" TargetMode="External"/><Relationship Id="rId1" Type="http://schemas.openxmlformats.org/officeDocument/2006/relationships/hyperlink" Target="https://techcombank.com/thong-tin/blog/vay-mua-xe-tra-gop-ngan-hang-nao-tot-nhat" TargetMode="External"/><Relationship Id="rId2" Type="http://schemas.openxmlformats.org/officeDocument/2006/relationships/hyperlink" Target="https://techcombank.com/thong-tin/blog/co-nen-mua-o-to-tra-gop" TargetMode="External"/><Relationship Id="rId3" Type="http://schemas.openxmlformats.org/officeDocument/2006/relationships/hyperlink" Target="https://techcombank.com/thong-tin/blog/thu-tuc-mua-xe-tra-gop" TargetMode="External"/><Relationship Id="rId4" Type="http://schemas.openxmlformats.org/officeDocument/2006/relationships/hyperlink" Target="https://techcombank.com/thong-tin/blog/nen-mua-xe-tra-gop-hay-tra-thang" TargetMode="External"/><Relationship Id="rId2180" Type="http://schemas.openxmlformats.org/officeDocument/2006/relationships/hyperlink" Target="https://techcombank.com/thong-tin/blog/ngoai-hoi-la-gi" TargetMode="External"/><Relationship Id="rId2181" Type="http://schemas.openxmlformats.org/officeDocument/2006/relationships/hyperlink" Target="https://techcombank.com/thong-tin/blog/cach-tinh-ty-gia-ky-han" TargetMode="External"/><Relationship Id="rId2182" Type="http://schemas.openxmlformats.org/officeDocument/2006/relationships/hyperlink" Target="https://techcombank.com/thong-tin/blog/bien-dong-ty-gia-voi-doanh-nghiep-sme" TargetMode="External"/><Relationship Id="rId2183" Type="http://schemas.openxmlformats.org/officeDocument/2006/relationships/hyperlink" Target="https://techcombank.com/thong-tin/blog/vay-100-trieu" TargetMode="External"/><Relationship Id="rId9" Type="http://schemas.openxmlformats.org/officeDocument/2006/relationships/hyperlink" Target="https://techcombank.com/thong-tin/blog/cach-nop-thue-dien-tu" TargetMode="External"/><Relationship Id="rId385" Type="http://schemas.openxmlformats.org/officeDocument/2006/relationships/hyperlink" Target="https://techcombank.com/thong-tin/blog/the-debit-cho-con" TargetMode="External"/><Relationship Id="rId2184" Type="http://schemas.openxmlformats.org/officeDocument/2006/relationships/hyperlink" Target="https://techcombank.com/thong-tin/blog/vay-200-trieu" TargetMode="External"/><Relationship Id="rId384" Type="http://schemas.openxmlformats.org/officeDocument/2006/relationships/hyperlink" Target="https://techcombank.com/thong-tin/blog/lam-the-tin-dung-co-mat-phi-khong" TargetMode="External"/><Relationship Id="rId2185" Type="http://schemas.openxmlformats.org/officeDocument/2006/relationships/hyperlink" Target="https://techcombank.com/thong-tin/blog/vay-300-trieu" TargetMode="External"/><Relationship Id="rId383" Type="http://schemas.openxmlformats.org/officeDocument/2006/relationships/hyperlink" Target="https://techcombank.com/thong-tin/blog/lam-the-visa-online" TargetMode="External"/><Relationship Id="rId2186" Type="http://schemas.openxmlformats.org/officeDocument/2006/relationships/hyperlink" Target="https://techcombank.com/thong-tin/blog/vay-tra-gop" TargetMode="External"/><Relationship Id="rId382" Type="http://schemas.openxmlformats.org/officeDocument/2006/relationships/hyperlink" Target="https://techcombank.com/thong-tin/blog/the-mastercard-la-gi" TargetMode="External"/><Relationship Id="rId2187" Type="http://schemas.openxmlformats.org/officeDocument/2006/relationships/hyperlink" Target="https://techcombank.com/thong-tin/blog/dang-vay-tra-gop-co-vay-them-duoc-khong" TargetMode="External"/><Relationship Id="rId5" Type="http://schemas.openxmlformats.org/officeDocument/2006/relationships/hyperlink" Target="https://techcombank.com/thong-tin/blog/vay-the-chap-xe-o-to-cu" TargetMode="External"/><Relationship Id="rId389" Type="http://schemas.openxmlformats.org/officeDocument/2006/relationships/hyperlink" Target="https://techcombank.com/thong-tin/blog/the-debit-cho-con" TargetMode="External"/><Relationship Id="rId2188" Type="http://schemas.openxmlformats.org/officeDocument/2006/relationships/hyperlink" Target="https://techcombank.com/thong-tin/blog/lai-suat-vay-kinh-doanh" TargetMode="External"/><Relationship Id="rId6" Type="http://schemas.openxmlformats.org/officeDocument/2006/relationships/hyperlink" Target="https://techcombank.com/thong-tin/blog/mua-bao-hiem-o-to-dien" TargetMode="External"/><Relationship Id="rId388" Type="http://schemas.openxmlformats.org/officeDocument/2006/relationships/hyperlink" Target="https://techcombank.com/thong-tin/blog/thanh-toan-hoc-phi-online" TargetMode="External"/><Relationship Id="rId2189" Type="http://schemas.openxmlformats.org/officeDocument/2006/relationships/hyperlink" Target="https://techcombank.com/thong-tin/blog/cac-hinh-thuc-vay-von-ngan-hang" TargetMode="External"/><Relationship Id="rId7" Type="http://schemas.openxmlformats.org/officeDocument/2006/relationships/hyperlink" Target="https://techcombank.com/thong-tin/blog/mua-bao-hiem-o-to" TargetMode="External"/><Relationship Id="rId387" Type="http://schemas.openxmlformats.org/officeDocument/2006/relationships/hyperlink" Target="https://techcombank.com/thong-tin/blog/dieu-kien-vay-the-chap" TargetMode="External"/><Relationship Id="rId8" Type="http://schemas.openxmlformats.org/officeDocument/2006/relationships/hyperlink" Target="https://techcombank.com/thong-tin/blog/lien-ket-tai-khoan-ngan-hang-voi-etax-mobile" TargetMode="External"/><Relationship Id="rId386" Type="http://schemas.openxmlformats.org/officeDocument/2006/relationships/hyperlink" Target="https://techcombank.com/thong-tin/blog/lam-the-thanh-toan-quoc-te" TargetMode="External"/><Relationship Id="rId381" Type="http://schemas.openxmlformats.org/officeDocument/2006/relationships/hyperlink" Target="https://techcombank.com/thong-tin/blog/vay-sinh-vien" TargetMode="External"/><Relationship Id="rId380" Type="http://schemas.openxmlformats.org/officeDocument/2006/relationships/hyperlink" Target="https://techcombank.com/thong-tin/blog/shopeepay-la-gi" TargetMode="External"/><Relationship Id="rId379" Type="http://schemas.openxmlformats.org/officeDocument/2006/relationships/hyperlink" Target="https://techcombank.com/thong-tin/blog/lam-the-tin-dung" TargetMode="External"/><Relationship Id="rId2170" Type="http://schemas.openxmlformats.org/officeDocument/2006/relationships/hyperlink" Target="https://techcombank.com/thong-tin/blog/tra-no-vay-thau-chi-nhu-the-nao" TargetMode="External"/><Relationship Id="rId2171" Type="http://schemas.openxmlformats.org/officeDocument/2006/relationships/hyperlink" Target="https://techcombank.com/thong-tin/blog/luu-y-khi-su-dung-the-tin-dung" TargetMode="External"/><Relationship Id="rId2172" Type="http://schemas.openxmlformats.org/officeDocument/2006/relationships/hyperlink" Target="https://techcombank.com/thong-tin/blog/tactical-asset-allocation" TargetMode="External"/><Relationship Id="rId374" Type="http://schemas.openxmlformats.org/officeDocument/2006/relationships/hyperlink" Target="https://techcombank.com/thong-tin/blog/lam-the-visa-o-dau" TargetMode="External"/><Relationship Id="rId2173" Type="http://schemas.openxmlformats.org/officeDocument/2006/relationships/hyperlink" Target="https://techcombank.com/thong-tin/blog/gui-tiet-kiem-online-co-rut-truoc-han-duoc-khong" TargetMode="External"/><Relationship Id="rId373" Type="http://schemas.openxmlformats.org/officeDocument/2006/relationships/hyperlink" Target="https://techcombank.com/thong-tin/blog/co-nen-dung-the-tin-dung-khong" TargetMode="External"/><Relationship Id="rId2174" Type="http://schemas.openxmlformats.org/officeDocument/2006/relationships/hyperlink" Target="https://techcombank.com/thong-tin/blog/cach-bao-ve-tai-khoan" TargetMode="External"/><Relationship Id="rId372" Type="http://schemas.openxmlformats.org/officeDocument/2006/relationships/hyperlink" Target="https://techcombank.com/thong-tin/blog/cach-chon-so-tai-khoan-dep" TargetMode="External"/><Relationship Id="rId2175" Type="http://schemas.openxmlformats.org/officeDocument/2006/relationships/hyperlink" Target="https://techcombank.com/thong-tin/blog/dau-co-va-dau-tu" TargetMode="External"/><Relationship Id="rId371" Type="http://schemas.openxmlformats.org/officeDocument/2006/relationships/hyperlink" Target="https://techcombank.com/thong-tin/blog/the-visa-de-lam-gi" TargetMode="External"/><Relationship Id="rId2176" Type="http://schemas.openxmlformats.org/officeDocument/2006/relationships/hyperlink" Target="https://techcombank.com/thong-tin/blog/gui-tiet-kiem-online-quay-vong-ca-goc-va-lai" TargetMode="External"/><Relationship Id="rId378" Type="http://schemas.openxmlformats.org/officeDocument/2006/relationships/hyperlink" Target="https://techcombank.com/thong-tin/blog/lam-the-visa-mat-bao-lau" TargetMode="External"/><Relationship Id="rId2177" Type="http://schemas.openxmlformats.org/officeDocument/2006/relationships/hyperlink" Target="https://techcombank.com/thong-tin/blog/cac-loai-hinh-bao-hiem-nhan-tho" TargetMode="External"/><Relationship Id="rId377" Type="http://schemas.openxmlformats.org/officeDocument/2006/relationships/hyperlink" Target="https://techcombank.com/thong-tin/blog/mo-tai-khoan-tiet-kiem-cho-con" TargetMode="External"/><Relationship Id="rId2178" Type="http://schemas.openxmlformats.org/officeDocument/2006/relationships/hyperlink" Target="https://techcombank.com/thong-tin/blog/so-sanh-gui-tiet-kiem-online-va-tai-quay" TargetMode="External"/><Relationship Id="rId376" Type="http://schemas.openxmlformats.org/officeDocument/2006/relationships/hyperlink" Target="https://techcombank.com/thong-tin/blog/no-xau-co-lam-the-visa-duoc-khong" TargetMode="External"/><Relationship Id="rId2179" Type="http://schemas.openxmlformats.org/officeDocument/2006/relationships/hyperlink" Target="https://techcombank.com/thong-tin/blog/vay-tin-chap-khong-tra-duoc-co-sao-khong" TargetMode="External"/><Relationship Id="rId375" Type="http://schemas.openxmlformats.org/officeDocument/2006/relationships/hyperlink" Target="https://techcombank.com/thong-tin/blog/mo-tai-khoan-ngan-hang-duoi-18-tuoi" TargetMode="External"/><Relationship Id="rId2190" Type="http://schemas.openxmlformats.org/officeDocument/2006/relationships/hyperlink" Target="https://techcombank.com/thong-tin/blog/loi-nhuan" TargetMode="External"/><Relationship Id="rId2191" Type="http://schemas.openxmlformats.org/officeDocument/2006/relationships/hyperlink" Target="https://techcombank.com/thong-tin/blog/co-nen-mua-o-to-tra-gop" TargetMode="External"/><Relationship Id="rId2192" Type="http://schemas.openxmlformats.org/officeDocument/2006/relationships/hyperlink" Target="https://techcombank.com/thong-tin/blog/thanh-toan-khoan-vay" TargetMode="External"/><Relationship Id="rId2193" Type="http://schemas.openxmlformats.org/officeDocument/2006/relationships/hyperlink" Target="https://techcombank.com/thong-tin/blog/kiem-tra-no-xau" TargetMode="External"/><Relationship Id="rId2194" Type="http://schemas.openxmlformats.org/officeDocument/2006/relationships/hyperlink" Target="https://techcombank.com/thong-tin/blog/mua-truoc-tra-sau" TargetMode="External"/><Relationship Id="rId396" Type="http://schemas.openxmlformats.org/officeDocument/2006/relationships/hyperlink" Target="https://techcombank.com/thong-tin/blog/cho-vay-kinh-doanh-ho-gia-dinh" TargetMode="External"/><Relationship Id="rId2195" Type="http://schemas.openxmlformats.org/officeDocument/2006/relationships/hyperlink" Target="https://techcombank.com/thong-tin/blog/the-visa-de-lam-gi" TargetMode="External"/><Relationship Id="rId395" Type="http://schemas.openxmlformats.org/officeDocument/2006/relationships/hyperlink" Target="https://techcombank.com/thong-tin/blog/the-he-ke-can" TargetMode="External"/><Relationship Id="rId2196" Type="http://schemas.openxmlformats.org/officeDocument/2006/relationships/hyperlink" Target="https://techcombank.com/thong-tin/blog/rui-ro-khi-vay-the-chap-ngan-hang" TargetMode="External"/><Relationship Id="rId394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197" Type="http://schemas.openxmlformats.org/officeDocument/2006/relationships/hyperlink" Target="https://techcombank.com/thong-tin/blog/vay-tin-chap-va-vay-the-chap" TargetMode="External"/><Relationship Id="rId393" Type="http://schemas.openxmlformats.org/officeDocument/2006/relationships/hyperlink" Target="https://techcombank.com/thong-tin/blog/dao-tao-the-he-ke-can" TargetMode="External"/><Relationship Id="rId2198" Type="http://schemas.openxmlformats.org/officeDocument/2006/relationships/hyperlink" Target="https://techcombank.com/thong-tin/blog/lai-suat-vay-the-chap" TargetMode="External"/><Relationship Id="rId2199" Type="http://schemas.openxmlformats.org/officeDocument/2006/relationships/hyperlink" Target="https://techcombank.com/thong-tin/blog/tat-toan" TargetMode="External"/><Relationship Id="rId399" Type="http://schemas.openxmlformats.org/officeDocument/2006/relationships/hyperlink" Target="https://techcombank.com/thong-tin/blog/mo-tai-khoan-ngan-hang-cho-tre-em" TargetMode="External"/><Relationship Id="rId398" Type="http://schemas.openxmlformats.org/officeDocument/2006/relationships/hyperlink" Target="https://techcombank.com/thong-tin/blog/bao-hiem-suc-khoe-la-gi" TargetMode="External"/><Relationship Id="rId397" Type="http://schemas.openxmlformats.org/officeDocument/2006/relationships/hyperlink" Target="https://techcombank.com/thong-tin/blog/cach-tiet-kiem-tien-hieu-qua-cho-gia-dinh" TargetMode="External"/><Relationship Id="rId1730" Type="http://schemas.openxmlformats.org/officeDocument/2006/relationships/hyperlink" Target="https://techcombank.com/thong-tin/blog/thanh-lap-ho-kinh-doanh-ca-the" TargetMode="External"/><Relationship Id="rId1731" Type="http://schemas.openxmlformats.org/officeDocument/2006/relationships/hyperlink" Target="https://techcombank.com/thong-tin/blog/thue-ho-kinh-doanh-2025" TargetMode="External"/><Relationship Id="rId1732" Type="http://schemas.openxmlformats.org/officeDocument/2006/relationships/hyperlink" Target="https://techcombank.com/thong-tin/blog/cach-tao-ma-qr" TargetMode="External"/><Relationship Id="rId1733" Type="http://schemas.openxmlformats.org/officeDocument/2006/relationships/hyperlink" Target="https://techcombank.com/thong-tin/blog/loi-ich-khi-ho-kinh-doanh-chuyen-len-doanh-nghiep" TargetMode="External"/><Relationship Id="rId1734" Type="http://schemas.openxmlformats.org/officeDocument/2006/relationships/hyperlink" Target="https://techcombank.com/thong-tin/blog/tiem-nang-chuyen-doi-tu-ho-kinh-doanh-len-doanh-nghiep-sme" TargetMode="External"/><Relationship Id="rId1735" Type="http://schemas.openxmlformats.org/officeDocument/2006/relationships/hyperlink" Target="https://techcombank.com/thong-tin/blog/lai-suat-vay-kinh-doanh" TargetMode="External"/><Relationship Id="rId1736" Type="http://schemas.openxmlformats.org/officeDocument/2006/relationships/hyperlink" Target="https://techcombank.com/thong-tin/blog/chuyen-doi-ho-kinh-doanh-len-doanh-nghiep" TargetMode="External"/><Relationship Id="rId1737" Type="http://schemas.openxmlformats.org/officeDocument/2006/relationships/hyperlink" Target="https://techcombank.com/thong-tin/blog/thanh-toan-khong-dung-tien-mat" TargetMode="External"/><Relationship Id="rId1738" Type="http://schemas.openxmlformats.org/officeDocument/2006/relationships/hyperlink" Target="https://techcombank.com/thong-tin/blog/mo-tai-khoan-ho-kinh-doanh" TargetMode="External"/><Relationship Id="rId1739" Type="http://schemas.openxmlformats.org/officeDocument/2006/relationships/hyperlink" Target="https://techcombank.com/thong-tin/blog/nen-thanh-lap-ho-kinh-doanh-ke-khai-hay-doanh-nghiep" TargetMode="External"/><Relationship Id="rId1720" Type="http://schemas.openxmlformats.org/officeDocument/2006/relationships/hyperlink" Target="https://techcombank.com/thong-tin/blog/dieu-kien-vay-von-ngan-hang" TargetMode="External"/><Relationship Id="rId1721" Type="http://schemas.openxmlformats.org/officeDocument/2006/relationships/hyperlink" Target="https://techcombank.com/thong-tin/blog/phat-cham-dang-ky-thue-ho-kinh-doanh" TargetMode="External"/><Relationship Id="rId1722" Type="http://schemas.openxmlformats.org/officeDocument/2006/relationships/hyperlink" Target="https://techcombank.com/thong-tin/blog/phan-mem-xuat-hoa-don-dien-tu" TargetMode="External"/><Relationship Id="rId1723" Type="http://schemas.openxmlformats.org/officeDocument/2006/relationships/hyperlink" Target="https://techcombank.com/thong-tin/blog/cach-lam-the-ngan-hang-chay-quang-cao-facebook" TargetMode="External"/><Relationship Id="rId1724" Type="http://schemas.openxmlformats.org/officeDocument/2006/relationships/hyperlink" Target="https://techcombank.com/thong-tin/blog/ke-khai-thue-ho-kinh-doanh-ca-the-online" TargetMode="External"/><Relationship Id="rId1725" Type="http://schemas.openxmlformats.org/officeDocument/2006/relationships/hyperlink" Target="https://techcombank.com/thong-tin/blog/kiem-tra-thue-ho-kinh-doanh" TargetMode="External"/><Relationship Id="rId1726" Type="http://schemas.openxmlformats.org/officeDocument/2006/relationships/hyperlink" Target="https://techcombank.com/thong-tin/blog/thue-thuong-mai-dien-tu" TargetMode="External"/><Relationship Id="rId1727" Type="http://schemas.openxmlformats.org/officeDocument/2006/relationships/hyperlink" Target="https://techcombank.com/thong-tin/blog/chinh-sach-thue-moi" TargetMode="External"/><Relationship Id="rId1728" Type="http://schemas.openxmlformats.org/officeDocument/2006/relationships/hyperlink" Target="https://techcombank.com/thong-tin/blog/ho-kinh-doanh-ca-the" TargetMode="External"/><Relationship Id="rId1729" Type="http://schemas.openxmlformats.org/officeDocument/2006/relationships/hyperlink" Target="https://techcombank.com/thong-tin/blog/ho-kinh-doanh-la-gi" TargetMode="External"/><Relationship Id="rId1752" Type="http://schemas.openxmlformats.org/officeDocument/2006/relationships/hyperlink" Target="https://techcombank.com/thong-tin/blog/luu-y-khi-chuyen-doi-tu-ho-kinh-doanh-len-doanh-nghiep" TargetMode="External"/><Relationship Id="rId1753" Type="http://schemas.openxmlformats.org/officeDocument/2006/relationships/hyperlink" Target="https://techcombank.com/thong-tin/blog/barcode-la-gi" TargetMode="External"/><Relationship Id="rId1754" Type="http://schemas.openxmlformats.org/officeDocument/2006/relationships/hyperlink" Target="https://techcombank.com/thong-tin/blog/tra-cuu-ma-so-thue-ho-kinh-doanh" TargetMode="External"/><Relationship Id="rId1755" Type="http://schemas.openxmlformats.org/officeDocument/2006/relationships/hyperlink" Target="https://techcombank.com/thong-tin/blog/dang-ky-thue-ho-kinh-doanh-ca-the-online" TargetMode="External"/><Relationship Id="rId1756" Type="http://schemas.openxmlformats.org/officeDocument/2006/relationships/hyperlink" Target="https://techcombank.com/thong-tin/blog/chuyen-doi-so-ho-kinh-doanh" TargetMode="External"/><Relationship Id="rId1757" Type="http://schemas.openxmlformats.org/officeDocument/2006/relationships/hyperlink" Target="https://techcombank.com/thong-tin/blog/hoa-don-dien-tu" TargetMode="External"/><Relationship Id="rId1758" Type="http://schemas.openxmlformats.org/officeDocument/2006/relationships/hyperlink" Target="https://techcombank.com/thong-tin/blog/luat-thuong-mai-dien-tu" TargetMode="External"/><Relationship Id="rId1759" Type="http://schemas.openxmlformats.org/officeDocument/2006/relationships/hyperlink" Target="https://techcombank.com/thong-tin/blog/vay-the-chap-kinh-doanh" TargetMode="External"/><Relationship Id="rId808" Type="http://schemas.openxmlformats.org/officeDocument/2006/relationships/hyperlink" Target="https://techcombank.com/thong-tin/blog/the-debit-cho-con" TargetMode="External"/><Relationship Id="rId807" Type="http://schemas.openxmlformats.org/officeDocument/2006/relationships/hyperlink" Target="https://techcombank.com/thong-tin/blog/no-the-tin-dung-qua-han" TargetMode="External"/><Relationship Id="rId806" Type="http://schemas.openxmlformats.org/officeDocument/2006/relationships/hyperlink" Target="https://techcombank.com/thong-tin/blog/no-xau-mo-the-tin-dung-duoc-khong" TargetMode="External"/><Relationship Id="rId805" Type="http://schemas.openxmlformats.org/officeDocument/2006/relationships/hyperlink" Target="https://techcombank.com/thong-tin/blog/the-tin-dung-bi-khoa" TargetMode="External"/><Relationship Id="rId809" Type="http://schemas.openxmlformats.org/officeDocument/2006/relationships/hyperlink" Target="https://techcombank.com/thong-tin/blog/luu-y-khi-su-dung-the-tin-dung" TargetMode="External"/><Relationship Id="rId800" Type="http://schemas.openxmlformats.org/officeDocument/2006/relationships/hyperlink" Target="https://techcombank.com/thong-tin/blog/han-muc-the-tin-dung" TargetMode="External"/><Relationship Id="rId804" Type="http://schemas.openxmlformats.org/officeDocument/2006/relationships/hyperlink" Target="https://techcombank.com/thong-tin/blog/kich-hoat-the-tin-dung-techcombank" TargetMode="External"/><Relationship Id="rId803" Type="http://schemas.openxmlformats.org/officeDocument/2006/relationships/hyperlink" Target="https://techcombank.com/thong-tin/blog/tra-gop-qua-the-tin-dung" TargetMode="External"/><Relationship Id="rId802" Type="http://schemas.openxmlformats.org/officeDocument/2006/relationships/hyperlink" Target="https://techcombank.com/thong-tin/blog/the-tin-dung-mien-lai-55-ngay" TargetMode="External"/><Relationship Id="rId801" Type="http://schemas.openxmlformats.org/officeDocument/2006/relationships/hyperlink" Target="https://techcombank.com/thong-tin/blog/nang-han-muc-tin-dung" TargetMode="External"/><Relationship Id="rId1750" Type="http://schemas.openxmlformats.org/officeDocument/2006/relationships/hyperlink" Target="https://techcombank.com/thong-tin/blog/cach-dang-ky-ma-so-thue-ho-kinh-doanh-online" TargetMode="External"/><Relationship Id="rId1751" Type="http://schemas.openxmlformats.org/officeDocument/2006/relationships/hyperlink" Target="https://techcombank.com/thong-tin/blog/nhung-ho-kinh-doanh-duoc-mien-thue" TargetMode="External"/><Relationship Id="rId1741" Type="http://schemas.openxmlformats.org/officeDocument/2006/relationships/hyperlink" Target="https://techcombank.com/thong-tin/blog/tra-cuu-no-thue-ho-kinh-doanh" TargetMode="External"/><Relationship Id="rId1742" Type="http://schemas.openxmlformats.org/officeDocument/2006/relationships/hyperlink" Target="https://techcombank.com/thong-tin/blog/lien-ket-tai-khoan-ngan-hang-voi-etax-mobile" TargetMode="External"/><Relationship Id="rId1743" Type="http://schemas.openxmlformats.org/officeDocument/2006/relationships/hyperlink" Target="https://techcombank.com/thong-tin/blog/thu-tuc-vay-von-kinh-doanh-nho" TargetMode="External"/><Relationship Id="rId1744" Type="http://schemas.openxmlformats.org/officeDocument/2006/relationships/hyperlink" Target="https://techcombank.com/thong-tin/blog/truy-thu-thue-ho-kinh-doanh" TargetMode="External"/><Relationship Id="rId1745" Type="http://schemas.openxmlformats.org/officeDocument/2006/relationships/hyperlink" Target="https://techcombank.com/thong-tin/blog/cac-sai-lam-pho-bien-khi-chuyen-doi-ho-kinh-doanh-len-sme" TargetMode="External"/><Relationship Id="rId1746" Type="http://schemas.openxmlformats.org/officeDocument/2006/relationships/hyperlink" Target="https://techcombank.com/thong-tin/blog/giay-phep-kinh-doanh" TargetMode="External"/><Relationship Id="rId1747" Type="http://schemas.openxmlformats.org/officeDocument/2006/relationships/hyperlink" Target="https://techcombank.com/thong-tin/blog/chuyen-doi-hoa-don-dien-tu" TargetMode="External"/><Relationship Id="rId1748" Type="http://schemas.openxmlformats.org/officeDocument/2006/relationships/hyperlink" Target="https://techcombank.com/thong-tin/blog/dang-ky-kinh-doanh-la-gi" TargetMode="External"/><Relationship Id="rId1749" Type="http://schemas.openxmlformats.org/officeDocument/2006/relationships/hyperlink" Target="https://techcombank.com/thong-tin/blog/thay-doi-dia-chi-ho-kinh-doanh" TargetMode="External"/><Relationship Id="rId1740" Type="http://schemas.openxmlformats.org/officeDocument/2006/relationships/hyperlink" Target="https://techcombank.com/thong-tin/blog/vay-tin-chap-ho-kinh-doanh" TargetMode="External"/><Relationship Id="rId1710" Type="http://schemas.openxmlformats.org/officeDocument/2006/relationships/hyperlink" Target="https://techcombank.com/thong-tin/blog/hoa-don-dien-tu-ho-kinh-doanh" TargetMode="External"/><Relationship Id="rId1711" Type="http://schemas.openxmlformats.org/officeDocument/2006/relationships/hyperlink" Target="https://techcombank.com/thong-tin/blog/thue-khoan-ho-kinh-doanh-la-gi" TargetMode="External"/><Relationship Id="rId1712" Type="http://schemas.openxmlformats.org/officeDocument/2006/relationships/hyperlink" Target="https://techcombank.com/thong-tin/blog/ho-kinh-doanh-dong-thue-nhu-nao" TargetMode="External"/><Relationship Id="rId1713" Type="http://schemas.openxmlformats.org/officeDocument/2006/relationships/hyperlink" Target="https://techcombank.com/thong-tin/blog/dong-ma-so-thue-ho-kinh-doanh" TargetMode="External"/><Relationship Id="rId1714" Type="http://schemas.openxmlformats.org/officeDocument/2006/relationships/hyperlink" Target="https://techcombank.com/thong-tin/blog/one-stop-shop" TargetMode="External"/><Relationship Id="rId1715" Type="http://schemas.openxmlformats.org/officeDocument/2006/relationships/hyperlink" Target="https://techcombank.com/thong-tin/blog/thue-phi-co-dinh-khi-chuyen-doi-tu-ho-kinh-doanh-len-doanh-nghiep" TargetMode="External"/><Relationship Id="rId1716" Type="http://schemas.openxmlformats.org/officeDocument/2006/relationships/hyperlink" Target="https://techcombank.com/thong-tin/blog/tim-hieu-ve-chinh-sach-thue-moi" TargetMode="External"/><Relationship Id="rId1717" Type="http://schemas.openxmlformats.org/officeDocument/2006/relationships/hyperlink" Target="https://techcombank.com/thong-tin/blog/may-tinh-tien" TargetMode="External"/><Relationship Id="rId1718" Type="http://schemas.openxmlformats.org/officeDocument/2006/relationships/hyperlink" Target="https://techcombank.com/thong-tin/blog/kinh-nghiem-chuyen-doi-tu-ho-kinh-doanh-len-doanh-nghiep" TargetMode="External"/><Relationship Id="rId1719" Type="http://schemas.openxmlformats.org/officeDocument/2006/relationships/hyperlink" Target="https://techcombank.com/thong-tin/blog/top-phan-mem-ban-hang" TargetMode="External"/><Relationship Id="rId1700" Type="http://schemas.openxmlformats.org/officeDocument/2006/relationships/hyperlink" Target="https://techcombank.com/thong-tin/blog/barcode-la-gi" TargetMode="External"/><Relationship Id="rId1701" Type="http://schemas.openxmlformats.org/officeDocument/2006/relationships/hyperlink" Target="https://techcombank.com/thong-tin/blog/tra-cuu-ma-so-thue-ho-kinh-doanh" TargetMode="External"/><Relationship Id="rId1702" Type="http://schemas.openxmlformats.org/officeDocument/2006/relationships/hyperlink" Target="https://techcombank.com/thong-tin/blog/dang-ky-thue-ho-kinh-doanh-ca-the-online" TargetMode="External"/><Relationship Id="rId1703" Type="http://schemas.openxmlformats.org/officeDocument/2006/relationships/hyperlink" Target="https://techcombank.com/thong-tin/blog/chuyen-doi-so-ho-kinh-doanh" TargetMode="External"/><Relationship Id="rId1704" Type="http://schemas.openxmlformats.org/officeDocument/2006/relationships/hyperlink" Target="https://techcombank.com/thong-tin/blog/chinh-sach-thue-moi" TargetMode="External"/><Relationship Id="rId1705" Type="http://schemas.openxmlformats.org/officeDocument/2006/relationships/hyperlink" Target="https://techcombank.com/thong-tin/blog/hoa-don-dien-tu" TargetMode="External"/><Relationship Id="rId1706" Type="http://schemas.openxmlformats.org/officeDocument/2006/relationships/hyperlink" Target="https://techcombank.com/thong-tin/blog/luat-thuong-mai-dien-tu" TargetMode="External"/><Relationship Id="rId1707" Type="http://schemas.openxmlformats.org/officeDocument/2006/relationships/hyperlink" Target="https://techcombank.com/thong-tin/blog/ke-khai-thue-ho-kinh-doanh-ca-the-online" TargetMode="External"/><Relationship Id="rId1708" Type="http://schemas.openxmlformats.org/officeDocument/2006/relationships/hyperlink" Target="https://techcombank.com/thong-tin/blog/vay-the-chap-kinh-doanh" TargetMode="External"/><Relationship Id="rId1709" Type="http://schemas.openxmlformats.org/officeDocument/2006/relationships/hyperlink" Target="https://techcombank.com/thong-tin/blog/thue-thuong-mai-dien-tu" TargetMode="External"/><Relationship Id="rId40" Type="http://schemas.openxmlformats.org/officeDocument/2006/relationships/hyperlink" Target="https://techcombank.com/thong-tin/blog/thue-thuong-mai-dien-tu" TargetMode="External"/><Relationship Id="rId1334" Type="http://schemas.openxmlformats.org/officeDocument/2006/relationships/hyperlink" Target="https://techcombank.com/thong-tin/blog/bao-hiem-du-lich-quoc-te-nao-tot" TargetMode="External"/><Relationship Id="rId1335" Type="http://schemas.openxmlformats.org/officeDocument/2006/relationships/hyperlink" Target="https://techcombank.com/thong-tin/blog/ma-buu-chinh-the-tin-dung" TargetMode="External"/><Relationship Id="rId42" Type="http://schemas.openxmlformats.org/officeDocument/2006/relationships/hyperlink" Target="https://techcombank.com/thong-tin/blog/thue-thu-nhap-doanh-nghiep" TargetMode="External"/><Relationship Id="rId1336" Type="http://schemas.openxmlformats.org/officeDocument/2006/relationships/hyperlink" Target="https://techcombank.com/thong-tin/blog/the-tin-dung-quoc-te" TargetMode="External"/><Relationship Id="rId41" Type="http://schemas.openxmlformats.org/officeDocument/2006/relationships/hyperlink" Target="https://techcombank.com/thong-tin/blog/ho-kinh-doanh-dong-thue-nhu-nao" TargetMode="External"/><Relationship Id="rId1337" Type="http://schemas.openxmlformats.org/officeDocument/2006/relationships/hyperlink" Target="https://techcombank.com/thong-tin/blog/bib-techcombank" TargetMode="External"/><Relationship Id="rId44" Type="http://schemas.openxmlformats.org/officeDocument/2006/relationships/hyperlink" Target="https://techcombank.com/thong-tin/blog/ke-khai-thue-doanh-nghiep" TargetMode="External"/><Relationship Id="rId1338" Type="http://schemas.openxmlformats.org/officeDocument/2006/relationships/hyperlink" Target="https://techcombank.com/thong-tin/blog/the-ghi-no-noi-dia" TargetMode="External"/><Relationship Id="rId43" Type="http://schemas.openxmlformats.org/officeDocument/2006/relationships/hyperlink" Target="https://techcombank.com/thong-tin/blog/quyet-toan-thue-doanh-nghiep" TargetMode="External"/><Relationship Id="rId1339" Type="http://schemas.openxmlformats.org/officeDocument/2006/relationships/hyperlink" Target="https://techcombank.com/thong-tin/blog/iban-la-gi" TargetMode="External"/><Relationship Id="rId46" Type="http://schemas.openxmlformats.org/officeDocument/2006/relationships/hyperlink" Target="https://techcombank.com/thong-tin/blog/tien-chuyen-vao-tai-khoan-co-bi-tinh-thue-khong" TargetMode="External"/><Relationship Id="rId45" Type="http://schemas.openxmlformats.org/officeDocument/2006/relationships/hyperlink" Target="https://techcombank.com/thong-tin/blog/tra-cuu-no-thue-doanh-nghiep" TargetMode="External"/><Relationship Id="rId745" Type="http://schemas.openxmlformats.org/officeDocument/2006/relationships/hyperlink" Target="https://techcombank.com/thong-tin/blog/mat-the-tin-dung-co-bi-mat-tien-khong" TargetMode="External"/><Relationship Id="rId744" Type="http://schemas.openxmlformats.org/officeDocument/2006/relationships/hyperlink" Target="https://techcombank.com/thong-tin/blog/uu-dai-mua-ve-may-bay-bang-the-tin-dung" TargetMode="External"/><Relationship Id="rId743" Type="http://schemas.openxmlformats.org/officeDocument/2006/relationships/hyperlink" Target="https://techcombank.com/thong-tin/blog/the-tin-dung-mien-phi-thuong-nien" TargetMode="External"/><Relationship Id="rId742" Type="http://schemas.openxmlformats.org/officeDocument/2006/relationships/hyperlink" Target="https://techcombank.com/thong-tin/blog/cac-loai-the-tin-dung" TargetMode="External"/><Relationship Id="rId749" Type="http://schemas.openxmlformats.org/officeDocument/2006/relationships/hyperlink" Target="https://techcombank.com/thong-tin/blog/cach-lam-the-ngan-hang-chay-quang-cao-facebook" TargetMode="External"/><Relationship Id="rId748" Type="http://schemas.openxmlformats.org/officeDocument/2006/relationships/hyperlink" Target="https://techcombank.com/thong-tin/blog/the-tin-dung-nao-nhieu-uu-dai-nhat" TargetMode="External"/><Relationship Id="rId747" Type="http://schemas.openxmlformats.org/officeDocument/2006/relationships/hyperlink" Target="https://techcombank.com/thong-tin/blog/lam-the-atm-co-mat-phi-khong" TargetMode="External"/><Relationship Id="rId746" Type="http://schemas.openxmlformats.org/officeDocument/2006/relationships/hyperlink" Target="https://techcombank.com/thong-tin/blog/so-cvv-la-gi" TargetMode="External"/><Relationship Id="rId48" Type="http://schemas.openxmlformats.org/officeDocument/2006/relationships/hyperlink" Target="https://techcombank.com/thong-tin/blog/thue-thu-nhap-ca-nhan" TargetMode="External"/><Relationship Id="rId47" Type="http://schemas.openxmlformats.org/officeDocument/2006/relationships/hyperlink" Target="https://techcombank.com/thong-tin/blog/cach-tinh-thue-thu-nhap-ca-nhan-2025" TargetMode="External"/><Relationship Id="rId49" Type="http://schemas.openxmlformats.org/officeDocument/2006/relationships/hyperlink" Target="https://techcombank.com/thong-tin/blog/kiem-tra-thue-thu-nhap-ca-nhan" TargetMode="External"/><Relationship Id="rId741" Type="http://schemas.openxmlformats.org/officeDocument/2006/relationships/hyperlink" Target="https://techcombank.com/thong-tin/blog/uu-dai-the-tin-dung-techcombank-signature" TargetMode="External"/><Relationship Id="rId1330" Type="http://schemas.openxmlformats.org/officeDocument/2006/relationships/hyperlink" Target="https://techcombank.com/thong-tin/blog/ma-swift-ngan-hang" TargetMode="External"/><Relationship Id="rId740" Type="http://schemas.openxmlformats.org/officeDocument/2006/relationships/hyperlink" Target="https://techcombank.com/thong-tin/blog/mm-yy-la-gi" TargetMode="External"/><Relationship Id="rId1331" Type="http://schemas.openxmlformats.org/officeDocument/2006/relationships/hyperlink" Target="https://techcombank.com/thong-tin/blog/chuyen-tien-tu-my-ve-viet-nam" TargetMode="External"/><Relationship Id="rId1332" Type="http://schemas.openxmlformats.org/officeDocument/2006/relationships/hyperlink" Target="https://techcombank.com/thong-tin/blog/remittance-la-gi" TargetMode="External"/><Relationship Id="rId1333" Type="http://schemas.openxmlformats.org/officeDocument/2006/relationships/hyperlink" Target="https://techcombank.com/thong-tin/blog/thanh-toan-quoc-te" TargetMode="External"/><Relationship Id="rId1323" Type="http://schemas.openxmlformats.org/officeDocument/2006/relationships/hyperlink" Target="https://techcombank.com/thong-tin/blog/1-do-uc-bang-bao-nhieu-tien-viet" TargetMode="External"/><Relationship Id="rId1324" Type="http://schemas.openxmlformats.org/officeDocument/2006/relationships/hyperlink" Target="https://techcombank.com/thong-tin/blog/1-won-bang-bao-nhieu-tien-viet" TargetMode="External"/><Relationship Id="rId31" Type="http://schemas.openxmlformats.org/officeDocument/2006/relationships/hyperlink" Target="https://techcombank.com/thong-tin/blog/ke-khai-thue-ho-kinh-doanh-ca-the-online" TargetMode="External"/><Relationship Id="rId1325" Type="http://schemas.openxmlformats.org/officeDocument/2006/relationships/hyperlink" Target="https://techcombank.com/thong-tin/blog/1-trieu-won-bang-bao-nhieu-tien-viet" TargetMode="External"/><Relationship Id="rId30" Type="http://schemas.openxmlformats.org/officeDocument/2006/relationships/hyperlink" Target="https://techcombank.com/thong-tin/blog/quyet-toan-thue-thu-nhap-ca-nhan" TargetMode="External"/><Relationship Id="rId1326" Type="http://schemas.openxmlformats.org/officeDocument/2006/relationships/hyperlink" Target="https://techcombank.com/thong-tin/blog/thanh-toan-khi-du-lich-han-quoc" TargetMode="External"/><Relationship Id="rId33" Type="http://schemas.openxmlformats.org/officeDocument/2006/relationships/hyperlink" Target="https://techcombank.com/thong-tin/blog/nop-thue-hai-quan" TargetMode="External"/><Relationship Id="rId1327" Type="http://schemas.openxmlformats.org/officeDocument/2006/relationships/hyperlink" Target="https://techcombank.com/thong-tin/blog/chuyen-tien-tu-han-sang-viet-nam" TargetMode="External"/><Relationship Id="rId32" Type="http://schemas.openxmlformats.org/officeDocument/2006/relationships/hyperlink" Target="https://techcombank.com/thong-tin/blog/hoan-thue-thu-nhap-ca-nhan" TargetMode="External"/><Relationship Id="rId1328" Type="http://schemas.openxmlformats.org/officeDocument/2006/relationships/hyperlink" Target="https://techcombank.com/thong-tin/blog/kieu-hoi-la-gi" TargetMode="External"/><Relationship Id="rId35" Type="http://schemas.openxmlformats.org/officeDocument/2006/relationships/hyperlink" Target="https://techcombank.com/thong-tin/blog/tra-cuu-no-thue-hai-quan" TargetMode="External"/><Relationship Id="rId1329" Type="http://schemas.openxmlformats.org/officeDocument/2006/relationships/hyperlink" Target="https://techcombank.com/thong-tin/blog/nhan-tien-western-union" TargetMode="External"/><Relationship Id="rId34" Type="http://schemas.openxmlformats.org/officeDocument/2006/relationships/hyperlink" Target="https://techcombank.com/thong-tin/blog/hoan-thue-doanh-nghiep" TargetMode="External"/><Relationship Id="rId739" Type="http://schemas.openxmlformats.org/officeDocument/2006/relationships/hyperlink" Target="https://techcombank.com/thong-tin/blog/tai-khoan-doanh-nghiep-co-the-khong" TargetMode="External"/><Relationship Id="rId734" Type="http://schemas.openxmlformats.org/officeDocument/2006/relationships/hyperlink" Target="https://techcombank.com/thong-tin/blog/the-tin-dung-la-gi" TargetMode="External"/><Relationship Id="rId733" Type="http://schemas.openxmlformats.org/officeDocument/2006/relationships/hyperlink" Target="https://techcombank.com/thong-tin/blog/tien-gui-co-ky-han" TargetMode="External"/><Relationship Id="rId732" Type="http://schemas.openxmlformats.org/officeDocument/2006/relationships/hyperlink" Target="https://techcombank.com/thong-tin/blog/the-ghi-no-co-rut-tien-duoc-khong" TargetMode="External"/><Relationship Id="rId731" Type="http://schemas.openxmlformats.org/officeDocument/2006/relationships/hyperlink" Target="https://techcombank.com/thong-tin/blog/cach-su-dung-the-ghi-no" TargetMode="External"/><Relationship Id="rId738" Type="http://schemas.openxmlformats.org/officeDocument/2006/relationships/hyperlink" Target="https://techcombank.com/thong-tin/blog/co-nen-dung-the-tin-dung-khong" TargetMode="External"/><Relationship Id="rId737" Type="http://schemas.openxmlformats.org/officeDocument/2006/relationships/hyperlink" Target="https://techcombank.com/thong-tin/blog/mo-the-tin-dung-khong-can-chung-minh-thu-nhap" TargetMode="External"/><Relationship Id="rId736" Type="http://schemas.openxmlformats.org/officeDocument/2006/relationships/hyperlink" Target="https://techcombank.com/thong-tin/blog/lam-the-tin-dung-co-mat-phi-khong" TargetMode="External"/><Relationship Id="rId735" Type="http://schemas.openxmlformats.org/officeDocument/2006/relationships/hyperlink" Target="https://techcombank.com/thong-tin/blog/mo-the-tin-dung-chi-can-cccd" TargetMode="External"/><Relationship Id="rId37" Type="http://schemas.openxmlformats.org/officeDocument/2006/relationships/hyperlink" Target="https://techcombank.com/thong-tin/blog/truy-thu-thue-ho-kinh-doanh" TargetMode="External"/><Relationship Id="rId36" Type="http://schemas.openxmlformats.org/officeDocument/2006/relationships/hyperlink" Target="https://techcombank.com/thong-tin/blog/tra-cuu-no-thue-ho-kinh-doanh" TargetMode="External"/><Relationship Id="rId39" Type="http://schemas.openxmlformats.org/officeDocument/2006/relationships/hyperlink" Target="https://techcombank.com/thong-tin/blog/tra-cuu-no-thue-ca-nhan" TargetMode="External"/><Relationship Id="rId38" Type="http://schemas.openxmlformats.org/officeDocument/2006/relationships/hyperlink" Target="https://techcombank.com/thong-tin/blog/kiem-tra-thue-ho-kinh-doanh" TargetMode="External"/><Relationship Id="rId730" Type="http://schemas.openxmlformats.org/officeDocument/2006/relationships/hyperlink" Target="https://techcombank.com/thong-tin/blog/dang-vay-tra-gop-co-vay-them-duoc-khong" TargetMode="External"/><Relationship Id="rId1320" Type="http://schemas.openxmlformats.org/officeDocument/2006/relationships/hyperlink" Target="https://techcombank.com/thong-tin/blog/chuyen-tien-di-uc" TargetMode="External"/><Relationship Id="rId1321" Type="http://schemas.openxmlformats.org/officeDocument/2006/relationships/hyperlink" Target="https://techcombank.com/thong-tin/blog/chuyen-tien-tu-my-ve-viet-nam" TargetMode="External"/><Relationship Id="rId1322" Type="http://schemas.openxmlformats.org/officeDocument/2006/relationships/hyperlink" Target="https://techcombank.com/thong-tin/blog/1-cent-bang-bao-nhieu-tien-viet" TargetMode="External"/><Relationship Id="rId1356" Type="http://schemas.openxmlformats.org/officeDocument/2006/relationships/hyperlink" Target="https://techcombank.com/thong-tin/blog/gia-ca-phe-hom-nay" TargetMode="External"/><Relationship Id="rId2203" Type="http://schemas.openxmlformats.org/officeDocument/2006/relationships/hyperlink" Target="https://techcombank.com/thong-tin/blog/vay-mua-nha-tra-gop" TargetMode="External"/><Relationship Id="rId1357" Type="http://schemas.openxmlformats.org/officeDocument/2006/relationships/hyperlink" Target="https://techcombank.com/thong-tin/blog/gui-tien-du-hoc" TargetMode="External"/><Relationship Id="rId2204" Type="http://schemas.openxmlformats.org/officeDocument/2006/relationships/hyperlink" Target="https://techcombank.com/thong-tin/blog/quy-trinh-tat-toan-khoan-vay-the-chap" TargetMode="External"/><Relationship Id="rId20" Type="http://schemas.openxmlformats.org/officeDocument/2006/relationships/hyperlink" Target="https://techcombank.com/thong-tin/blog/thue-thu-nhap-doanh-nghiep" TargetMode="External"/><Relationship Id="rId1358" Type="http://schemas.openxmlformats.org/officeDocument/2006/relationships/hyperlink" Target="https://techcombank.com/thong-tin/blog/chuyen-tien-tro-cap-than-nhan-o-nuoc-ngoai" TargetMode="External"/><Relationship Id="rId2205" Type="http://schemas.openxmlformats.org/officeDocument/2006/relationships/hyperlink" Target="https://techcombank.com/thong-tin/blog/vay-40-trieu" TargetMode="External"/><Relationship Id="rId1359" Type="http://schemas.openxmlformats.org/officeDocument/2006/relationships/hyperlink" Target="https://techcombank.com/thong-tin/blog/tien-singapore" TargetMode="External"/><Relationship Id="rId2206" Type="http://schemas.openxmlformats.org/officeDocument/2006/relationships/hyperlink" Target="https://techcombank.com/thong-tin/blog/thu-tuc-mua-xe-tra-gop" TargetMode="External"/><Relationship Id="rId22" Type="http://schemas.openxmlformats.org/officeDocument/2006/relationships/hyperlink" Target="https://techcombank.com/thong-tin/blog/tra-cuu-no-thue-doanh-nghiep" TargetMode="External"/><Relationship Id="rId2207" Type="http://schemas.openxmlformats.org/officeDocument/2006/relationships/hyperlink" Target="https://techcombank.com/thong-tin/blog/vay-ngan-hang-chi-can-cccd" TargetMode="External"/><Relationship Id="rId21" Type="http://schemas.openxmlformats.org/officeDocument/2006/relationships/hyperlink" Target="https://techcombank.com/thong-tin/blog/ke-khai-thue-doanh-nghiep" TargetMode="External"/><Relationship Id="rId2208" Type="http://schemas.openxmlformats.org/officeDocument/2006/relationships/hyperlink" Target="https://techcombank.com/thong-tin/blog/tra-gop-shopee" TargetMode="External"/><Relationship Id="rId24" Type="http://schemas.openxmlformats.org/officeDocument/2006/relationships/hyperlink" Target="https://techcombank.com/thong-tin/blog/tien-chuyen-vao-tai-khoan-co-bi-tinh-thue-khong" TargetMode="External"/><Relationship Id="rId2209" Type="http://schemas.openxmlformats.org/officeDocument/2006/relationships/hyperlink" Target="https://techcombank.com/thong-tin/blog/tra-gop-hoc-phi" TargetMode="External"/><Relationship Id="rId23" Type="http://schemas.openxmlformats.org/officeDocument/2006/relationships/hyperlink" Target="https://techcombank.com/thong-tin/blog/nop-thue-hai-quan" TargetMode="External"/><Relationship Id="rId767" Type="http://schemas.openxmlformats.org/officeDocument/2006/relationships/hyperlink" Target="https://techcombank.com/thong-tin/blog/vay-ngan-hang-1-ty-moi-thang-tra-bao-nhieu" TargetMode="External"/><Relationship Id="rId766" Type="http://schemas.openxmlformats.org/officeDocument/2006/relationships/hyperlink" Target="https://techcombank.com/thong-tin/blog/phi-rut-tien-mat-the-tin-dung" TargetMode="External"/><Relationship Id="rId765" Type="http://schemas.openxmlformats.org/officeDocument/2006/relationships/hyperlink" Target="https://techcombank.com/thong-tin/blog/qua-han-thanh-toan-the-tin-dung-1-ngay" TargetMode="External"/><Relationship Id="rId764" Type="http://schemas.openxmlformats.org/officeDocument/2006/relationships/hyperlink" Target="https://techcombank.com/thong-tin/blog/lam-the-visa-o-dau" TargetMode="External"/><Relationship Id="rId769" Type="http://schemas.openxmlformats.org/officeDocument/2006/relationships/hyperlink" Target="https://techcombank.com/thong-tin/blog/the-tin-dung-den" TargetMode="External"/><Relationship Id="rId768" Type="http://schemas.openxmlformats.org/officeDocument/2006/relationships/hyperlink" Target="https://techcombank.com/thong-tin/blog/cach-thanh-toan-the-tin-dung" TargetMode="External"/><Relationship Id="rId26" Type="http://schemas.openxmlformats.org/officeDocument/2006/relationships/hyperlink" Target="https://techcombank.com/thong-tin/blog/kiem-tra-thue-thu-nhap-ca-nhan" TargetMode="External"/><Relationship Id="rId25" Type="http://schemas.openxmlformats.org/officeDocument/2006/relationships/hyperlink" Target="https://techcombank.com/thong-tin/blog/cach-tinh-thue-thu-nhap-ca-nhan-2025" TargetMode="External"/><Relationship Id="rId28" Type="http://schemas.openxmlformats.org/officeDocument/2006/relationships/hyperlink" Target="https://techcombank.com/thong-tin/blog/han-muc-vay-the-chap-so-do" TargetMode="External"/><Relationship Id="rId1350" Type="http://schemas.openxmlformats.org/officeDocument/2006/relationships/hyperlink" Target="https://techcombank.com/thong-tin/blog/nen-lam-the-visa-hay-noi-dia" TargetMode="External"/><Relationship Id="rId27" Type="http://schemas.openxmlformats.org/officeDocument/2006/relationships/hyperlink" Target="https://techcombank.com/thong-tin/blog/lai-suat-vay-the-chap-so-do" TargetMode="External"/><Relationship Id="rId1351" Type="http://schemas.openxmlformats.org/officeDocument/2006/relationships/hyperlink" Target="https://techcombank.com/thong-tin/blog/dinh-cu-chau-au" TargetMode="External"/><Relationship Id="rId763" Type="http://schemas.openxmlformats.org/officeDocument/2006/relationships/hyperlink" Target="https://techcombank.com/thong-tin/blog/the-tin-dung-quoc-te" TargetMode="External"/><Relationship Id="rId1352" Type="http://schemas.openxmlformats.org/officeDocument/2006/relationships/hyperlink" Target="https://techcombank.com/thong-tin/blog/vay-du-hoc" TargetMode="External"/><Relationship Id="rId29" Type="http://schemas.openxmlformats.org/officeDocument/2006/relationships/hyperlink" Target="https://techcombank.com/thong-tin/blog/lien-ket-tai-khoan-ngan-hang-voi-etax-mobile" TargetMode="External"/><Relationship Id="rId762" Type="http://schemas.openxmlformats.org/officeDocument/2006/relationships/hyperlink" Target="https://techcombank.com/thong-tin/blog/ma-buu-chinh-the-tin-dung" TargetMode="External"/><Relationship Id="rId1353" Type="http://schemas.openxmlformats.org/officeDocument/2006/relationships/hyperlink" Target="https://techcombank.com/thong-tin/blog/di-du-lich-nuoc-ngoai-can-chuan-bi-gi" TargetMode="External"/><Relationship Id="rId2200" Type="http://schemas.openxmlformats.org/officeDocument/2006/relationships/hyperlink" Target="https://techcombank.com/thong-tin/blog/dao-han-la-gi" TargetMode="External"/><Relationship Id="rId761" Type="http://schemas.openxmlformats.org/officeDocument/2006/relationships/hyperlink" Target="https://techcombank.com/thong-tin/blog/the-napas-la-gi" TargetMode="External"/><Relationship Id="rId1354" Type="http://schemas.openxmlformats.org/officeDocument/2006/relationships/hyperlink" Target="https://techcombank.com/thong-tin/blog/thu-tuc-chuyen-tien-ra-nuoc-ngoai" TargetMode="External"/><Relationship Id="rId2201" Type="http://schemas.openxmlformats.org/officeDocument/2006/relationships/hyperlink" Target="https://techcombank.com/thong-tin/blog/vay-mua-xe-tra-gop-ngan-hang-nao-tot-nhat" TargetMode="External"/><Relationship Id="rId760" Type="http://schemas.openxmlformats.org/officeDocument/2006/relationships/hyperlink" Target="https://techcombank.com/thong-tin/blog/lam-the-atm-bao-lau-co" TargetMode="External"/><Relationship Id="rId1355" Type="http://schemas.openxmlformats.org/officeDocument/2006/relationships/hyperlink" Target="https://techcombank.com/thong-tin/blog/gui-tien-sang-nuoc-ngoai" TargetMode="External"/><Relationship Id="rId2202" Type="http://schemas.openxmlformats.org/officeDocument/2006/relationships/hyperlink" Target="https://techcombank.com/thong-tin/blog/lai-suat-vay-thau-chi" TargetMode="External"/><Relationship Id="rId1345" Type="http://schemas.openxmlformats.org/officeDocument/2006/relationships/hyperlink" Target="https://techcombank.com/thong-tin/blog/the-visa-co-thanh-toan-quoc-te-duoc-khong" TargetMode="External"/><Relationship Id="rId1346" Type="http://schemas.openxmlformats.org/officeDocument/2006/relationships/hyperlink" Target="https://techcombank.com/thong-tin/blog/chuyen-tien-dinh-cu" TargetMode="External"/><Relationship Id="rId1347" Type="http://schemas.openxmlformats.org/officeDocument/2006/relationships/hyperlink" Target="https://techcombank.com/thong-tin/blog/thanh-toan-bang-the-quoc-te" TargetMode="External"/><Relationship Id="rId1348" Type="http://schemas.openxmlformats.org/officeDocument/2006/relationships/hyperlink" Target="https://techcombank.com/thong-tin/blog/han-muc-mua-ngoai-te-khi-di-du-lich" TargetMode="External"/><Relationship Id="rId11" Type="http://schemas.openxmlformats.org/officeDocument/2006/relationships/hyperlink" Target="https://techcombank.com/thong-tin/blog/quyet-toan-thue-thu-nhap-ca-nhan" TargetMode="External"/><Relationship Id="rId1349" Type="http://schemas.openxmlformats.org/officeDocument/2006/relationships/hyperlink" Target="https://techcombank.com/thong-tin/blog/ngoai-te-la-gi" TargetMode="External"/><Relationship Id="rId10" Type="http://schemas.openxmlformats.org/officeDocument/2006/relationships/hyperlink" Target="https://techcombank.com/thong-tin/blog/ho-so-thu-tuc-xoa-the-chap" TargetMode="External"/><Relationship Id="rId13" Type="http://schemas.openxmlformats.org/officeDocument/2006/relationships/hyperlink" Target="https://techcombank.com/thong-tin/blog/tra-cuu-no-thue-ho-kinh-doanh" TargetMode="External"/><Relationship Id="rId12" Type="http://schemas.openxmlformats.org/officeDocument/2006/relationships/hyperlink" Target="https://techcombank.com/thong-tin/blog/tra-cuu-no-thue-hai-quan" TargetMode="External"/><Relationship Id="rId756" Type="http://schemas.openxmlformats.org/officeDocument/2006/relationships/hyperlink" Target="https://techcombank.com/thong-tin/blog/the-visa-de-lam-gi" TargetMode="External"/><Relationship Id="rId755" Type="http://schemas.openxmlformats.org/officeDocument/2006/relationships/hyperlink" Target="https://techcombank.com/thong-tin/blog/tra-cuu-han-muc-the-tin-dung" TargetMode="External"/><Relationship Id="rId754" Type="http://schemas.openxmlformats.org/officeDocument/2006/relationships/hyperlink" Target="https://techcombank.com/thong-tin/blog/mua-truoc-tra-sau" TargetMode="External"/><Relationship Id="rId753" Type="http://schemas.openxmlformats.org/officeDocument/2006/relationships/hyperlink" Target="https://techcombank.com/thong-tin/blog/the-visa-co-can-mat-khau-khong" TargetMode="External"/><Relationship Id="rId759" Type="http://schemas.openxmlformats.org/officeDocument/2006/relationships/hyperlink" Target="https://techcombank.com/thong-tin/blog/cach-huy-the-tin-dung" TargetMode="External"/><Relationship Id="rId758" Type="http://schemas.openxmlformats.org/officeDocument/2006/relationships/hyperlink" Target="https://techcombank.com/thong-tin/blog/the-tin-dung-het-han" TargetMode="External"/><Relationship Id="rId757" Type="http://schemas.openxmlformats.org/officeDocument/2006/relationships/hyperlink" Target="https://techcombank.com/thong-tin/blog/the-ghi-no-va-the-tin-dung" TargetMode="External"/><Relationship Id="rId15" Type="http://schemas.openxmlformats.org/officeDocument/2006/relationships/hyperlink" Target="https://techcombank.com/thong-tin/blog/kiem-tra-thue-ho-kinh-doanh" TargetMode="External"/><Relationship Id="rId14" Type="http://schemas.openxmlformats.org/officeDocument/2006/relationships/hyperlink" Target="https://techcombank.com/thong-tin/blog/truy-thu-thue-ho-kinh-doanh" TargetMode="External"/><Relationship Id="rId17" Type="http://schemas.openxmlformats.org/officeDocument/2006/relationships/hyperlink" Target="https://techcombank.com/thong-tin/blog/hoan-thue-thu-nhap-ca-nhan" TargetMode="External"/><Relationship Id="rId16" Type="http://schemas.openxmlformats.org/officeDocument/2006/relationships/hyperlink" Target="https://techcombank.com/thong-tin/blog/tra-cuu-no-thue-ca-nhan" TargetMode="External"/><Relationship Id="rId1340" Type="http://schemas.openxmlformats.org/officeDocument/2006/relationships/hyperlink" Target="https://techcombank.com/thong-tin/blog/the-tin-dung-noi-dia" TargetMode="External"/><Relationship Id="rId19" Type="http://schemas.openxmlformats.org/officeDocument/2006/relationships/hyperlink" Target="https://techcombank.com/thong-tin/blog/thue-thuong-mai-dien-tu" TargetMode="External"/><Relationship Id="rId752" Type="http://schemas.openxmlformats.org/officeDocument/2006/relationships/hyperlink" Target="https://techcombank.com/thong-tin/blog/cach-lam-the-atm" TargetMode="External"/><Relationship Id="rId1341" Type="http://schemas.openxmlformats.org/officeDocument/2006/relationships/hyperlink" Target="https://techcombank.com/thong-tin/blog/app-ngan-hang-co-dung-duoc-o-nuoc-ngoai" TargetMode="External"/><Relationship Id="rId18" Type="http://schemas.openxmlformats.org/officeDocument/2006/relationships/hyperlink" Target="https://techcombank.com/thong-tin/blog/ke-khai-thue-ho-kinh-doanh-ca-the-online" TargetMode="External"/><Relationship Id="rId751" Type="http://schemas.openxmlformats.org/officeDocument/2006/relationships/hyperlink" Target="https://techcombank.com/thong-tin/blog/mua-iphone-17" TargetMode="External"/><Relationship Id="rId1342" Type="http://schemas.openxmlformats.org/officeDocument/2006/relationships/hyperlink" Target="https://techcombank.com/thong-tin/blog/cashback-the-thanh-toan" TargetMode="External"/><Relationship Id="rId750" Type="http://schemas.openxmlformats.org/officeDocument/2006/relationships/hyperlink" Target="https://techcombank.com/thong-tin/blog/eco-card" TargetMode="External"/><Relationship Id="rId1343" Type="http://schemas.openxmlformats.org/officeDocument/2006/relationships/hyperlink" Target="https://techcombank.com/thong-tin/blog/lam-the-thanh-toan-quoc-te" TargetMode="External"/><Relationship Id="rId1344" Type="http://schemas.openxmlformats.org/officeDocument/2006/relationships/hyperlink" Target="https://techcombank.com/thong-tin/blog/the-ghi-no-visa-la-gi" TargetMode="External"/><Relationship Id="rId84" Type="http://schemas.openxmlformats.org/officeDocument/2006/relationships/hyperlink" Target="https://techcombank.com/thong-tin/blog/cach-tinh-thue-ho-kinh-doanh-nho-le" TargetMode="External"/><Relationship Id="rId1774" Type="http://schemas.openxmlformats.org/officeDocument/2006/relationships/hyperlink" Target="https://techcombank.com/thong-tin/blog/phan-mem-xuat-hoa-don-dien-tu" TargetMode="External"/><Relationship Id="rId83" Type="http://schemas.openxmlformats.org/officeDocument/2006/relationships/hyperlink" Target="https://techcombank.com/thong-tin/blog/cach-tra-cuu-hoa-don-dien-tu" TargetMode="External"/><Relationship Id="rId1775" Type="http://schemas.openxmlformats.org/officeDocument/2006/relationships/hyperlink" Target="https://techcombank.com/thong-tin/blog/cach-lam-the-ngan-hang-chay-quang-cao-facebook" TargetMode="External"/><Relationship Id="rId86" Type="http://schemas.openxmlformats.org/officeDocument/2006/relationships/hyperlink" Target="https://techcombank.com/thong-tin/blog/hoa-don-dien-tu" TargetMode="External"/><Relationship Id="rId1776" Type="http://schemas.openxmlformats.org/officeDocument/2006/relationships/hyperlink" Target="https://techcombank.com/thong-tin/blog/ho-kinh-doanh-can-gi-o-tai-khoan-ngan-hang" TargetMode="External"/><Relationship Id="rId85" Type="http://schemas.openxmlformats.org/officeDocument/2006/relationships/hyperlink" Target="https://techcombank.com/thong-tin/blog/nhung-ho-kinh-doanh-duoc-mien-thue" TargetMode="External"/><Relationship Id="rId1777" Type="http://schemas.openxmlformats.org/officeDocument/2006/relationships/hyperlink" Target="https://techcombank.com/thong-tin/blog/du-no-la-gi" TargetMode="External"/><Relationship Id="rId88" Type="http://schemas.openxmlformats.org/officeDocument/2006/relationships/hyperlink" Target="https://techcombank.com/thong-tin/blog/hoa-don-dien-tu-ho-kinh-doanh" TargetMode="External"/><Relationship Id="rId1778" Type="http://schemas.openxmlformats.org/officeDocument/2006/relationships/hyperlink" Target="https://techcombank.com/thong-tin/blog/an-han-no-goc-la-gi" TargetMode="External"/><Relationship Id="rId87" Type="http://schemas.openxmlformats.org/officeDocument/2006/relationships/hyperlink" Target="https://techcombank.com/thong-tin/blog/voucher-phuc-long" TargetMode="External"/><Relationship Id="rId1779" Type="http://schemas.openxmlformats.org/officeDocument/2006/relationships/hyperlink" Target="https://techcombank.com/thong-tin/blog/lai-suat-tha-noi" TargetMode="External"/><Relationship Id="rId89" Type="http://schemas.openxmlformats.org/officeDocument/2006/relationships/hyperlink" Target="https://techcombank.com/thong-tin/blog/ho-kinh-doanh-dong-thue-nhu-nao" TargetMode="External"/><Relationship Id="rId709" Type="http://schemas.openxmlformats.org/officeDocument/2006/relationships/hyperlink" Target="https://techcombank.com/thong-tin/blog/cach-su-dung-tai-khoan-cong-ty" TargetMode="External"/><Relationship Id="rId708" Type="http://schemas.openxmlformats.org/officeDocument/2006/relationships/hyperlink" Target="https://techcombank.com/thong-tin/blog/cdm" TargetMode="External"/><Relationship Id="rId707" Type="http://schemas.openxmlformats.org/officeDocument/2006/relationships/hyperlink" Target="https://techcombank.com/thong-tin/blog/rut-tien-mat-tu-tai-khoan-doanh-nghiep" TargetMode="External"/><Relationship Id="rId706" Type="http://schemas.openxmlformats.org/officeDocument/2006/relationships/hyperlink" Target="https://techcombank.com/thong-tin/blog/thanh-toan-khong-dung-tien-mat" TargetMode="External"/><Relationship Id="rId80" Type="http://schemas.openxmlformats.org/officeDocument/2006/relationships/hyperlink" Target="https://techcombank.com/thong-tin/blog/hoan-thue-doanh-nghiep" TargetMode="External"/><Relationship Id="rId82" Type="http://schemas.openxmlformats.org/officeDocument/2006/relationships/hyperlink" Target="https://techcombank.com/thong-tin/blog/thue-thuong-mai-dien-tu" TargetMode="External"/><Relationship Id="rId81" Type="http://schemas.openxmlformats.org/officeDocument/2006/relationships/hyperlink" Target="https://techcombank.com/thong-tin/blog/chuyen-doi-hoa-don-dien-tu" TargetMode="External"/><Relationship Id="rId701" Type="http://schemas.openxmlformats.org/officeDocument/2006/relationships/hyperlink" Target="https://techcombank.com/thong-tin/blog/han-muc-the-tin-dung" TargetMode="External"/><Relationship Id="rId700" Type="http://schemas.openxmlformats.org/officeDocument/2006/relationships/hyperlink" Target="https://techcombank.com/thong-tin/blog/the-tin-dung-co-chuyen-khoan-duoc-khong" TargetMode="External"/><Relationship Id="rId705" Type="http://schemas.openxmlformats.org/officeDocument/2006/relationships/hyperlink" Target="https://techcombank.com/thong-tin/blog/tra-luong-tien-mat" TargetMode="External"/><Relationship Id="rId704" Type="http://schemas.openxmlformats.org/officeDocument/2006/relationships/hyperlink" Target="https://techcombank.com/thong-tin/blog/vi-dien-tu" TargetMode="External"/><Relationship Id="rId703" Type="http://schemas.openxmlformats.org/officeDocument/2006/relationships/hyperlink" Target="https://techcombank.com/thong-tin/blog/nop-tien-mat-vao-tai-khoan-cong-ty" TargetMode="External"/><Relationship Id="rId702" Type="http://schemas.openxmlformats.org/officeDocument/2006/relationships/hyperlink" Target="https://techcombank.com/thong-tin/blog/lai-suat-the-tin-dung" TargetMode="External"/><Relationship Id="rId1770" Type="http://schemas.openxmlformats.org/officeDocument/2006/relationships/hyperlink" Target="https://techcombank.com/thong-tin/blog/kinh-nghiem-chuyen-doi-tu-ho-kinh-doanh-len-doanh-nghiep" TargetMode="External"/><Relationship Id="rId1771" Type="http://schemas.openxmlformats.org/officeDocument/2006/relationships/hyperlink" Target="https://techcombank.com/thong-tin/blog/top-phan-mem-ban-hang" TargetMode="External"/><Relationship Id="rId1772" Type="http://schemas.openxmlformats.org/officeDocument/2006/relationships/hyperlink" Target="https://techcombank.com/thong-tin/blog/dieu-kien-vay-von-ngan-hang" TargetMode="External"/><Relationship Id="rId1773" Type="http://schemas.openxmlformats.org/officeDocument/2006/relationships/hyperlink" Target="https://techcombank.com/thong-tin/blog/phat-cham-dang-ky-thue-ho-kinh-doanh" TargetMode="External"/><Relationship Id="rId73" Type="http://schemas.openxmlformats.org/officeDocument/2006/relationships/hyperlink" Target="https://techcombank.com/thong-tin/blog/mua-chung-chi-quy" TargetMode="External"/><Relationship Id="rId1763" Type="http://schemas.openxmlformats.org/officeDocument/2006/relationships/hyperlink" Target="https://techcombank.com/thong-tin/blog/ho-kinh-doanh-dong-thue-nhu-nao" TargetMode="External"/><Relationship Id="rId72" Type="http://schemas.openxmlformats.org/officeDocument/2006/relationships/hyperlink" Target="https://techcombank.com/thong-tin/blog/danh-muc-dau-tu" TargetMode="External"/><Relationship Id="rId1764" Type="http://schemas.openxmlformats.org/officeDocument/2006/relationships/hyperlink" Target="https://techcombank.com/thong-tin/blog/dong-ma-so-thue-ho-kinh-doanh" TargetMode="External"/><Relationship Id="rId75" Type="http://schemas.openxmlformats.org/officeDocument/2006/relationships/hyperlink" Target="https://techcombank.com/thong-tin/blog/dau-co-va-dau-tu" TargetMode="External"/><Relationship Id="rId1765" Type="http://schemas.openxmlformats.org/officeDocument/2006/relationships/hyperlink" Target="https://techcombank.com/thong-tin/blog/one-stop-shop" TargetMode="External"/><Relationship Id="rId74" Type="http://schemas.openxmlformats.org/officeDocument/2006/relationships/hyperlink" Target="https://techcombank.com/thong-tin/blog/cach-tinh-loi-nhuan-chung-chi-tien-gui" TargetMode="External"/><Relationship Id="rId1766" Type="http://schemas.openxmlformats.org/officeDocument/2006/relationships/hyperlink" Target="https://techcombank.com/thong-tin/blog/thue-phi-co-dinh-khi-chuyen-doi-tu-ho-kinh-doanh-len-doanh-nghiep" TargetMode="External"/><Relationship Id="rId77" Type="http://schemas.openxmlformats.org/officeDocument/2006/relationships/hyperlink" Target="https://techcombank.com/thong-tin/blog/toi-uu-hoa-chi-phi-trong-doanh-nghiep" TargetMode="External"/><Relationship Id="rId1767" Type="http://schemas.openxmlformats.org/officeDocument/2006/relationships/hyperlink" Target="https://techcombank.com/thong-tin/blog/tim-hieu-ve-chinh-sach-thue-moi" TargetMode="External"/><Relationship Id="rId76" Type="http://schemas.openxmlformats.org/officeDocument/2006/relationships/hyperlink" Target="https://techcombank.com/thong-tin/blog/co-50-trieu-nen-mua-vang-hay-gui-tiet-kiem" TargetMode="External"/><Relationship Id="rId1768" Type="http://schemas.openxmlformats.org/officeDocument/2006/relationships/hyperlink" Target="https://techcombank.com/thong-tin/blog/may-tinh-tien" TargetMode="External"/><Relationship Id="rId79" Type="http://schemas.openxmlformats.org/officeDocument/2006/relationships/hyperlink" Target="https://techcombank.com/thong-tin/blog/ke-khai-thue-doanh-nghiep" TargetMode="External"/><Relationship Id="rId1769" Type="http://schemas.openxmlformats.org/officeDocument/2006/relationships/hyperlink" Target="https://techcombank.com/thong-tin/blog/ke-khai-thue-doanh-nghiep" TargetMode="External"/><Relationship Id="rId78" Type="http://schemas.openxmlformats.org/officeDocument/2006/relationships/hyperlink" Target="https://techcombank.com/thong-tin/blog/ngoai-hoi-la-gi" TargetMode="External"/><Relationship Id="rId71" Type="http://schemas.openxmlformats.org/officeDocument/2006/relationships/hyperlink" Target="https://techcombank.com/thong-tin/blog/ho-kinh-doanh-can-gi-o-tai-khoan-ngan-hang" TargetMode="External"/><Relationship Id="rId70" Type="http://schemas.openxmlformats.org/officeDocument/2006/relationships/hyperlink" Target="https://techcombank.com/thong-tin/blog/lai-suat-chung-chi-quy" TargetMode="External"/><Relationship Id="rId1760" Type="http://schemas.openxmlformats.org/officeDocument/2006/relationships/hyperlink" Target="https://techcombank.com/thong-tin/blog/khai-bao-tai-khoan-ngan-hang-voi-co-quan-thue" TargetMode="External"/><Relationship Id="rId1761" Type="http://schemas.openxmlformats.org/officeDocument/2006/relationships/hyperlink" Target="https://techcombank.com/thong-tin/blog/hoa-don-dien-tu-ho-kinh-doanh" TargetMode="External"/><Relationship Id="rId1762" Type="http://schemas.openxmlformats.org/officeDocument/2006/relationships/hyperlink" Target="https://techcombank.com/thong-tin/blog/thue-khoan-ho-kinh-doanh-la-gi" TargetMode="External"/><Relationship Id="rId62" Type="http://schemas.openxmlformats.org/officeDocument/2006/relationships/hyperlink" Target="https://techcombank.com/thong-tin/blog/thi-truong-trai-phieu-am-tro-lai-nha-dau-tu-san-sang-cho-nhung-co-hoi-sinh-loi-moi" TargetMode="External"/><Relationship Id="rId1312" Type="http://schemas.openxmlformats.org/officeDocument/2006/relationships/hyperlink" Target="https://techcombank.com/thong-tin/blog/high-net-worth-client-va-ultra-high-net-worth-client" TargetMode="External"/><Relationship Id="rId1796" Type="http://schemas.openxmlformats.org/officeDocument/2006/relationships/hyperlink" Target="https://techcombank.com/thong-tin/blog/vay-mua-xe-tra-gop-ngan-hang-nao-tot-nhat" TargetMode="External"/><Relationship Id="rId61" Type="http://schemas.openxmlformats.org/officeDocument/2006/relationships/hyperlink" Target="https://techcombank.com/thong-tin/blog/tim-hieu-ve-chinh-sach-thue-moi" TargetMode="External"/><Relationship Id="rId1313" Type="http://schemas.openxmlformats.org/officeDocument/2006/relationships/hyperlink" Target="https://techcombank.com/thong-tin/blog/xu-huong-ty-gia-usd" TargetMode="External"/><Relationship Id="rId1797" Type="http://schemas.openxmlformats.org/officeDocument/2006/relationships/hyperlink" Target="https://techcombank.com/thong-tin/blog/lai-suat-vay-thau-chi" TargetMode="External"/><Relationship Id="rId64" Type="http://schemas.openxmlformats.org/officeDocument/2006/relationships/hyperlink" Target="https://techcombank.com/thong-tin/blog/tra-cuu-no-thue-doanh-nghiep" TargetMode="External"/><Relationship Id="rId1314" Type="http://schemas.openxmlformats.org/officeDocument/2006/relationships/hyperlink" Target="https://techcombank.com/thong-tin/blog/gia-tri-tai-san-rong" TargetMode="External"/><Relationship Id="rId1798" Type="http://schemas.openxmlformats.org/officeDocument/2006/relationships/hyperlink" Target="https://techcombank.com/thong-tin/blog/vay-mua-nha-tra-gop" TargetMode="External"/><Relationship Id="rId63" Type="http://schemas.openxmlformats.org/officeDocument/2006/relationships/hyperlink" Target="https://techcombank.com/thong-tin/blog/ke-khai-thue-doanh-nghiep" TargetMode="External"/><Relationship Id="rId1315" Type="http://schemas.openxmlformats.org/officeDocument/2006/relationships/hyperlink" Target="https://techcombank.com/thong-tin/blog/lai-suat-gui-tiet-kiem-usd" TargetMode="External"/><Relationship Id="rId1799" Type="http://schemas.openxmlformats.org/officeDocument/2006/relationships/hyperlink" Target="https://techcombank.com/thong-tin/blog/cach-thanh-toan-the-tin-dung" TargetMode="External"/><Relationship Id="rId66" Type="http://schemas.openxmlformats.org/officeDocument/2006/relationships/hyperlink" Target="https://techcombank.com/thong-tin/blog/quan-ly-tai-chinh-doanh-nghiep-la-gi" TargetMode="External"/><Relationship Id="rId1316" Type="http://schemas.openxmlformats.org/officeDocument/2006/relationships/hyperlink" Target="https://techcombank.com/thong-tin/blog/gui-tiet-kiem-usd" TargetMode="External"/><Relationship Id="rId65" Type="http://schemas.openxmlformats.org/officeDocument/2006/relationships/hyperlink" Target="https://techcombank.com/thong-tin/blog/kinh-nghiem-mua-vang-tich-tru" TargetMode="External"/><Relationship Id="rId1317" Type="http://schemas.openxmlformats.org/officeDocument/2006/relationships/hyperlink" Target="https://techcombank.com/thong-tin/blog/doi-tien-do-o-dau" TargetMode="External"/><Relationship Id="rId68" Type="http://schemas.openxmlformats.org/officeDocument/2006/relationships/hyperlink" Target="https://techcombank.com/thong-tin/blog/gia-chung-chi-quy-la-gi" TargetMode="External"/><Relationship Id="rId1318" Type="http://schemas.openxmlformats.org/officeDocument/2006/relationships/hyperlink" Target="https://techcombank.com/thong-tin/blog/dieu-kien-mua-usd-tu-ngan-hang" TargetMode="External"/><Relationship Id="rId67" Type="http://schemas.openxmlformats.org/officeDocument/2006/relationships/hyperlink" Target="https://techcombank.com/thong-tin/blog/nha-dau-tu-giao-dich-trai-phieu-truc-tuyen-tang-manh-tro-lai" TargetMode="External"/><Relationship Id="rId1319" Type="http://schemas.openxmlformats.org/officeDocument/2006/relationships/hyperlink" Target="https://techcombank.com/thong-tin/blog/tien-singapore" TargetMode="External"/><Relationship Id="rId729" Type="http://schemas.openxmlformats.org/officeDocument/2006/relationships/hyperlink" Target="https://techcombank.com/thong-tin/blog/cay-atm-gan-day" TargetMode="External"/><Relationship Id="rId728" Type="http://schemas.openxmlformats.org/officeDocument/2006/relationships/hyperlink" Target="https://techcombank.com/thong-tin/blog/the-he-tre-day-manh-xu-huong-thanh-toan-khong-dung-tien-mat" TargetMode="External"/><Relationship Id="rId60" Type="http://schemas.openxmlformats.org/officeDocument/2006/relationships/hyperlink" Target="https://techcombank.com/thong-tin/blog/thue-doanh-nghiep" TargetMode="External"/><Relationship Id="rId723" Type="http://schemas.openxmlformats.org/officeDocument/2006/relationships/hyperlink" Target="https://techcombank.com/thong-tin/blog/xu-huong-thanh-toan-khong-dung-tien-mat-tai-viet-nam" TargetMode="External"/><Relationship Id="rId722" Type="http://schemas.openxmlformats.org/officeDocument/2006/relationships/hyperlink" Target="https://techcombank.com/thong-tin/blog/nang-han-muc-tin-dung" TargetMode="External"/><Relationship Id="rId721" Type="http://schemas.openxmlformats.org/officeDocument/2006/relationships/hyperlink" Target="https://techcombank.com/thong-tin/blog/cach-su-dung-the-tin-dung" TargetMode="External"/><Relationship Id="rId720" Type="http://schemas.openxmlformats.org/officeDocument/2006/relationships/hyperlink" Target="https://techcombank.com/thong-tin/blog/the-tin-dung-la-gi" TargetMode="External"/><Relationship Id="rId727" Type="http://schemas.openxmlformats.org/officeDocument/2006/relationships/hyperlink" Target="https://techcombank.com/thong-tin/blog/thanh-toan-khong-tien-mat-trong-nganh-giao-duc-co-hoi-va-thach-thuc" TargetMode="External"/><Relationship Id="rId726" Type="http://schemas.openxmlformats.org/officeDocument/2006/relationships/hyperlink" Target="https://techcombank.com/thong-tin/blog/cach-su-dung-the-visa-techcombank" TargetMode="External"/><Relationship Id="rId725" Type="http://schemas.openxmlformats.org/officeDocument/2006/relationships/hyperlink" Target="https://techcombank.com/thong-tin/blog/rut-tien-bao-hiem-nhan-tho-khi-het-han" TargetMode="External"/><Relationship Id="rId724" Type="http://schemas.openxmlformats.org/officeDocument/2006/relationships/hyperlink" Target="https://techcombank.com/thong-tin/blog/cach-rut-tien-atm" TargetMode="External"/><Relationship Id="rId69" Type="http://schemas.openxmlformats.org/officeDocument/2006/relationships/hyperlink" Target="https://techcombank.com/thong-tin/blog/lai-suat-tiet-kiem" TargetMode="External"/><Relationship Id="rId1790" Type="http://schemas.openxmlformats.org/officeDocument/2006/relationships/hyperlink" Target="https://techcombank.com/thong-tin/blog/the-visa-de-lam-gi" TargetMode="External"/><Relationship Id="rId1791" Type="http://schemas.openxmlformats.org/officeDocument/2006/relationships/hyperlink" Target="https://techcombank.com/thong-tin/blog/rui-ro-khi-vay-the-chap-ngan-hang" TargetMode="External"/><Relationship Id="rId1792" Type="http://schemas.openxmlformats.org/officeDocument/2006/relationships/hyperlink" Target="https://techcombank.com/thong-tin/blog/vay-tin-chap-va-vay-the-chap" TargetMode="External"/><Relationship Id="rId1793" Type="http://schemas.openxmlformats.org/officeDocument/2006/relationships/hyperlink" Target="https://techcombank.com/thong-tin/blog/lai-suat-vay-the-chap" TargetMode="External"/><Relationship Id="rId1310" Type="http://schemas.openxmlformats.org/officeDocument/2006/relationships/hyperlink" Target="https://techcombank.com/thong-tin/blog/thanh-toan-bang-the-quoc-te" TargetMode="External"/><Relationship Id="rId1794" Type="http://schemas.openxmlformats.org/officeDocument/2006/relationships/hyperlink" Target="https://techcombank.com/thong-tin/blog/tat-toan" TargetMode="External"/><Relationship Id="rId1311" Type="http://schemas.openxmlformats.org/officeDocument/2006/relationships/hyperlink" Target="https://techcombank.com/thong-tin/blog/1-dong-do-la-my-bang-bao-nhieu-tien-viet-nam" TargetMode="External"/><Relationship Id="rId1795" Type="http://schemas.openxmlformats.org/officeDocument/2006/relationships/hyperlink" Target="https://techcombank.com/thong-tin/blog/dao-han-la-gi" TargetMode="External"/><Relationship Id="rId51" Type="http://schemas.openxmlformats.org/officeDocument/2006/relationships/hyperlink" Target="https://techcombank.com/thong-tin/blog/nhung-chi-phi-khong-duoc-tru-khi-tinh-thue-tndn" TargetMode="External"/><Relationship Id="rId1301" Type="http://schemas.openxmlformats.org/officeDocument/2006/relationships/hyperlink" Target="https://techcombank.com/thong-tin/blog/1000-yen-bang-bao-nhieu-tien-viet" TargetMode="External"/><Relationship Id="rId1785" Type="http://schemas.openxmlformats.org/officeDocument/2006/relationships/hyperlink" Target="https://techcombank.com/thong-tin/blog/co-nen-mua-o-to-tra-gop" TargetMode="External"/><Relationship Id="rId50" Type="http://schemas.openxmlformats.org/officeDocument/2006/relationships/hyperlink" Target="https://techcombank.com/thong-tin/blog/nop-thue-dat-qua-ngan-hang" TargetMode="External"/><Relationship Id="rId1302" Type="http://schemas.openxmlformats.org/officeDocument/2006/relationships/hyperlink" Target="https://techcombank.com/thong-tin/blog/chuyen-tien-tu-nhat-ve-viet-nam" TargetMode="External"/><Relationship Id="rId1786" Type="http://schemas.openxmlformats.org/officeDocument/2006/relationships/hyperlink" Target="https://techcombank.com/thong-tin/blog/thanh-toan-khoan-vay" TargetMode="External"/><Relationship Id="rId53" Type="http://schemas.openxmlformats.org/officeDocument/2006/relationships/hyperlink" Target="https://techcombank.com/thong-tin/blog/doanh-nghiep-moi-thanh-lap-duoc-uu-dai-gi" TargetMode="External"/><Relationship Id="rId1303" Type="http://schemas.openxmlformats.org/officeDocument/2006/relationships/hyperlink" Target="https://techcombank.com/thong-tin/blog/thanh-toan-khi-du-lich-nhat-ban" TargetMode="External"/><Relationship Id="rId1787" Type="http://schemas.openxmlformats.org/officeDocument/2006/relationships/hyperlink" Target="https://techcombank.com/thong-tin/blog/vay-300-trieu" TargetMode="External"/><Relationship Id="rId52" Type="http://schemas.openxmlformats.org/officeDocument/2006/relationships/hyperlink" Target="https://techcombank.com/thong-tin/blog/quyet-toan-thue-doanh-nghiep" TargetMode="External"/><Relationship Id="rId1304" Type="http://schemas.openxmlformats.org/officeDocument/2006/relationships/hyperlink" Target="https://techcombank.com/thong-tin/blog/chixmax" TargetMode="External"/><Relationship Id="rId1788" Type="http://schemas.openxmlformats.org/officeDocument/2006/relationships/hyperlink" Target="https://techcombank.com/thong-tin/blog/kiem-tra-no-xau" TargetMode="External"/><Relationship Id="rId55" Type="http://schemas.openxmlformats.org/officeDocument/2006/relationships/hyperlink" Target="https://techcombank.com/thong-tin/blog/hoan-thue-doanh-nghiep" TargetMode="External"/><Relationship Id="rId1305" Type="http://schemas.openxmlformats.org/officeDocument/2006/relationships/hyperlink" Target="https://techcombank.com/thong-tin/blog/han-muc-mua-ngoai-te-khi-di-du-lich" TargetMode="External"/><Relationship Id="rId1789" Type="http://schemas.openxmlformats.org/officeDocument/2006/relationships/hyperlink" Target="https://techcombank.com/thong-tin/blog/mua-truoc-tra-sau" TargetMode="External"/><Relationship Id="rId54" Type="http://schemas.openxmlformats.org/officeDocument/2006/relationships/hyperlink" Target="https://techcombank.com/thong-tin/blog/loi-nhuan" TargetMode="External"/><Relationship Id="rId1306" Type="http://schemas.openxmlformats.org/officeDocument/2006/relationships/hyperlink" Target="https://techcombank.com/thong-tin/blog/thanh-toan-khi-du-lich-thai-lan" TargetMode="External"/><Relationship Id="rId57" Type="http://schemas.openxmlformats.org/officeDocument/2006/relationships/hyperlink" Target="https://techcombank.com/thong-tin/blog/giai-dap-ve-thue-doanh-nghiep" TargetMode="External"/><Relationship Id="rId1307" Type="http://schemas.openxmlformats.org/officeDocument/2006/relationships/hyperlink" Target="https://techcombank.com/thong-tin/blog/thanh-toan-qr-thai-lan" TargetMode="External"/><Relationship Id="rId56" Type="http://schemas.openxmlformats.org/officeDocument/2006/relationships/hyperlink" Target="https://techcombank.com/thong-tin/blog/cach-tinh-thue-thu-nhap-doanh-nghiep" TargetMode="External"/><Relationship Id="rId1308" Type="http://schemas.openxmlformats.org/officeDocument/2006/relationships/hyperlink" Target="https://techcombank.com/thong-tin/blog/han-muc-mua-ngoai-te-khi-di-du-lich" TargetMode="External"/><Relationship Id="rId1309" Type="http://schemas.openxmlformats.org/officeDocument/2006/relationships/hyperlink" Target="https://techcombank.com/thong-tin/blog/di-du-lich-nuoc-ngoai-can-chuan-bi-gi" TargetMode="External"/><Relationship Id="rId719" Type="http://schemas.openxmlformats.org/officeDocument/2006/relationships/hyperlink" Target="https://techcombank.com/thong-tin/blog/vay-tien-mat" TargetMode="External"/><Relationship Id="rId718" Type="http://schemas.openxmlformats.org/officeDocument/2006/relationships/hyperlink" Target="https://techcombank.com/thong-tin/blog/bi-nuot-the-atm-phai-lam-sao" TargetMode="External"/><Relationship Id="rId717" Type="http://schemas.openxmlformats.org/officeDocument/2006/relationships/hyperlink" Target="https://techcombank.com/thong-tin/blog/thanh-toan-khong-dung-tien-mat-tro-thanh-xu-huong-tang-truong-chong-mat" TargetMode="External"/><Relationship Id="rId712" Type="http://schemas.openxmlformats.org/officeDocument/2006/relationships/hyperlink" Target="https://techcombank.com/thong-tin/blog/the-visa-de-lam-gi" TargetMode="External"/><Relationship Id="rId711" Type="http://schemas.openxmlformats.org/officeDocument/2006/relationships/hyperlink" Target="https://techcombank.com/thong-tin/blog/tra-cuu-han-muc-the-tin-dung" TargetMode="External"/><Relationship Id="rId710" Type="http://schemas.openxmlformats.org/officeDocument/2006/relationships/hyperlink" Target="https://techcombank.com/thong-tin/blog/rut-tien-bang-ma-qr-khac-ngan-hang-duoc-khong" TargetMode="External"/><Relationship Id="rId716" Type="http://schemas.openxmlformats.org/officeDocument/2006/relationships/hyperlink" Target="https://techcombank.com/thong-tin/blog/ty-le-thanh-toan-khong-dung-tien-mat-trong-linh-vuc-y-te-con-han-che" TargetMode="External"/><Relationship Id="rId715" Type="http://schemas.openxmlformats.org/officeDocument/2006/relationships/hyperlink" Target="https://techcombank.com/thong-tin/blog/rut-tien-bang-ma-qr-la-gi-cach-thuc-hien-nhu-the-nao" TargetMode="External"/><Relationship Id="rId714" Type="http://schemas.openxmlformats.org/officeDocument/2006/relationships/hyperlink" Target="https://techcombank.com/thong-tin/blog/rut-tien-tiet-kiem-truoc-thoi-han" TargetMode="External"/><Relationship Id="rId713" Type="http://schemas.openxmlformats.org/officeDocument/2006/relationships/hyperlink" Target="https://techcombank.com/thong-tin/blog/the-atm-khong-rut-duoc-tien" TargetMode="External"/><Relationship Id="rId59" Type="http://schemas.openxmlformats.org/officeDocument/2006/relationships/hyperlink" Target="https://techcombank.com/thong-tin/blog/kiem-tra-ma-so-thue-doanh-nghiep" TargetMode="External"/><Relationship Id="rId58" Type="http://schemas.openxmlformats.org/officeDocument/2006/relationships/hyperlink" Target="https://techcombank.com/thong-tin/blog/loi-nhuan-rong" TargetMode="External"/><Relationship Id="rId1780" Type="http://schemas.openxmlformats.org/officeDocument/2006/relationships/hyperlink" Target="https://techcombank.com/thong-tin/blog/cong-thuc-tinh-lai-suat-thuc" TargetMode="External"/><Relationship Id="rId1781" Type="http://schemas.openxmlformats.org/officeDocument/2006/relationships/hyperlink" Target="https://techcombank.com/thong-tin/blog/vay-tra-gop" TargetMode="External"/><Relationship Id="rId1782" Type="http://schemas.openxmlformats.org/officeDocument/2006/relationships/hyperlink" Target="https://techcombank.com/thong-tin/blog/lai-suat-vay-kinh-doanh" TargetMode="External"/><Relationship Id="rId1783" Type="http://schemas.openxmlformats.org/officeDocument/2006/relationships/hyperlink" Target="https://techcombank.com/thong-tin/blog/cac-hinh-thuc-vay-von-ngan-hang" TargetMode="External"/><Relationship Id="rId1300" Type="http://schemas.openxmlformats.org/officeDocument/2006/relationships/hyperlink" Target="https://techcombank.com/thong-tin/blog/1-yen-bang-bao-nhieu-tien-viet-nam" TargetMode="External"/><Relationship Id="rId1784" Type="http://schemas.openxmlformats.org/officeDocument/2006/relationships/hyperlink" Target="https://techcombank.com/thong-tin/blog/loi-nhuan" TargetMode="External"/><Relationship Id="rId2269" Type="http://schemas.openxmlformats.org/officeDocument/2006/relationships/hyperlink" Target="https://techcombank.com/thong-tin/blog/mo-tai-khoan-tiet-kiem-cho-con" TargetMode="External"/><Relationship Id="rId349" Type="http://schemas.openxmlformats.org/officeDocument/2006/relationships/hyperlink" Target="https://techcombank.com/thong-tin/blog/cach-nhan-tien-tu-nuoc-ngoai-ve-viet-nam" TargetMode="External"/><Relationship Id="rId348" Type="http://schemas.openxmlformats.org/officeDocument/2006/relationships/hyperlink" Target="https://techcombank.com/thong-tin/blog/chuyen-tien-tu-duc-ve-viet-nam" TargetMode="External"/><Relationship Id="rId347" Type="http://schemas.openxmlformats.org/officeDocument/2006/relationships/hyperlink" Target="https://techcombank.com/thong-tin/blog/gui-tien-sang-nuoc-ngoai" TargetMode="External"/><Relationship Id="rId346" Type="http://schemas.openxmlformats.org/officeDocument/2006/relationships/hyperlink" Target="https://techcombank.com/thong-tin/blog/thu-tuc-chuyen-tien-ra-nuoc-ngoai" TargetMode="External"/><Relationship Id="rId2260" Type="http://schemas.openxmlformats.org/officeDocument/2006/relationships/hyperlink" Target="https://techcombank.com/thong-tin/blog/qua-han-thanh-toan-the-tin-dung-1-ngay" TargetMode="External"/><Relationship Id="rId341" Type="http://schemas.openxmlformats.org/officeDocument/2006/relationships/hyperlink" Target="https://techcombank.com/thong-tin/blog/the-ghi-no-co-chuyen-khoan-duoc-khong" TargetMode="External"/><Relationship Id="rId2261" Type="http://schemas.openxmlformats.org/officeDocument/2006/relationships/hyperlink" Target="https://techcombank.com/thong-tin/blog/co-nen-gui-tiet-kiem-ngan-hang" TargetMode="External"/><Relationship Id="rId340" Type="http://schemas.openxmlformats.org/officeDocument/2006/relationships/hyperlink" Target="https://techcombank.com/thong-tin/blog/cach-chuyen-tien-qua-ma-qr-techcombank" TargetMode="External"/><Relationship Id="rId2262" Type="http://schemas.openxmlformats.org/officeDocument/2006/relationships/hyperlink" Target="https://techcombank.com/thong-tin/blog/lai-suat-tiet-kiem" TargetMode="External"/><Relationship Id="rId2263" Type="http://schemas.openxmlformats.org/officeDocument/2006/relationships/hyperlink" Target="https://techcombank.com/thong-tin/blog/co-nen-gui-tiet-kiem-online" TargetMode="External"/><Relationship Id="rId2264" Type="http://schemas.openxmlformats.org/officeDocument/2006/relationships/hyperlink" Target="https://techcombank.com/thong-tin/blog/gui-tiet-kiem-ngan-hang-van-la-lua-chon-an-toan-trong-thoi-ky-kinh-te-con-nhieu-bien-dong" TargetMode="External"/><Relationship Id="rId345" Type="http://schemas.openxmlformats.org/officeDocument/2006/relationships/hyperlink" Target="https://techcombank.com/thong-tin/blog/tai-khoan-cong-ty-co-chuyen-online-duoc-khong" TargetMode="External"/><Relationship Id="rId2265" Type="http://schemas.openxmlformats.org/officeDocument/2006/relationships/hyperlink" Target="https://techcombank.com/thong-tin/blog/cach-gui-tiet-kiem-online" TargetMode="External"/><Relationship Id="rId344" Type="http://schemas.openxmlformats.org/officeDocument/2006/relationships/hyperlink" Target="https://techcombank.com/thong-tin/blog/cam-nang-dinh-cu-my" TargetMode="External"/><Relationship Id="rId2266" Type="http://schemas.openxmlformats.org/officeDocument/2006/relationships/hyperlink" Target="https://techcombank.com/thong-tin/blog/gui-tien-ngan-hang-co-an-toan-khong" TargetMode="External"/><Relationship Id="rId343" Type="http://schemas.openxmlformats.org/officeDocument/2006/relationships/hyperlink" Target="https://techcombank.com/thong-tin/blog/dinh-cu-chau-au" TargetMode="External"/><Relationship Id="rId2267" Type="http://schemas.openxmlformats.org/officeDocument/2006/relationships/hyperlink" Target="https://techcombank.com/thong-tin/blog/dau-tu-trai-phieu-doanh-nghiep-dung-ham-lai-suat-cao" TargetMode="External"/><Relationship Id="rId342" Type="http://schemas.openxmlformats.org/officeDocument/2006/relationships/hyperlink" Target="https://techcombank.com/thong-tin/blog/chuyen-tien-dinh-cu" TargetMode="External"/><Relationship Id="rId2268" Type="http://schemas.openxmlformats.org/officeDocument/2006/relationships/hyperlink" Target="https://techcombank.com/thong-tin/blog/nen-gui-tiet-kiem-6-thang-hay-1-nam" TargetMode="External"/><Relationship Id="rId2258" Type="http://schemas.openxmlformats.org/officeDocument/2006/relationships/hyperlink" Target="https://techcombank.com/thong-tin/blog/lai-suat-vay-thau-chi" TargetMode="External"/><Relationship Id="rId2259" Type="http://schemas.openxmlformats.org/officeDocument/2006/relationships/hyperlink" Target="https://techcombank.com/thong-tin/blog/tien-gui-khong-ky-han" TargetMode="External"/><Relationship Id="rId338" Type="http://schemas.openxmlformats.org/officeDocument/2006/relationships/hyperlink" Target="https://techcombank.com/thong-tin/blog/xac-thuc-sinh-trac-hoc-khi-chuyen-tien" TargetMode="External"/><Relationship Id="rId337" Type="http://schemas.openxmlformats.org/officeDocument/2006/relationships/hyperlink" Target="https://techcombank.com/thong-tin/blog/mo-tai-khoan-ngan-hang-co-mat-phi-khong" TargetMode="External"/><Relationship Id="rId336" Type="http://schemas.openxmlformats.org/officeDocument/2006/relationships/hyperlink" Target="https://techcombank.com/thong-tin/blog/vi-dien-tu-la-gi" TargetMode="External"/><Relationship Id="rId335" Type="http://schemas.openxmlformats.org/officeDocument/2006/relationships/hyperlink" Target="https://techcombank.com/thong-tin/blog/ma-swift-ngan-hang" TargetMode="External"/><Relationship Id="rId339" Type="http://schemas.openxmlformats.org/officeDocument/2006/relationships/hyperlink" Target="https://techcombank.com/thong-tin/blog/app-vay-tien-nhanh" TargetMode="External"/><Relationship Id="rId330" Type="http://schemas.openxmlformats.org/officeDocument/2006/relationships/hyperlink" Target="https://techcombank.com/thong-tin/blog/the-tin-dung-co-chuyen-khoan-duoc-khong" TargetMode="External"/><Relationship Id="rId2250" Type="http://schemas.openxmlformats.org/officeDocument/2006/relationships/hyperlink" Target="https://techcombank.com/thong-tin/blog/diem-loyalty-la-gi" TargetMode="External"/><Relationship Id="rId2251" Type="http://schemas.openxmlformats.org/officeDocument/2006/relationships/hyperlink" Target="https://techcombank.com/thong-tin/blog/techcombank-oneu" TargetMode="External"/><Relationship Id="rId2252" Type="http://schemas.openxmlformats.org/officeDocument/2006/relationships/hyperlink" Target="https://techcombank.com/thong-tin/blog/gui-tiet-kiem-theo-ngay" TargetMode="External"/><Relationship Id="rId2253" Type="http://schemas.openxmlformats.org/officeDocument/2006/relationships/hyperlink" Target="https://techcombank.com/thong-tin/blog/gui-tiet-kiem-vang" TargetMode="External"/><Relationship Id="rId334" Type="http://schemas.openxmlformats.org/officeDocument/2006/relationships/hyperlink" Target="https://techcombank.com/thong-tin/blog/cach-su-dung-the-visa-techcombank" TargetMode="External"/><Relationship Id="rId2254" Type="http://schemas.openxmlformats.org/officeDocument/2006/relationships/hyperlink" Target="https://techcombank.com/thong-tin/blog/nen-gui-tiet-kiem-thong-thuong-hay-tich-luy" TargetMode="External"/><Relationship Id="rId333" Type="http://schemas.openxmlformats.org/officeDocument/2006/relationships/hyperlink" Target="https://techcombank.com/thong-tin/blog/cach-chuyen-khoan-bang-dien-thoai" TargetMode="External"/><Relationship Id="rId2255" Type="http://schemas.openxmlformats.org/officeDocument/2006/relationships/hyperlink" Target="https://techcombank.com/thong-tin/blog/tai-sao-gui-tiet-kiem-online-lai-suat-cao-hon" TargetMode="External"/><Relationship Id="rId332" Type="http://schemas.openxmlformats.org/officeDocument/2006/relationships/hyperlink" Target="https://techcombank.com/thong-tin/blog/nguoi-duoc-bao-hiem-la-gi" TargetMode="External"/><Relationship Id="rId2256" Type="http://schemas.openxmlformats.org/officeDocument/2006/relationships/hyperlink" Target="https://techcombank.com/thong-tin/blog/rui-ro-khi-vay-the-chap-ngan-hang" TargetMode="External"/><Relationship Id="rId331" Type="http://schemas.openxmlformats.org/officeDocument/2006/relationships/hyperlink" Target="https://techcombank.com/thong-tin/blog/iban-la-gi" TargetMode="External"/><Relationship Id="rId2257" Type="http://schemas.openxmlformats.org/officeDocument/2006/relationships/hyperlink" Target="https://techcombank.com/thong-tin/blog/lai-kep-ngan-hang" TargetMode="External"/><Relationship Id="rId370" Type="http://schemas.openxmlformats.org/officeDocument/2006/relationships/hyperlink" Target="https://techcombank.com/thong-tin/blog/sai-lam-ve-tai-chinh-ca-nhan" TargetMode="External"/><Relationship Id="rId369" Type="http://schemas.openxmlformats.org/officeDocument/2006/relationships/hyperlink" Target="https://techcombank.com/thong-tin/blog/lam-the-atm-co-mat-phi-khong" TargetMode="External"/><Relationship Id="rId368" Type="http://schemas.openxmlformats.org/officeDocument/2006/relationships/hyperlink" Target="https://techcombank.com/thong-tin/blog/li-xi-so-dep" TargetMode="External"/><Relationship Id="rId2280" Type="http://schemas.openxmlformats.org/officeDocument/2006/relationships/hyperlink" Target="https://techcombank.com/thong-tin/blog/gui-tiet-kiem-ngoai-te" TargetMode="External"/><Relationship Id="rId2281" Type="http://schemas.openxmlformats.org/officeDocument/2006/relationships/hyperlink" Target="https://techcombank.com/thong-tin/blog/lai-suat-ngan-hang-cho-vay-xay-nha" TargetMode="External"/><Relationship Id="rId2282" Type="http://schemas.openxmlformats.org/officeDocument/2006/relationships/hyperlink" Target="https://techcombank.com/thong-tin/blog/rui-ro-khi-gui-tiet-kiem-ngan-hang" TargetMode="External"/><Relationship Id="rId363" Type="http://schemas.openxmlformats.org/officeDocument/2006/relationships/hyperlink" Target="https://techcombank.com/thong-tin/blog/cach-lam-the-atm" TargetMode="External"/><Relationship Id="rId2283" Type="http://schemas.openxmlformats.org/officeDocument/2006/relationships/hyperlink" Target="https://techcombank.com/thong-tin/blog/gui-tiet-kiem-hang-thang" TargetMode="External"/><Relationship Id="rId362" Type="http://schemas.openxmlformats.org/officeDocument/2006/relationships/hyperlink" Target="https://techcombank.com/thong-tin/blog/hoc-sinh-sinh-vien-nen-lam-the-ngan-hang-nao" TargetMode="External"/><Relationship Id="rId2284" Type="http://schemas.openxmlformats.org/officeDocument/2006/relationships/hyperlink" Target="https://techcombank.com/thong-tin/blog/cach-tiet-kiem-tien" TargetMode="External"/><Relationship Id="rId361" Type="http://schemas.openxmlformats.org/officeDocument/2006/relationships/hyperlink" Target="https://techcombank.com/thong-tin/blog/mo-tai-khoan-ngan-hang-cho-tre-em" TargetMode="External"/><Relationship Id="rId2285" Type="http://schemas.openxmlformats.org/officeDocument/2006/relationships/hyperlink" Target="https://techcombank.com/thong-tin/blog/tra-no-vay-thau-chi-nhu-the-nao" TargetMode="External"/><Relationship Id="rId360" Type="http://schemas.openxmlformats.org/officeDocument/2006/relationships/hyperlink" Target="https://techcombank.com/thong-tin/blog/1000-yen-bang-bao-nhieu-tien-viet" TargetMode="External"/><Relationship Id="rId2286" Type="http://schemas.openxmlformats.org/officeDocument/2006/relationships/hyperlink" Target="https://techcombank.com/thong-tin/blog/rut-tien-bao-hiem-nhan-tho-khi-het-han" TargetMode="External"/><Relationship Id="rId367" Type="http://schemas.openxmlformats.org/officeDocument/2006/relationships/hyperlink" Target="https://techcombank.com/thong-tin/blog/the-he-ke-can" TargetMode="External"/><Relationship Id="rId2287" Type="http://schemas.openxmlformats.org/officeDocument/2006/relationships/hyperlink" Target="https://techcombank.com/thong-tin/blog/cach-tinh-lai-vay-ngan-hang" TargetMode="External"/><Relationship Id="rId36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2288" Type="http://schemas.openxmlformats.org/officeDocument/2006/relationships/hyperlink" Target="https://techcombank.com/thong-tin/blog/gui-tiet-kiem-online-bi-mat-tien" TargetMode="External"/><Relationship Id="rId365" Type="http://schemas.openxmlformats.org/officeDocument/2006/relationships/hyperlink" Target="https://techcombank.com/thong-tin/blog/lam-the-atm-bao-lau-co" TargetMode="External"/><Relationship Id="rId2289" Type="http://schemas.openxmlformats.org/officeDocument/2006/relationships/hyperlink" Target="https://techcombank.com/thong-tin/blog/kinh-nghiem-gui-tiet-kiem-online" TargetMode="External"/><Relationship Id="rId364" Type="http://schemas.openxmlformats.org/officeDocument/2006/relationships/hyperlink" Target="https://techcombank.com/thong-tin/blog/1-nguoi-co-the-lam-duoc-bao-nhieu-the-atm" TargetMode="External"/><Relationship Id="rId95" Type="http://schemas.openxmlformats.org/officeDocument/2006/relationships/hyperlink" Target="https://techcombank.com/thong-tin/blog/the-tin-dung-co-chuyen-khoan-duoc-khong" TargetMode="External"/><Relationship Id="rId94" Type="http://schemas.openxmlformats.org/officeDocument/2006/relationships/hyperlink" Target="https://techcombank.com/thong-tin/blog/phan-mem-xuat-hoa-don-dien-tu" TargetMode="External"/><Relationship Id="rId97" Type="http://schemas.openxmlformats.org/officeDocument/2006/relationships/hyperlink" Target="https://techcombank.com/thong-tin/blog/tra-cuu-hoa-don-nuoc" TargetMode="External"/><Relationship Id="rId96" Type="http://schemas.openxmlformats.org/officeDocument/2006/relationships/hyperlink" Target="https://techcombank.com/thong-tin/blog/app-dong-tien-dien-online" TargetMode="External"/><Relationship Id="rId99" Type="http://schemas.openxmlformats.org/officeDocument/2006/relationships/hyperlink" Target="https://techcombank.com/thong-tin/blog/thanh-toan-hoa-don-tieu-dung" TargetMode="External"/><Relationship Id="rId98" Type="http://schemas.openxmlformats.org/officeDocument/2006/relationships/hyperlink" Target="https://techcombank.com/thong-tin/blog/tra-cuu-hoa-don-tien-dien" TargetMode="External"/><Relationship Id="rId91" Type="http://schemas.openxmlformats.org/officeDocument/2006/relationships/hyperlink" Target="https://techcombank.com/thong-tin/blog/one-stop-shop" TargetMode="External"/><Relationship Id="rId90" Type="http://schemas.openxmlformats.org/officeDocument/2006/relationships/hyperlink" Target="https://techcombank.com/thong-tin/blog/thue-doanh-nghiep" TargetMode="External"/><Relationship Id="rId93" Type="http://schemas.openxmlformats.org/officeDocument/2006/relationships/hyperlink" Target="https://techcombank.com/thong-tin/blog/may-tinh-tien" TargetMode="External"/><Relationship Id="rId92" Type="http://schemas.openxmlformats.org/officeDocument/2006/relationships/hyperlink" Target="https://techcombank.com/thong-tin/blog/tim-hieu-ve-chinh-sach-thue-moi" TargetMode="External"/><Relationship Id="rId359" Type="http://schemas.openxmlformats.org/officeDocument/2006/relationships/hyperlink" Target="https://techcombank.com/thong-tin/blog/tien-trung-quoc" TargetMode="External"/><Relationship Id="rId358" Type="http://schemas.openxmlformats.org/officeDocument/2006/relationships/hyperlink" Target="https://techcombank.com/thong-tin/blog/1000-won-bang-bao-nhieu-tien-viet" TargetMode="External"/><Relationship Id="rId357" Type="http://schemas.openxmlformats.org/officeDocument/2006/relationships/hyperlink" Target="https://techcombank.com/thong-tin/blog/chuyen-tien-tu-my-ve-viet-nam" TargetMode="External"/><Relationship Id="rId2270" Type="http://schemas.openxmlformats.org/officeDocument/2006/relationships/hyperlink" Target="https://techcombank.com/thong-tin/blog/lai-suat-the-tin-dung" TargetMode="External"/><Relationship Id="rId2271" Type="http://schemas.openxmlformats.org/officeDocument/2006/relationships/hyperlink" Target="https://techcombank.com/thong-tin/blog/quy-gia-dinh" TargetMode="External"/><Relationship Id="rId352" Type="http://schemas.openxmlformats.org/officeDocument/2006/relationships/hyperlink" Target="https://techcombank.com/thong-tin/blog/chuyen-tien-tu-nhat-ve-viet-nam" TargetMode="External"/><Relationship Id="rId2272" Type="http://schemas.openxmlformats.org/officeDocument/2006/relationships/hyperlink" Target="https://techcombank.com/thong-tin/blog/lai-suat-vay-the-chap-so-do" TargetMode="External"/><Relationship Id="rId351" Type="http://schemas.openxmlformats.org/officeDocument/2006/relationships/hyperlink" Target="https://techcombank.com/thong-tin/blog/chuyen-tien-tu-han-sang-viet-nam" TargetMode="External"/><Relationship Id="rId2273" Type="http://schemas.openxmlformats.org/officeDocument/2006/relationships/hyperlink" Target="https://techcombank.com/thong-tin/blog/gui-tiet-kiem-lay-lai-hang-thang" TargetMode="External"/><Relationship Id="rId350" Type="http://schemas.openxmlformats.org/officeDocument/2006/relationships/hyperlink" Target="https://techcombank.com/thong-tin/blog/chuyen-tien-tro-cap-than-nhan-o-nuoc-ngoai" TargetMode="External"/><Relationship Id="rId2274" Type="http://schemas.openxmlformats.org/officeDocument/2006/relationships/hyperlink" Target="https://techcombank.com/thong-tin/blog/rui-ro-khi-gui-tiet-kiem-online" TargetMode="External"/><Relationship Id="rId2275" Type="http://schemas.openxmlformats.org/officeDocument/2006/relationships/hyperlink" Target="https://techcombank.com/thong-tin/blog/tich-luy-tai-san" TargetMode="External"/><Relationship Id="rId356" Type="http://schemas.openxmlformats.org/officeDocument/2006/relationships/hyperlink" Target="https://techcombank.com/thong-tin/blog/tien-lao" TargetMode="External"/><Relationship Id="rId2276" Type="http://schemas.openxmlformats.org/officeDocument/2006/relationships/hyperlink" Target="https://techcombank.com/thong-tin/blog/cach-tinh-lai-suat-tien-gui-tiet-kiem" TargetMode="External"/><Relationship Id="rId355" Type="http://schemas.openxmlformats.org/officeDocument/2006/relationships/hyperlink" Target="https://techcombank.com/thong-tin/blog/chuyen-tien-di-uc" TargetMode="External"/><Relationship Id="rId2277" Type="http://schemas.openxmlformats.org/officeDocument/2006/relationships/hyperlink" Target="https://techcombank.com/thong-tin/blog/lai-suat-tha-noi" TargetMode="External"/><Relationship Id="rId354" Type="http://schemas.openxmlformats.org/officeDocument/2006/relationships/hyperlink" Target="https://techcombank.com/thong-tin/blog/tien-nhat" TargetMode="External"/><Relationship Id="rId2278" Type="http://schemas.openxmlformats.org/officeDocument/2006/relationships/hyperlink" Target="https://techcombank.com/thong-tin/blog/lai-suat-vay-tieu-dung" TargetMode="External"/><Relationship Id="rId353" Type="http://schemas.openxmlformats.org/officeDocument/2006/relationships/hyperlink" Target="https://techcombank.com/thong-tin/blog/tien-thai-lan" TargetMode="External"/><Relationship Id="rId2279" Type="http://schemas.openxmlformats.org/officeDocument/2006/relationships/hyperlink" Target="https://techcombank.com/thong-tin/blog/chon-kenh-dau-tu-an-toan-trong-boi-canh-thi-truong-bien-dong" TargetMode="External"/><Relationship Id="rId1378" Type="http://schemas.openxmlformats.org/officeDocument/2006/relationships/hyperlink" Target="https://techcombank.com/thong-tin/blog/gui-tien-du-hoc" TargetMode="External"/><Relationship Id="rId2225" Type="http://schemas.openxmlformats.org/officeDocument/2006/relationships/hyperlink" Target="https://techcombank.com/thong-tin/blog/cach-su-dung-the-visa-techcombank" TargetMode="External"/><Relationship Id="rId1379" Type="http://schemas.openxmlformats.org/officeDocument/2006/relationships/hyperlink" Target="https://techcombank.com/thong-tin/blog/ngoai-hoi-la-gi" TargetMode="External"/><Relationship Id="rId2226" Type="http://schemas.openxmlformats.org/officeDocument/2006/relationships/hyperlink" Target="https://techcombank.com/thong-tin/blog/lai-suat-vay-ngan-hang" TargetMode="External"/><Relationship Id="rId2227" Type="http://schemas.openxmlformats.org/officeDocument/2006/relationships/hyperlink" Target="https://techcombank.com/thong-tin/blog/du-no-tin-dung-la-gi" TargetMode="External"/><Relationship Id="rId2228" Type="http://schemas.openxmlformats.org/officeDocument/2006/relationships/hyperlink" Target="https://techcombank.com/thong-tin/blog/mua-nha-tra-gop-dua-truoc-100-trieu" TargetMode="External"/><Relationship Id="rId2229" Type="http://schemas.openxmlformats.org/officeDocument/2006/relationships/hyperlink" Target="https://techcombank.com/thong-tin/blog/vay-han-muc-la-gi" TargetMode="External"/><Relationship Id="rId305" Type="http://schemas.openxmlformats.org/officeDocument/2006/relationships/hyperlink" Target="https://techcombank.com/thong-tin/blog/lai-suat-vay-ngan-hang" TargetMode="External"/><Relationship Id="rId789" Type="http://schemas.openxmlformats.org/officeDocument/2006/relationships/hyperlink" Target="https://techcombank.com/thong-tin/blog/thanh-toan-tra-gop-qua-the-tin-dung" TargetMode="External"/><Relationship Id="rId304" Type="http://schemas.openxmlformats.org/officeDocument/2006/relationships/hyperlink" Target="https://techcombank.com/thong-tin/blog/the-tin-dung-mien-lai-55-ngay" TargetMode="External"/><Relationship Id="rId788" Type="http://schemas.openxmlformats.org/officeDocument/2006/relationships/hyperlink" Target="https://techcombank.com/thong-tin/blog/cach-dang-ky-the-visa" TargetMode="External"/><Relationship Id="rId303" Type="http://schemas.openxmlformats.org/officeDocument/2006/relationships/hyperlink" Target="https://techcombank.com/thong-tin/blog/gui-tiet-kiem-ngoai-te" TargetMode="External"/><Relationship Id="rId787" Type="http://schemas.openxmlformats.org/officeDocument/2006/relationships/hyperlink" Target="https://techcombank.com/thong-tin/blog/thanh-toan-tien-dien-bang-the-tin-dung" TargetMode="External"/><Relationship Id="rId302" Type="http://schemas.openxmlformats.org/officeDocument/2006/relationships/hyperlink" Target="https://techcombank.com/thong-tin/blog/hoc-sinh-sinh-vien-nen-lam-the-ngan-hang-nao" TargetMode="External"/><Relationship Id="rId786" Type="http://schemas.openxmlformats.org/officeDocument/2006/relationships/hyperlink" Target="https://techcombank.com/thong-tin/blog/tra-gop-shopee" TargetMode="External"/><Relationship Id="rId309" Type="http://schemas.openxmlformats.org/officeDocument/2006/relationships/hyperlink" Target="https://techcombank.com/thong-tin/blog/lai-suat-vay-tin-chap" TargetMode="External"/><Relationship Id="rId308" Type="http://schemas.openxmlformats.org/officeDocument/2006/relationships/hyperlink" Target="https://techcombank.com/thong-tin/blog/lai-suat-vay-mua-o-to" TargetMode="External"/><Relationship Id="rId307" Type="http://schemas.openxmlformats.org/officeDocument/2006/relationships/hyperlink" Target="https://techcombank.com/thong-tin/blog/lai-suat-chung-chi-tien-gui-cac-ngan-hang" TargetMode="External"/><Relationship Id="rId306" Type="http://schemas.openxmlformats.org/officeDocument/2006/relationships/hyperlink" Target="https://techcombank.com/thong-tin/blog/mat-the-tin-dung-co-lam-lai-duoc-khong" TargetMode="External"/><Relationship Id="rId781" Type="http://schemas.openxmlformats.org/officeDocument/2006/relationships/hyperlink" Target="https://techcombank.com/thong-tin/blog/lam-the-visa-mat-bao-lau" TargetMode="External"/><Relationship Id="rId1370" Type="http://schemas.openxmlformats.org/officeDocument/2006/relationships/hyperlink" Target="https://techcombank.com/thong-tin/blog/ngoai-te-la-gi" TargetMode="External"/><Relationship Id="rId780" Type="http://schemas.openxmlformats.org/officeDocument/2006/relationships/hyperlink" Target="https://techcombank.com/thong-tin/blog/3d-secure" TargetMode="External"/><Relationship Id="rId1371" Type="http://schemas.openxmlformats.org/officeDocument/2006/relationships/hyperlink" Target="https://techcombank.com/thong-tin/blog/tai-khoan-ngan-hang-la-gi" TargetMode="External"/><Relationship Id="rId1372" Type="http://schemas.openxmlformats.org/officeDocument/2006/relationships/hyperlink" Target="https://techcombank.com/thong-tin/blog/lai-suat-gui-tiet-kiem-usd" TargetMode="External"/><Relationship Id="rId1373" Type="http://schemas.openxmlformats.org/officeDocument/2006/relationships/hyperlink" Target="https://techcombank.com/thong-tin/blog/gui-tiet-kiem-usd" TargetMode="External"/><Relationship Id="rId2220" Type="http://schemas.openxmlformats.org/officeDocument/2006/relationships/hyperlink" Target="https://techcombank.com/thong-tin/blog/vay-mua-nha-o-xa-hoi" TargetMode="External"/><Relationship Id="rId301" Type="http://schemas.openxmlformats.org/officeDocument/2006/relationships/hyperlink" Target="https://techcombank.com/thong-tin/blog/lai-suat-vay-tieu-dung" TargetMode="External"/><Relationship Id="rId785" Type="http://schemas.openxmlformats.org/officeDocument/2006/relationships/hyperlink" Target="https://techcombank.com/thong-tin/blog/thanh-toan-toi-thieu-the-tin-dung" TargetMode="External"/><Relationship Id="rId1374" Type="http://schemas.openxmlformats.org/officeDocument/2006/relationships/hyperlink" Target="https://techcombank.com/thong-tin/blog/gui-tien-sang-nuoc-ngoai" TargetMode="External"/><Relationship Id="rId2221" Type="http://schemas.openxmlformats.org/officeDocument/2006/relationships/hyperlink" Target="https://techcombank.com/thong-tin/blog/kinh-nghiem-vay-tien-ngan-hang-xay-nha" TargetMode="External"/><Relationship Id="rId300" Type="http://schemas.openxmlformats.org/officeDocument/2006/relationships/hyperlink" Target="https://techcombank.com/thong-tin/blog/vay-sinh-vien" TargetMode="External"/><Relationship Id="rId784" Type="http://schemas.openxmlformats.org/officeDocument/2006/relationships/hyperlink" Target="https://techcombank.com/thong-tin/blog/the-tin-dung-ao" TargetMode="External"/><Relationship Id="rId1375" Type="http://schemas.openxmlformats.org/officeDocument/2006/relationships/hyperlink" Target="https://techcombank.com/thong-tin/blog/quy-dinh-ve-mua-ban-ngoai-te-cua-doanh-nghiep" TargetMode="External"/><Relationship Id="rId2222" Type="http://schemas.openxmlformats.org/officeDocument/2006/relationships/hyperlink" Target="https://techcombank.com/thong-tin/blog/vay-tin-chap-theo-luong" TargetMode="External"/><Relationship Id="rId783" Type="http://schemas.openxmlformats.org/officeDocument/2006/relationships/hyperlink" Target="https://techcombank.com/thong-tin/blog/mo-the-tin-dung-co-loi-ich-gi" TargetMode="External"/><Relationship Id="rId1376" Type="http://schemas.openxmlformats.org/officeDocument/2006/relationships/hyperlink" Target="https://techcombank.com/thong-tin/blog/gia-ca-phe-hom-nay" TargetMode="External"/><Relationship Id="rId2223" Type="http://schemas.openxmlformats.org/officeDocument/2006/relationships/hyperlink" Target="https://techcombank.com/thong-tin/blog/tra-gop-qua-the-tin-dung" TargetMode="External"/><Relationship Id="rId782" Type="http://schemas.openxmlformats.org/officeDocument/2006/relationships/hyperlink" Target="https://techcombank.com/thong-tin/blog/lai-suat-the-tin-dung" TargetMode="External"/><Relationship Id="rId1377" Type="http://schemas.openxmlformats.org/officeDocument/2006/relationships/hyperlink" Target="https://techcombank.com/thong-tin/blog/chuyen-tien-tu-duc-ve-viet-nam" TargetMode="External"/><Relationship Id="rId2224" Type="http://schemas.openxmlformats.org/officeDocument/2006/relationships/hyperlink" Target="https://techcombank.com/thong-tin/blog/cach-tinh-lai-vay-ngan-hang" TargetMode="External"/><Relationship Id="rId1367" Type="http://schemas.openxmlformats.org/officeDocument/2006/relationships/hyperlink" Target="https://techcombank.com/thong-tin/blog/1-trieu-do-bang-bao-nhieu-tien-viet" TargetMode="External"/><Relationship Id="rId2214" Type="http://schemas.openxmlformats.org/officeDocument/2006/relationships/hyperlink" Target="https://techcombank.com/thong-tin/blog/vay-15-trieu" TargetMode="External"/><Relationship Id="rId1368" Type="http://schemas.openxmlformats.org/officeDocument/2006/relationships/hyperlink" Target="https://techcombank.com/thong-tin/blog/gui-tiet-kiem-ngoai-te" TargetMode="External"/><Relationship Id="rId2215" Type="http://schemas.openxmlformats.org/officeDocument/2006/relationships/hyperlink" Target="https://techcombank.com/thong-tin/blog/lai-suat-vay-tieu-dung" TargetMode="External"/><Relationship Id="rId1369" Type="http://schemas.openxmlformats.org/officeDocument/2006/relationships/hyperlink" Target="https://techcombank.com/thong-tin/blog/chuyen-tien-dinh-cu" TargetMode="External"/><Relationship Id="rId2216" Type="http://schemas.openxmlformats.org/officeDocument/2006/relationships/hyperlink" Target="https://techcombank.com/thong-tin/blog/lam-ho-so-tra-gop-dien-thoai" TargetMode="External"/><Relationship Id="rId2217" Type="http://schemas.openxmlformats.org/officeDocument/2006/relationships/hyperlink" Target="https://techcombank.com/thong-tin/blog/vay-30-trieu" TargetMode="External"/><Relationship Id="rId2218" Type="http://schemas.openxmlformats.org/officeDocument/2006/relationships/hyperlink" Target="https://techcombank.com/thong-tin/blog/thu-tuc-vay-von-ngan-hang-de-xay-nha" TargetMode="External"/><Relationship Id="rId2219" Type="http://schemas.openxmlformats.org/officeDocument/2006/relationships/hyperlink" Target="https://techcombank.com/thong-tin/blog/cach-su-dung-the-tin-dung" TargetMode="External"/><Relationship Id="rId778" Type="http://schemas.openxmlformats.org/officeDocument/2006/relationships/hyperlink" Target="https://techcombank.com/thong-tin/blog/mo-the-tin-dung-han-muc-cao" TargetMode="External"/><Relationship Id="rId777" Type="http://schemas.openxmlformats.org/officeDocument/2006/relationships/hyperlink" Target="https://techcombank.com/thong-tin/blog/the-tin-dung-techcombank-visa-eco" TargetMode="External"/><Relationship Id="rId776" Type="http://schemas.openxmlformats.org/officeDocument/2006/relationships/hyperlink" Target="https://techcombank.com/thong-tin/blog/the-tin-dung-co-chuyen-khoan-duoc-khong" TargetMode="External"/><Relationship Id="rId775" Type="http://schemas.openxmlformats.org/officeDocument/2006/relationships/hyperlink" Target="https://techcombank.com/thong-tin/blog/uu-dai-mo-the-tin-dung" TargetMode="External"/><Relationship Id="rId779" Type="http://schemas.openxmlformats.org/officeDocument/2006/relationships/hyperlink" Target="https://techcombank.com/thong-tin/blog/uu-dai-the-tin-dung" TargetMode="External"/><Relationship Id="rId770" Type="http://schemas.openxmlformats.org/officeDocument/2006/relationships/hyperlink" Target="https://techcombank.com/thong-tin/blog/the-ghi-no-la-gi" TargetMode="External"/><Relationship Id="rId1360" Type="http://schemas.openxmlformats.org/officeDocument/2006/relationships/hyperlink" Target="https://techcombank.com/thong-tin/blog/chuyen-tien-di-uc" TargetMode="External"/><Relationship Id="rId1361" Type="http://schemas.openxmlformats.org/officeDocument/2006/relationships/hyperlink" Target="https://techcombank.com/thong-tin/blog/1000-yen-bang-bao-nhieu-tien-viet" TargetMode="External"/><Relationship Id="rId1362" Type="http://schemas.openxmlformats.org/officeDocument/2006/relationships/hyperlink" Target="https://techcombank.com/thong-tin/blog/xu-huong-ty-gia-usd" TargetMode="External"/><Relationship Id="rId774" Type="http://schemas.openxmlformats.org/officeDocument/2006/relationships/hyperlink" Target="https://techcombank.com/thong-tin/blog/thanh-toan-online-bang-the-tin-dung" TargetMode="External"/><Relationship Id="rId1363" Type="http://schemas.openxmlformats.org/officeDocument/2006/relationships/hyperlink" Target="https://techcombank.com/thong-tin/blog/dieu-kien-mua-usd-tu-ngan-hang" TargetMode="External"/><Relationship Id="rId2210" Type="http://schemas.openxmlformats.org/officeDocument/2006/relationships/hyperlink" Target="https://techcombank.com/thong-tin/blog/thanh-toan-tra-gop-qua-the-tin-dung" TargetMode="External"/><Relationship Id="rId773" Type="http://schemas.openxmlformats.org/officeDocument/2006/relationships/hyperlink" Target="https://techcombank.com/thong-tin/blog/mo-the-ghi-no" TargetMode="External"/><Relationship Id="rId1364" Type="http://schemas.openxmlformats.org/officeDocument/2006/relationships/hyperlink" Target="https://techcombank.com/thong-tin/blog/han-muc-mua-ngoai-te-khi-di-du-lich" TargetMode="External"/><Relationship Id="rId2211" Type="http://schemas.openxmlformats.org/officeDocument/2006/relationships/hyperlink" Target="https://techcombank.com/thong-tin/blog/tra-gop-lazada" TargetMode="External"/><Relationship Id="rId772" Type="http://schemas.openxmlformats.org/officeDocument/2006/relationships/hyperlink" Target="https://techcombank.com/thong-tin/blog/no-xau-co-lam-the-visa-duoc-khong" TargetMode="External"/><Relationship Id="rId1365" Type="http://schemas.openxmlformats.org/officeDocument/2006/relationships/hyperlink" Target="https://techcombank.com/thong-tin/blog/ty-gia-cac-ngan-hang" TargetMode="External"/><Relationship Id="rId2212" Type="http://schemas.openxmlformats.org/officeDocument/2006/relationships/hyperlink" Target="https://techcombank.com/thong-tin/blog/lai-suat-vay-the-chap-so-do" TargetMode="External"/><Relationship Id="rId771" Type="http://schemas.openxmlformats.org/officeDocument/2006/relationships/hyperlink" Target="https://techcombank.com/thong-tin/blog/dao-han-the-tin-dung" TargetMode="External"/><Relationship Id="rId1366" Type="http://schemas.openxmlformats.org/officeDocument/2006/relationships/hyperlink" Target="https://techcombank.com/thong-tin/blog/di-du-lich-nuoc-ngoai-can-chuan-bi-gi" TargetMode="External"/><Relationship Id="rId2213" Type="http://schemas.openxmlformats.org/officeDocument/2006/relationships/hyperlink" Target="https://techcombank.com/thong-tin/blog/nen-mua-xe-tra-gop-hay-tra-thang" TargetMode="External"/><Relationship Id="rId2247" Type="http://schemas.openxmlformats.org/officeDocument/2006/relationships/hyperlink" Target="https://techcombank.com/thong-tin/blog/nen-de-tien-trong-the-hay-gui-tiet-kiem" TargetMode="External"/><Relationship Id="rId2248" Type="http://schemas.openxmlformats.org/officeDocument/2006/relationships/hyperlink" Target="https://techcombank.com/thong-tin/blog/lai-suat-vay-kinh-doanh" TargetMode="External"/><Relationship Id="rId2249" Type="http://schemas.openxmlformats.org/officeDocument/2006/relationships/hyperlink" Target="https://techcombank.com/thong-tin/blog/cong-thuc-tinh-lai-suat-thuc" TargetMode="External"/><Relationship Id="rId327" Type="http://schemas.openxmlformats.org/officeDocument/2006/relationships/hyperlink" Target="https://techcombank.com/thong-tin/blog/loa-ting-ting" TargetMode="External"/><Relationship Id="rId326" Type="http://schemas.openxmlformats.org/officeDocument/2006/relationships/hyperlink" Target="https://techcombank.com/thong-tin/blog/cach-tao-ma-qr-code-mien-phi" TargetMode="External"/><Relationship Id="rId325" Type="http://schemas.openxmlformats.org/officeDocument/2006/relationships/hyperlink" Target="https://techcombank.com/thong-tin/blog/cach-su-dung-tai-khoan-cong-ty" TargetMode="External"/><Relationship Id="rId324" Type="http://schemas.openxmlformats.org/officeDocument/2006/relationships/hyperlink" Target="https://techcombank.com/thong-tin/blog/cdm" TargetMode="External"/><Relationship Id="rId329" Type="http://schemas.openxmlformats.org/officeDocument/2006/relationships/hyperlink" Target="https://techcombank.com/thong-tin/blog/uu-diem-cua-blockchain" TargetMode="External"/><Relationship Id="rId1390" Type="http://schemas.openxmlformats.org/officeDocument/2006/relationships/hyperlink" Target="https://techcombank.com/thong-tin/blog/chuyen-tien-tu-my-ve-viet-nam" TargetMode="External"/><Relationship Id="rId328" Type="http://schemas.openxmlformats.org/officeDocument/2006/relationships/hyperlink" Target="https://techcombank.com/thong-tin/blog/cach-lay-lai-tien-da-chuyen-khoan-khi-bi-lua" TargetMode="External"/><Relationship Id="rId1391" Type="http://schemas.openxmlformats.org/officeDocument/2006/relationships/hyperlink" Target="https://techcombank.com/thong-tin/blog/1000-won-bang-bao-nhieu-tien-viet" TargetMode="External"/><Relationship Id="rId1392" Type="http://schemas.openxmlformats.org/officeDocument/2006/relationships/hyperlink" Target="https://techcombank.com/thong-tin/blog/tien-dai-loan" TargetMode="External"/><Relationship Id="rId1393" Type="http://schemas.openxmlformats.org/officeDocument/2006/relationships/hyperlink" Target="https://techcombank.com/thong-tin/blog/tien-trung-quoc" TargetMode="External"/><Relationship Id="rId2240" Type="http://schemas.openxmlformats.org/officeDocument/2006/relationships/hyperlink" Target="https://techcombank.com/thong-tin/blog/vay-mua-dien-thoai" TargetMode="External"/><Relationship Id="rId1394" Type="http://schemas.openxmlformats.org/officeDocument/2006/relationships/hyperlink" Target="https://techcombank.com/thong-tin/blog/1-van-te-bang-bao-nhieu-tien-viet" TargetMode="External"/><Relationship Id="rId2241" Type="http://schemas.openxmlformats.org/officeDocument/2006/relationships/hyperlink" Target="https://techcombank.com/thong-tin/blog/vay-the-chap-hop-dong-mua-ban-can-ho" TargetMode="External"/><Relationship Id="rId1395" Type="http://schemas.openxmlformats.org/officeDocument/2006/relationships/hyperlink" Target="https://techcombank.com/thong-tin/blog/1-cent-bang-bao-nhieu-tien-viet" TargetMode="External"/><Relationship Id="rId2242" Type="http://schemas.openxmlformats.org/officeDocument/2006/relationships/hyperlink" Target="https://techcombank.com/thong-tin/blog/lai-suat-cho-vay-doanh-nghiep" TargetMode="External"/><Relationship Id="rId323" Type="http://schemas.openxmlformats.org/officeDocument/2006/relationships/hyperlink" Target="https://techcombank.com/thong-tin/blog/remittance-la-gi" TargetMode="External"/><Relationship Id="rId1396" Type="http://schemas.openxmlformats.org/officeDocument/2006/relationships/hyperlink" Target="https://techcombank.com/thong-tin/blog/1000-te-bang-bao-nhieu-tien-viet" TargetMode="External"/><Relationship Id="rId2243" Type="http://schemas.openxmlformats.org/officeDocument/2006/relationships/hyperlink" Target="https://techcombank.com/thong-tin/blog/cach-tiet-kiem-100-trieu-1-nam" TargetMode="External"/><Relationship Id="rId322" Type="http://schemas.openxmlformats.org/officeDocument/2006/relationships/hyperlink" Target="https://techcombank.com/thong-tin/blog/luu-y-khi-chuyen-tien-vao-tai-khoan-cong-ty" TargetMode="External"/><Relationship Id="rId1397" Type="http://schemas.openxmlformats.org/officeDocument/2006/relationships/hyperlink" Target="https://techcombank.com/thong-tin/blog/100-riel-bang-bao-nhieu-tien-viet-nam" TargetMode="External"/><Relationship Id="rId2244" Type="http://schemas.openxmlformats.org/officeDocument/2006/relationships/hyperlink" Target="https://techcombank.com/thong-tin/blog/co-50-trieu-nen-mua-vang-hay-gui-tiet-kiem" TargetMode="External"/><Relationship Id="rId321" Type="http://schemas.openxmlformats.org/officeDocument/2006/relationships/hyperlink" Target="https://techcombank.com/thong-tin/blog/ma-qr-ngan-hang-khong-hop-le" TargetMode="External"/><Relationship Id="rId1398" Type="http://schemas.openxmlformats.org/officeDocument/2006/relationships/hyperlink" Target="https://techcombank.com/thong-tin/blog/tien-malaysia" TargetMode="External"/><Relationship Id="rId2245" Type="http://schemas.openxmlformats.org/officeDocument/2006/relationships/hyperlink" Target="https://techcombank.com/thong-tin/blog/gui-tiet-kiem-tich-luy-la-gi" TargetMode="External"/><Relationship Id="rId320" Type="http://schemas.openxmlformats.org/officeDocument/2006/relationships/hyperlink" Target="https://techcombank.com/thong-tin/blog/loa-thong-bao-chuyen-khoan" TargetMode="External"/><Relationship Id="rId1399" Type="http://schemas.openxmlformats.org/officeDocument/2006/relationships/hyperlink" Target="https://techcombank.com/thong-tin/blog/tien-indonesia" TargetMode="External"/><Relationship Id="rId2246" Type="http://schemas.openxmlformats.org/officeDocument/2006/relationships/hyperlink" Target="https://techcombank.com/thong-tin/blog/quy-trinh-gui-tien-tiet-kiem" TargetMode="External"/><Relationship Id="rId1389" Type="http://schemas.openxmlformats.org/officeDocument/2006/relationships/hyperlink" Target="https://techcombank.com/thong-tin/blog/tien-lao" TargetMode="External"/><Relationship Id="rId2236" Type="http://schemas.openxmlformats.org/officeDocument/2006/relationships/hyperlink" Target="https://techcombank.com/thong-tin/blog/quy-trinh-cho-vay-tieu-dung" TargetMode="External"/><Relationship Id="rId2237" Type="http://schemas.openxmlformats.org/officeDocument/2006/relationships/hyperlink" Target="https://techcombank.com/thong-tin/blog/vay-20-trieu" TargetMode="External"/><Relationship Id="rId2238" Type="http://schemas.openxmlformats.org/officeDocument/2006/relationships/hyperlink" Target="https://techcombank.com/thong-tin/blog/kinh-nghiem-vay-tien-mua-nha" TargetMode="External"/><Relationship Id="rId2239" Type="http://schemas.openxmlformats.org/officeDocument/2006/relationships/hyperlink" Target="https://techcombank.com/thong-tin/blog/vay-tin-chap-la-gi" TargetMode="External"/><Relationship Id="rId316" Type="http://schemas.openxmlformats.org/officeDocument/2006/relationships/hyperlink" Target="https://techcombank.com/thong-tin/blog/chuyen-khoan-lien-ngan-hang" TargetMode="External"/><Relationship Id="rId315" Type="http://schemas.openxmlformats.org/officeDocument/2006/relationships/hyperlink" Target="https://techcombank.com/thong-tin/blog/cach-chuyen-tien" TargetMode="External"/><Relationship Id="rId799" Type="http://schemas.openxmlformats.org/officeDocument/2006/relationships/hyperlink" Target="https://techcombank.com/thong-tin/blog/cach-su-dung-the-tin-dung" TargetMode="External"/><Relationship Id="rId314" Type="http://schemas.openxmlformats.org/officeDocument/2006/relationships/hyperlink" Target="https://techcombank.com/thong-tin/blog/ty-gia-la-gi" TargetMode="External"/><Relationship Id="rId798" Type="http://schemas.openxmlformats.org/officeDocument/2006/relationships/hyperlink" Target="https://techcombank.com/thong-tin/blog/lam-the-visa-online" TargetMode="External"/><Relationship Id="rId313" Type="http://schemas.openxmlformats.org/officeDocument/2006/relationships/hyperlink" Target="https://techcombank.com/thong-tin/blog/ty-gia-cac-ngan-hang" TargetMode="External"/><Relationship Id="rId797" Type="http://schemas.openxmlformats.org/officeDocument/2006/relationships/hyperlink" Target="https://techcombank.com/thong-tin/blog/hoc-sinh-sinh-vien-nen-lam-the-ngan-hang-nao" TargetMode="External"/><Relationship Id="rId319" Type="http://schemas.openxmlformats.org/officeDocument/2006/relationships/hyperlink" Target="https://techcombank.com/thong-tin/blog/ngan-hang-thu-huong-la-gi" TargetMode="External"/><Relationship Id="rId318" Type="http://schemas.openxmlformats.org/officeDocument/2006/relationships/hyperlink" Target="https://techcombank.com/thong-tin/blog/chuyen-nham-tien-co-lay-lai-duoc-khong" TargetMode="External"/><Relationship Id="rId317" Type="http://schemas.openxmlformats.org/officeDocument/2006/relationships/hyperlink" Target="https://techcombank.com/thong-tin/blog/ma-giao-dich-la-gi" TargetMode="External"/><Relationship Id="rId1380" Type="http://schemas.openxmlformats.org/officeDocument/2006/relationships/hyperlink" Target="https://techcombank.com/thong-tin/blog/dinar-kuwait" TargetMode="External"/><Relationship Id="rId792" Type="http://schemas.openxmlformats.org/officeDocument/2006/relationships/hyperlink" Target="https://techcombank.com/thong-tin/blog/cic-la-gi" TargetMode="External"/><Relationship Id="rId1381" Type="http://schemas.openxmlformats.org/officeDocument/2006/relationships/hyperlink" Target="https://techcombank.com/thong-tin/blog/phi-chuyen-doi-ngoai-te" TargetMode="External"/><Relationship Id="rId791" Type="http://schemas.openxmlformats.org/officeDocument/2006/relationships/hyperlink" Target="https://techcombank.com/thong-tin/blog/the-tin-dung-co-ma-pin-khong" TargetMode="External"/><Relationship Id="rId1382" Type="http://schemas.openxmlformats.org/officeDocument/2006/relationships/hyperlink" Target="https://techcombank.com/thong-tin/blog/chuyen-tien-tu-han-sang-viet-nam" TargetMode="External"/><Relationship Id="rId790" Type="http://schemas.openxmlformats.org/officeDocument/2006/relationships/hyperlink" Target="https://techcombank.com/thong-tin/blog/tra-gop-lazada" TargetMode="External"/><Relationship Id="rId1383" Type="http://schemas.openxmlformats.org/officeDocument/2006/relationships/hyperlink" Target="https://techcombank.com/thong-tin/blog/chuyen-tien-tu-nhat-ve-viet-nam" TargetMode="External"/><Relationship Id="rId2230" Type="http://schemas.openxmlformats.org/officeDocument/2006/relationships/hyperlink" Target="https://techcombank.com/thong-tin/blog/lai-suat-vay-mua-o-to" TargetMode="External"/><Relationship Id="rId1384" Type="http://schemas.openxmlformats.org/officeDocument/2006/relationships/hyperlink" Target="https://techcombank.com/thong-tin/blog/tien-singapore" TargetMode="External"/><Relationship Id="rId2231" Type="http://schemas.openxmlformats.org/officeDocument/2006/relationships/hyperlink" Target="https://techcombank.com/thong-tin/blog/no-xau-nhom-2" TargetMode="External"/><Relationship Id="rId312" Type="http://schemas.openxmlformats.org/officeDocument/2006/relationships/hyperlink" Target="https://techcombank.com/thong-tin/blog/viet-kieu-co-mo-duoc-tai-khoan-ngan-hang-khong" TargetMode="External"/><Relationship Id="rId796" Type="http://schemas.openxmlformats.org/officeDocument/2006/relationships/hyperlink" Target="https://techcombank.com/thong-tin/blog/lam-ho-so-tra-gop-dien-thoai" TargetMode="External"/><Relationship Id="rId1385" Type="http://schemas.openxmlformats.org/officeDocument/2006/relationships/hyperlink" Target="https://techcombank.com/thong-tin/blog/tien-thai-lan" TargetMode="External"/><Relationship Id="rId2232" Type="http://schemas.openxmlformats.org/officeDocument/2006/relationships/hyperlink" Target="https://techcombank.com/thong-tin/blog/lai-suat-vay-tin-chap" TargetMode="External"/><Relationship Id="rId311" Type="http://schemas.openxmlformats.org/officeDocument/2006/relationships/hyperlink" Target="https://techcombank.com/thong-tin/blog/vip-ngan-hang" TargetMode="External"/><Relationship Id="rId795" Type="http://schemas.openxmlformats.org/officeDocument/2006/relationships/hyperlink" Target="https://techcombank.com/thong-tin/blog/the-tin-dung-noi-dia" TargetMode="External"/><Relationship Id="rId1386" Type="http://schemas.openxmlformats.org/officeDocument/2006/relationships/hyperlink" Target="https://techcombank.com/thong-tin/blog/tien-nhat" TargetMode="External"/><Relationship Id="rId2233" Type="http://schemas.openxmlformats.org/officeDocument/2006/relationships/hyperlink" Target="https://techcombank.com/thong-tin/blog/co-100-trieu-co-mua-nen-mua-tra-gop" TargetMode="External"/><Relationship Id="rId310" Type="http://schemas.openxmlformats.org/officeDocument/2006/relationships/hyperlink" Target="https://techcombank.com/thong-tin/blog/bao-hiem-vat-chat-xe-o-to" TargetMode="External"/><Relationship Id="rId794" Type="http://schemas.openxmlformats.org/officeDocument/2006/relationships/hyperlink" Target="https://techcombank.com/thong-tin/blog/sao-ke-the-tin-dung-la-gi" TargetMode="External"/><Relationship Id="rId1387" Type="http://schemas.openxmlformats.org/officeDocument/2006/relationships/hyperlink" Target="https://techcombank.com/thong-tin/blog/1-man-bang-bao-nhieu-tien-viet" TargetMode="External"/><Relationship Id="rId2234" Type="http://schemas.openxmlformats.org/officeDocument/2006/relationships/hyperlink" Target="https://techcombank.com/thong-tin/blog/bao-hiem-vat-chat-xe-o-to" TargetMode="External"/><Relationship Id="rId793" Type="http://schemas.openxmlformats.org/officeDocument/2006/relationships/hyperlink" Target="https://techcombank.com/thong-tin/blog/the-mastercard-la-gi" TargetMode="External"/><Relationship Id="rId1388" Type="http://schemas.openxmlformats.org/officeDocument/2006/relationships/hyperlink" Target="https://techcombank.com/thong-tin/blog/chuyen-tien-di-uc" TargetMode="External"/><Relationship Id="rId2235" Type="http://schemas.openxmlformats.org/officeDocument/2006/relationships/hyperlink" Target="https://techcombank.com/thong-tin/blog/han-muc-tra-gop-the-tin-dung" TargetMode="External"/><Relationship Id="rId297" Type="http://schemas.openxmlformats.org/officeDocument/2006/relationships/hyperlink" Target="https://techcombank.com/thong-tin/blog/uu-dai-mo-the-tin-dung" TargetMode="External"/><Relationship Id="rId296" Type="http://schemas.openxmlformats.org/officeDocument/2006/relationships/hyperlink" Target="https://techcombank.com/thong-tin/blog/lai-suat-tiet-kiem" TargetMode="External"/><Relationship Id="rId295" Type="http://schemas.openxmlformats.org/officeDocument/2006/relationships/hyperlink" Target="https://techcombank.com/thong-tin/blog/lam-the-visa-o-dau" TargetMode="External"/><Relationship Id="rId294" Type="http://schemas.openxmlformats.org/officeDocument/2006/relationships/hyperlink" Target="https://techcombank.com/thong-tin/blog/vay-mua-xe-tra-gop-ngan-hang-nao-tot-nhat" TargetMode="External"/><Relationship Id="rId299" Type="http://schemas.openxmlformats.org/officeDocument/2006/relationships/hyperlink" Target="https://techcombank.com/thong-tin/blog/cach-tinh-lai-suat-tien-gui-tiet-kiem" TargetMode="External"/><Relationship Id="rId298" Type="http://schemas.openxmlformats.org/officeDocument/2006/relationships/hyperlink" Target="https://techcombank.com/thong-tin/blog/app-ngan-hang" TargetMode="External"/><Relationship Id="rId271" Type="http://schemas.openxmlformats.org/officeDocument/2006/relationships/hyperlink" Target="https://techcombank.com/thong-tin/blog/so-du-tai-khoan-thanh-toan" TargetMode="External"/><Relationship Id="rId270" Type="http://schemas.openxmlformats.org/officeDocument/2006/relationships/hyperlink" Target="https://techcombank.com/thong-tin/blog/tai-khoan-ngan-hang-duoi-50k-co-bi-khoa-khong" TargetMode="External"/><Relationship Id="rId269" Type="http://schemas.openxmlformats.org/officeDocument/2006/relationships/hyperlink" Target="https://techcombank.com/thong-tin/blog/gui-tiet-kiem-hang-thang" TargetMode="External"/><Relationship Id="rId264" Type="http://schemas.openxmlformats.org/officeDocument/2006/relationships/hyperlink" Target="https://techcombank.com/thong-tin/blog/mo-tai-khoan-ngan-hang-trung-so-dien-thoai" TargetMode="External"/><Relationship Id="rId263" Type="http://schemas.openxmlformats.org/officeDocument/2006/relationships/hyperlink" Target="https://techcombank.com/thong-tin/blog/tai-khoan-ngan-hang-con-0-dong-co-sao-khong" TargetMode="External"/><Relationship Id="rId262" Type="http://schemas.openxmlformats.org/officeDocument/2006/relationships/hyperlink" Target="https://techcombank.com/thong-tin/blog/ho-kinh-doanh-can-gi-o-tai-khoan-ngan-hang" TargetMode="External"/><Relationship Id="rId261" Type="http://schemas.openxmlformats.org/officeDocument/2006/relationships/hyperlink" Target="https://techcombank.com/thong-tin/blog/mo-tai-khoan-tiet-kiem-cho-con" TargetMode="External"/><Relationship Id="rId268" Type="http://schemas.openxmlformats.org/officeDocument/2006/relationships/hyperlink" Target="https://techcombank.com/thong-tin/blog/99999-co-y-nghia-gi" TargetMode="External"/><Relationship Id="rId267" Type="http://schemas.openxmlformats.org/officeDocument/2006/relationships/hyperlink" Target="https://techcombank.com/thong-tin/blog/nho-nguoi-than-mo-tai-khoan-ngan-hang" TargetMode="External"/><Relationship Id="rId266" Type="http://schemas.openxmlformats.org/officeDocument/2006/relationships/hyperlink" Target="https://techcombank.com/thong-tin/blog/so-the-ngan-hang" TargetMode="External"/><Relationship Id="rId265" Type="http://schemas.openxmlformats.org/officeDocument/2006/relationships/hyperlink" Target="https://techcombank.com/thong-tin/blog/tai-khoan-ngan-hang-bi-khoa" TargetMode="External"/><Relationship Id="rId260" Type="http://schemas.openxmlformats.org/officeDocument/2006/relationships/hyperlink" Target="https://techcombank.com/thong-tin/blog/mat-so-dien-thoai-dang-ky-tai-khoan-ngan-hang" TargetMode="External"/><Relationship Id="rId259" Type="http://schemas.openxmlformats.org/officeDocument/2006/relationships/hyperlink" Target="https://techcombank.com/thong-tin/blog/mo-tai-khoan-ngan-hang-duoi-18-tuoi" TargetMode="External"/><Relationship Id="rId258" Type="http://schemas.openxmlformats.org/officeDocument/2006/relationships/hyperlink" Target="https://techcombank.com/thong-tin/blog/mau-mo-tai-khoan-doanh-nghiep-techcombank" TargetMode="External"/><Relationship Id="rId2290" Type="http://schemas.openxmlformats.org/officeDocument/2006/relationships/hyperlink" Target="https://techcombank.com/thong-tin/blog/vay-thau-chi-bang-so-tiet-kiem" TargetMode="External"/><Relationship Id="rId2291" Type="http://schemas.openxmlformats.org/officeDocument/2006/relationships/hyperlink" Target="https://techcombank.com/thong-tin/blog/lai-suat-vay-ngan-hang" TargetMode="External"/><Relationship Id="rId2292" Type="http://schemas.openxmlformats.org/officeDocument/2006/relationships/hyperlink" Target="https://techcombank.com/thong-tin/blog/gui-tiet-kiem-online-co-rut-truoc-han-duoc-khong" TargetMode="External"/><Relationship Id="rId2293" Type="http://schemas.openxmlformats.org/officeDocument/2006/relationships/hyperlink" Target="https://techcombank.com/thong-tin/blog/gui-tiet-kiem-online-quay-vong-ca-goc-va-lai" TargetMode="External"/><Relationship Id="rId253" Type="http://schemas.openxmlformats.org/officeDocument/2006/relationships/hyperlink" Target="https://techcombank.com/thong-tin/blog/88-la-gi" TargetMode="External"/><Relationship Id="rId2294" Type="http://schemas.openxmlformats.org/officeDocument/2006/relationships/hyperlink" Target="https://techcombank.com/thong-tin/blog/chung-chi-tien-gui-khac-gi-so-tiet-kiem" TargetMode="External"/><Relationship Id="rId252" Type="http://schemas.openxmlformats.org/officeDocument/2006/relationships/hyperlink" Target="https://techcombank.com/thong-tin/blog/tai-khoan-ngan-hang-chua-toi-da-bao-nhieu-tien" TargetMode="External"/><Relationship Id="rId2295" Type="http://schemas.openxmlformats.org/officeDocument/2006/relationships/hyperlink" Target="https://techcombank.com/thong-tin/blog/tich-diem-doi-qua" TargetMode="External"/><Relationship Id="rId251" Type="http://schemas.openxmlformats.org/officeDocument/2006/relationships/hyperlink" Target="https://techcombank.com/thong-tin/blog/lo-so-tai-khoan-ngan-hang-co-sao-khong" TargetMode="External"/><Relationship Id="rId2296" Type="http://schemas.openxmlformats.org/officeDocument/2006/relationships/hyperlink" Target="https://techcombank.com/thong-tin/blog/so-sanh-gui-tiet-kiem-online-va-tai-quay" TargetMode="External"/><Relationship Id="rId250" Type="http://schemas.openxmlformats.org/officeDocument/2006/relationships/hyperlink" Target="https://techcombank.com/thong-tin/blog/cach-lien-ket-tai-khoan-ngan-hang-voi-vneid" TargetMode="External"/><Relationship Id="rId2297" Type="http://schemas.openxmlformats.org/officeDocument/2006/relationships/hyperlink" Target="https://techcombank.com/thong-tin/blog/lai-suat-vay-tin-chap" TargetMode="External"/><Relationship Id="rId257" Type="http://schemas.openxmlformats.org/officeDocument/2006/relationships/hyperlink" Target="https://techcombank.com/thong-tin/blog/cach-dong-tien-dien-qua-tai-khoan-ngan-hang" TargetMode="External"/><Relationship Id="rId2298" Type="http://schemas.openxmlformats.org/officeDocument/2006/relationships/hyperlink" Target="https://techcombank.com/thong-tin/blog/cach-tiet-kiem-tien-sinh-loi" TargetMode="External"/><Relationship Id="rId256" Type="http://schemas.openxmlformats.org/officeDocument/2006/relationships/hyperlink" Target="https://techcombank.com/thong-tin/blog/cach-chon-so-tai-khoan-dep" TargetMode="External"/><Relationship Id="rId2299" Type="http://schemas.openxmlformats.org/officeDocument/2006/relationships/hyperlink" Target="https://techcombank.com/thong-tin/blog/vay-20-trieu" TargetMode="External"/><Relationship Id="rId255" Type="http://schemas.openxmlformats.org/officeDocument/2006/relationships/hyperlink" Target="https://techcombank.com/thong-tin/blog/thue-thu-nhap-ca-nhan" TargetMode="External"/><Relationship Id="rId254" Type="http://schemas.openxmlformats.org/officeDocument/2006/relationships/hyperlink" Target="https://techcombank.com/thong-tin/blog/dang-ky-nhieu-tai-khoan-ngan-hang-co-sao-khong" TargetMode="External"/><Relationship Id="rId293" Type="http://schemas.openxmlformats.org/officeDocument/2006/relationships/hyperlink" Target="https://techcombank.com/thong-tin/blog/su-hop-tac-cua-ngan-hang-va-fintech-tren-hanh-trinh-chuyen-doi-so" TargetMode="External"/><Relationship Id="rId292" Type="http://schemas.openxmlformats.org/officeDocument/2006/relationships/hyperlink" Target="https://techcombank.com/thong-tin/blog/nen-vay-the-chap-ngan-hang-nao" TargetMode="External"/><Relationship Id="rId291" Type="http://schemas.openxmlformats.org/officeDocument/2006/relationships/hyperlink" Target="https://techcombank.com/thong-tin/blog/nen-vay-tin-chap-o-dau" TargetMode="External"/><Relationship Id="rId290" Type="http://schemas.openxmlformats.org/officeDocument/2006/relationships/hyperlink" Target="https://techcombank.com/thong-tin/blog/dieu-kien-vay-von-ngan-hang" TargetMode="External"/><Relationship Id="rId286" Type="http://schemas.openxmlformats.org/officeDocument/2006/relationships/hyperlink" Target="https://techcombank.com/thong-tin/blog/gui-tien-ngan-hang-co-an-toan-khong" TargetMode="External"/><Relationship Id="rId285" Type="http://schemas.openxmlformats.org/officeDocument/2006/relationships/hyperlink" Target="https://techcombank.com/thong-tin/blog/app-ngan-hang-uy-tin" TargetMode="External"/><Relationship Id="rId284" Type="http://schemas.openxmlformats.org/officeDocument/2006/relationships/hyperlink" Target="https://techcombank.com/thong-tin/blog/viet-kieu-co-mo-duoc-tai-khoan-ngan-hang-khong" TargetMode="External"/><Relationship Id="rId283" Type="http://schemas.openxmlformats.org/officeDocument/2006/relationships/hyperlink" Target="https://techcombank.com/thong-tin/blog/chi-phi-mo-tai-khoan-ngan-hang-cho-cong-ty" TargetMode="External"/><Relationship Id="rId289" Type="http://schemas.openxmlformats.org/officeDocument/2006/relationships/hyperlink" Target="https://techcombank.com/thong-tin/blog/gia-tri-thuong-hieu" TargetMode="External"/><Relationship Id="rId288" Type="http://schemas.openxmlformats.org/officeDocument/2006/relationships/hyperlink" Target="https://techcombank.com/thong-tin/blog/gio-lam-viec-ngan-hang" TargetMode="External"/><Relationship Id="rId287" Type="http://schemas.openxmlformats.org/officeDocument/2006/relationships/hyperlink" Target="https://techcombank.com/thong-tin/blog/nen-mo-tai-khoan-ngan-hang-nao-cho-doanh-nghiep" TargetMode="External"/><Relationship Id="rId282" Type="http://schemas.openxmlformats.org/officeDocument/2006/relationships/hyperlink" Target="https://techcombank.com/thong-tin/blog/vip-ngan-hang" TargetMode="External"/><Relationship Id="rId281" Type="http://schemas.openxmlformats.org/officeDocument/2006/relationships/hyperlink" Target="https://techcombank.com/thong-tin/blog/so-tai-khoan-ngan-hang" TargetMode="External"/><Relationship Id="rId280" Type="http://schemas.openxmlformats.org/officeDocument/2006/relationships/hyperlink" Target="https://techcombank.com/thong-tin/blog/tai-khoan-tiet-kiem" TargetMode="External"/><Relationship Id="rId275" Type="http://schemas.openxmlformats.org/officeDocument/2006/relationships/hyperlink" Target="https://techcombank.com/thong-tin/blog/cach-bao-ve-tai-khoan" TargetMode="External"/><Relationship Id="rId274" Type="http://schemas.openxmlformats.org/officeDocument/2006/relationships/hyperlink" Target="https://techcombank.com/thong-tin/blog/ten-dang-nhap-tai-khoan-ngan-hang-la-gi" TargetMode="External"/><Relationship Id="rId273" Type="http://schemas.openxmlformats.org/officeDocument/2006/relationships/hyperlink" Target="https://techcombank.com/thong-tin/blog/chi-tra-luong-huu" TargetMode="External"/><Relationship Id="rId272" Type="http://schemas.openxmlformats.org/officeDocument/2006/relationships/hyperlink" Target="https://techcombank.com/thong-tin/blog/mo-tai-khoan-ngan-hang-bang-so-dien-thoai" TargetMode="External"/><Relationship Id="rId279" Type="http://schemas.openxmlformats.org/officeDocument/2006/relationships/hyperlink" Target="https://techcombank.com/thong-tin/blog/bao-nhieu-tuoi-duoc-mo-tai-khoan-ngan-hang" TargetMode="External"/><Relationship Id="rId278" Type="http://schemas.openxmlformats.org/officeDocument/2006/relationships/hyperlink" Target="https://techcombank.com/thong-tin/blog/thanh-toan-tra-sau-viettel-bang-tai-khoan-ngan-hang" TargetMode="External"/><Relationship Id="rId277" Type="http://schemas.openxmlformats.org/officeDocument/2006/relationships/hyperlink" Target="https://techcombank.com/thong-tin/blog/cach-kiem-tra-tai-khoan-ngan-hang" TargetMode="External"/><Relationship Id="rId276" Type="http://schemas.openxmlformats.org/officeDocument/2006/relationships/hyperlink" Target="https://techcombank.com/thong-tin/blog/cach-sao-ke-tai-khoan-ngan-hang" TargetMode="External"/><Relationship Id="rId1851" Type="http://schemas.openxmlformats.org/officeDocument/2006/relationships/hyperlink" Target="https://techcombank.com/thong-tin/blog/cac-hinh-thuc-vay-von-ngan-hang" TargetMode="External"/><Relationship Id="rId1852" Type="http://schemas.openxmlformats.org/officeDocument/2006/relationships/hyperlink" Target="https://techcombank.com/thong-tin/blog/vay-san-xuat-kinh-doanh" TargetMode="External"/><Relationship Id="rId1853" Type="http://schemas.openxmlformats.org/officeDocument/2006/relationships/hyperlink" Target="https://techcombank.com/thong-tin/blog/vay-the-chap-kinh-doanh" TargetMode="External"/><Relationship Id="rId1854" Type="http://schemas.openxmlformats.org/officeDocument/2006/relationships/hyperlink" Target="https://techcombank.com/thong-tin/blog/vay-the-chap-khong-tra-duoc" TargetMode="External"/><Relationship Id="rId1855" Type="http://schemas.openxmlformats.org/officeDocument/2006/relationships/hyperlink" Target="https://techcombank.com/thong-tin/blog/vay-the-chap-so-bao-hiem-xa-hoi" TargetMode="External"/><Relationship Id="rId1856" Type="http://schemas.openxmlformats.org/officeDocument/2006/relationships/hyperlink" Target="https://techcombank.com/thong-tin/blog/rui-ro-khi-vay-the-chap-ngan-hang" TargetMode="External"/><Relationship Id="rId1857" Type="http://schemas.openxmlformats.org/officeDocument/2006/relationships/hyperlink" Target="https://techcombank.com/thong-tin/blog/vay-tin-chap-va-vay-the-chap" TargetMode="External"/><Relationship Id="rId1858" Type="http://schemas.openxmlformats.org/officeDocument/2006/relationships/hyperlink" Target="https://techcombank.com/thong-tin/blog/lai-suat-vay-the-chap" TargetMode="External"/><Relationship Id="rId1859" Type="http://schemas.openxmlformats.org/officeDocument/2006/relationships/hyperlink" Target="https://techcombank.com/thong-tin/blog/quy-trinh-tat-toan-khoan-vay-the-chap" TargetMode="External"/><Relationship Id="rId1850" Type="http://schemas.openxmlformats.org/officeDocument/2006/relationships/hyperlink" Target="https://techcombank.com/thong-tin/blog/thu-tuc-vay-von-kinh-doanh-nho" TargetMode="External"/><Relationship Id="rId1840" Type="http://schemas.openxmlformats.org/officeDocument/2006/relationships/hyperlink" Target="https://techcombank.com/thong-tin/blog/vay-mua-dien-thoai" TargetMode="External"/><Relationship Id="rId1841" Type="http://schemas.openxmlformats.org/officeDocument/2006/relationships/hyperlink" Target="https://techcombank.com/thong-tin/blog/vay-the-chap-hop-dong-mua-ban-can-ho" TargetMode="External"/><Relationship Id="rId1842" Type="http://schemas.openxmlformats.org/officeDocument/2006/relationships/hyperlink" Target="https://techcombank.com/thong-tin/blog/lai-suat-cho-vay-doanh-nghiep" TargetMode="External"/><Relationship Id="rId1843" Type="http://schemas.openxmlformats.org/officeDocument/2006/relationships/hyperlink" Target="https://techcombank.com/thong-tin/blog/han-muc-vay-the-chap-so-do" TargetMode="External"/><Relationship Id="rId1844" Type="http://schemas.openxmlformats.org/officeDocument/2006/relationships/hyperlink" Target="https://techcombank.com/thong-tin/blog/vay-the-chap-so-hong" TargetMode="External"/><Relationship Id="rId1845" Type="http://schemas.openxmlformats.org/officeDocument/2006/relationships/hyperlink" Target="https://techcombank.com/thong-tin/blog/kinh-nghiem-vay-the-chap-ngan-hang" TargetMode="External"/><Relationship Id="rId1846" Type="http://schemas.openxmlformats.org/officeDocument/2006/relationships/hyperlink" Target="https://techcombank.com/thong-tin/blog/nen-vay-the-chap-ngan-hang-nao" TargetMode="External"/><Relationship Id="rId1847" Type="http://schemas.openxmlformats.org/officeDocument/2006/relationships/hyperlink" Target="https://techcombank.com/thong-tin/blog/vay-the-chap-la-gi" TargetMode="External"/><Relationship Id="rId1848" Type="http://schemas.openxmlformats.org/officeDocument/2006/relationships/hyperlink" Target="https://techcombank.com/thong-tin/blog/vay-von-doanh-nghiep-khong-the-chap" TargetMode="External"/><Relationship Id="rId1849" Type="http://schemas.openxmlformats.org/officeDocument/2006/relationships/hyperlink" Target="https://techcombank.com/thong-tin/blog/vay-ngan-han" TargetMode="External"/><Relationship Id="rId1873" Type="http://schemas.openxmlformats.org/officeDocument/2006/relationships/hyperlink" Target="https://techcombank.com/thong-tin/blog/vay-tra-gop" TargetMode="External"/><Relationship Id="rId1874" Type="http://schemas.openxmlformats.org/officeDocument/2006/relationships/hyperlink" Target="https://techcombank.com/thong-tin/blog/vay-the-chap-hop-dong-mua-ban-can-ho" TargetMode="External"/><Relationship Id="rId1875" Type="http://schemas.openxmlformats.org/officeDocument/2006/relationships/hyperlink" Target="https://techcombank.com/thong-tin/blog/quy-trinh-tat-toan-khoan-vay-the-chap" TargetMode="External"/><Relationship Id="rId1876" Type="http://schemas.openxmlformats.org/officeDocument/2006/relationships/hyperlink" Target="https://techcombank.com/thong-tin/blog/tat-toan" TargetMode="External"/><Relationship Id="rId1877" Type="http://schemas.openxmlformats.org/officeDocument/2006/relationships/hyperlink" Target="https://techcombank.com/thong-tin/blog/the-chap-la-gi" TargetMode="External"/><Relationship Id="rId1878" Type="http://schemas.openxmlformats.org/officeDocument/2006/relationships/hyperlink" Target="https://techcombank.com/thong-tin/blog/vay-the-chap-khong-tra-duoc" TargetMode="External"/><Relationship Id="rId1879" Type="http://schemas.openxmlformats.org/officeDocument/2006/relationships/hyperlink" Target="https://techcombank.com/thong-tin/blog/giai-ngan-vay-the-chap" TargetMode="External"/><Relationship Id="rId1870" Type="http://schemas.openxmlformats.org/officeDocument/2006/relationships/hyperlink" Target="https://techcombank.com/thong-tin/blog/lai-suat-vay-mua-o-to" TargetMode="External"/><Relationship Id="rId1871" Type="http://schemas.openxmlformats.org/officeDocument/2006/relationships/hyperlink" Target="https://techcombank.com/thong-tin/blog/the-chap-la-gi" TargetMode="External"/><Relationship Id="rId1872" Type="http://schemas.openxmlformats.org/officeDocument/2006/relationships/hyperlink" Target="https://techcombank.com/thong-tin/blog/vay-the-chap-khong-chung-minh-thu-nhap" TargetMode="External"/><Relationship Id="rId1862" Type="http://schemas.openxmlformats.org/officeDocument/2006/relationships/hyperlink" Target="https://techcombank.com/thong-tin/blog/ho-so-thu-tuc-xoa-the-chap" TargetMode="External"/><Relationship Id="rId1863" Type="http://schemas.openxmlformats.org/officeDocument/2006/relationships/hyperlink" Target="https://techcombank.com/thong-tin/blog/nen-mua-xe-tra-gop-hay-tra-thang" TargetMode="External"/><Relationship Id="rId1864" Type="http://schemas.openxmlformats.org/officeDocument/2006/relationships/hyperlink" Target="https://techcombank.com/thong-tin/blog/giai-ngan-vay-the-chap" TargetMode="External"/><Relationship Id="rId1865" Type="http://schemas.openxmlformats.org/officeDocument/2006/relationships/hyperlink" Target="https://techcombank.com/thong-tin/blog/no-xau-co-vay-the-chap-duoc-khong" TargetMode="External"/><Relationship Id="rId1866" Type="http://schemas.openxmlformats.org/officeDocument/2006/relationships/hyperlink" Target="https://techcombank.com/thong-tin/blog/phi-vay-the-chap" TargetMode="External"/><Relationship Id="rId1867" Type="http://schemas.openxmlformats.org/officeDocument/2006/relationships/hyperlink" Target="https://techcombank.com/thong-tin/blog/cac-hinh-thuc-cho-vay-tieu-dung" TargetMode="External"/><Relationship Id="rId1868" Type="http://schemas.openxmlformats.org/officeDocument/2006/relationships/hyperlink" Target="https://techcombank.com/thong-tin/blog/vay-the-chap-toi-da-duoc-bao-nhieu" TargetMode="External"/><Relationship Id="rId1869" Type="http://schemas.openxmlformats.org/officeDocument/2006/relationships/hyperlink" Target="https://techcombank.com/thong-tin/blog/dieu-kien-vay-the-chap" TargetMode="External"/><Relationship Id="rId1860" Type="http://schemas.openxmlformats.org/officeDocument/2006/relationships/hyperlink" Target="https://techcombank.com/thong-tin/blog/vay-the-chap-xe-o-to-cu" TargetMode="External"/><Relationship Id="rId1861" Type="http://schemas.openxmlformats.org/officeDocument/2006/relationships/hyperlink" Target="https://techcombank.com/thong-tin/blog/vay-the-chap-qua-luong" TargetMode="External"/><Relationship Id="rId1810" Type="http://schemas.openxmlformats.org/officeDocument/2006/relationships/hyperlink" Target="https://techcombank.com/thong-tin/blog/nen-mua-xe-tra-gop-hay-tra-thang" TargetMode="External"/><Relationship Id="rId1811" Type="http://schemas.openxmlformats.org/officeDocument/2006/relationships/hyperlink" Target="https://techcombank.com/thong-tin/blog/vay-15-trieu" TargetMode="External"/><Relationship Id="rId1812" Type="http://schemas.openxmlformats.org/officeDocument/2006/relationships/hyperlink" Target="https://techcombank.com/thong-tin/blog/sao-ke-the-tin-dung-la-gi" TargetMode="External"/><Relationship Id="rId1813" Type="http://schemas.openxmlformats.org/officeDocument/2006/relationships/hyperlink" Target="https://techcombank.com/thong-tin/blog/lai-suat-vay-tieu-dung" TargetMode="External"/><Relationship Id="rId1814" Type="http://schemas.openxmlformats.org/officeDocument/2006/relationships/hyperlink" Target="https://techcombank.com/thong-tin/blog/lam-ho-so-tra-gop-dien-thoai" TargetMode="External"/><Relationship Id="rId1815" Type="http://schemas.openxmlformats.org/officeDocument/2006/relationships/hyperlink" Target="https://techcombank.com/thong-tin/blog/vay-30-trieu" TargetMode="External"/><Relationship Id="rId1816" Type="http://schemas.openxmlformats.org/officeDocument/2006/relationships/hyperlink" Target="https://techcombank.com/thong-tin/blog/thu-tuc-vay-von-ngan-hang-de-xay-nha" TargetMode="External"/><Relationship Id="rId1817" Type="http://schemas.openxmlformats.org/officeDocument/2006/relationships/hyperlink" Target="https://techcombank.com/thong-tin/blog/lai-suat-ngan-hang-cho-vay-xay-nha" TargetMode="External"/><Relationship Id="rId1818" Type="http://schemas.openxmlformats.org/officeDocument/2006/relationships/hyperlink" Target="https://techcombank.com/thong-tin/blog/cach-su-dung-the-tin-dung" TargetMode="External"/><Relationship Id="rId1819" Type="http://schemas.openxmlformats.org/officeDocument/2006/relationships/hyperlink" Target="https://techcombank.com/thong-tin/blog/vay-mua-nha-o-xa-hoi" TargetMode="External"/><Relationship Id="rId1800" Type="http://schemas.openxmlformats.org/officeDocument/2006/relationships/hyperlink" Target="https://techcombank.com/thong-tin/blog/quy-trinh-tat-toan-khoan-vay-the-chap" TargetMode="External"/><Relationship Id="rId1801" Type="http://schemas.openxmlformats.org/officeDocument/2006/relationships/hyperlink" Target="https://techcombank.com/thong-tin/blog/vay-40-trieu" TargetMode="External"/><Relationship Id="rId1802" Type="http://schemas.openxmlformats.org/officeDocument/2006/relationships/hyperlink" Target="https://techcombank.com/thong-tin/blog/thu-tuc-mua-xe-tra-gop" TargetMode="External"/><Relationship Id="rId1803" Type="http://schemas.openxmlformats.org/officeDocument/2006/relationships/hyperlink" Target="https://techcombank.com/thong-tin/blog/vay-100-trieu" TargetMode="External"/><Relationship Id="rId1804" Type="http://schemas.openxmlformats.org/officeDocument/2006/relationships/hyperlink" Target="https://techcombank.com/thong-tin/blog/vay-ngan-hang-chi-can-cccd" TargetMode="External"/><Relationship Id="rId1805" Type="http://schemas.openxmlformats.org/officeDocument/2006/relationships/hyperlink" Target="https://techcombank.com/thong-tin/blog/tra-gop-shopee" TargetMode="External"/><Relationship Id="rId1806" Type="http://schemas.openxmlformats.org/officeDocument/2006/relationships/hyperlink" Target="https://techcombank.com/thong-tin/blog/tra-gop-hoc-phi" TargetMode="External"/><Relationship Id="rId1807" Type="http://schemas.openxmlformats.org/officeDocument/2006/relationships/hyperlink" Target="https://techcombank.com/thong-tin/blog/thanh-toan-tra-gop-qua-the-tin-dung" TargetMode="External"/><Relationship Id="rId1808" Type="http://schemas.openxmlformats.org/officeDocument/2006/relationships/hyperlink" Target="https://techcombank.com/thong-tin/blog/tra-gop-lazada" TargetMode="External"/><Relationship Id="rId1809" Type="http://schemas.openxmlformats.org/officeDocument/2006/relationships/hyperlink" Target="https://techcombank.com/thong-tin/blog/lai-suat-vay-the-chap-so-do" TargetMode="External"/><Relationship Id="rId1830" Type="http://schemas.openxmlformats.org/officeDocument/2006/relationships/hyperlink" Target="https://techcombank.com/thong-tin/blog/no-xau-nhom-2" TargetMode="External"/><Relationship Id="rId1831" Type="http://schemas.openxmlformats.org/officeDocument/2006/relationships/hyperlink" Target="https://techcombank.com/thong-tin/blog/lai-suat-vay-tin-chap" TargetMode="External"/><Relationship Id="rId1832" Type="http://schemas.openxmlformats.org/officeDocument/2006/relationships/hyperlink" Target="https://techcombank.com/thong-tin/blog/co-100-trieu-co-mua-nen-mua-tra-gop" TargetMode="External"/><Relationship Id="rId1833" Type="http://schemas.openxmlformats.org/officeDocument/2006/relationships/hyperlink" Target="https://techcombank.com/thong-tin/blog/dang-vay-tra-gop-co-vay-them-duoc-khong" TargetMode="External"/><Relationship Id="rId1834" Type="http://schemas.openxmlformats.org/officeDocument/2006/relationships/hyperlink" Target="https://techcombank.com/thong-tin/blog/bao-hiem-vat-chat-xe-o-to" TargetMode="External"/><Relationship Id="rId1835" Type="http://schemas.openxmlformats.org/officeDocument/2006/relationships/hyperlink" Target="https://techcombank.com/thong-tin/blog/han-muc-tra-gop-the-tin-dung" TargetMode="External"/><Relationship Id="rId1836" Type="http://schemas.openxmlformats.org/officeDocument/2006/relationships/hyperlink" Target="https://techcombank.com/thong-tin/blog/quy-trinh-cho-vay-tieu-dung" TargetMode="External"/><Relationship Id="rId1837" Type="http://schemas.openxmlformats.org/officeDocument/2006/relationships/hyperlink" Target="https://techcombank.com/thong-tin/blog/vay-20-trieu" TargetMode="External"/><Relationship Id="rId1838" Type="http://schemas.openxmlformats.org/officeDocument/2006/relationships/hyperlink" Target="https://techcombank.com/thong-tin/blog/kinh-nghiem-vay-tien-mua-nha" TargetMode="External"/><Relationship Id="rId1839" Type="http://schemas.openxmlformats.org/officeDocument/2006/relationships/hyperlink" Target="https://techcombank.com/thong-tin/blog/vay-tin-chap-la-gi" TargetMode="External"/><Relationship Id="rId1820" Type="http://schemas.openxmlformats.org/officeDocument/2006/relationships/hyperlink" Target="https://techcombank.com/thong-tin/blog/vay-200-trieu" TargetMode="External"/><Relationship Id="rId1821" Type="http://schemas.openxmlformats.org/officeDocument/2006/relationships/hyperlink" Target="https://techcombank.com/thong-tin/blog/kinh-nghiem-vay-tien-ngan-hang-xay-nha" TargetMode="External"/><Relationship Id="rId1822" Type="http://schemas.openxmlformats.org/officeDocument/2006/relationships/hyperlink" Target="https://techcombank.com/thong-tin/blog/vay-tin-chap-theo-luong" TargetMode="External"/><Relationship Id="rId1823" Type="http://schemas.openxmlformats.org/officeDocument/2006/relationships/hyperlink" Target="https://techcombank.com/thong-tin/blog/tra-gop-qua-the-tin-dung" TargetMode="External"/><Relationship Id="rId1824" Type="http://schemas.openxmlformats.org/officeDocument/2006/relationships/hyperlink" Target="https://techcombank.com/thong-tin/blog/cach-su-dung-the-visa-techcombank" TargetMode="External"/><Relationship Id="rId1825" Type="http://schemas.openxmlformats.org/officeDocument/2006/relationships/hyperlink" Target="https://techcombank.com/thong-tin/blog/lai-suat-vay-ngan-hang" TargetMode="External"/><Relationship Id="rId1826" Type="http://schemas.openxmlformats.org/officeDocument/2006/relationships/hyperlink" Target="https://techcombank.com/thong-tin/blog/du-no-tin-dung-la-gi" TargetMode="External"/><Relationship Id="rId1827" Type="http://schemas.openxmlformats.org/officeDocument/2006/relationships/hyperlink" Target="https://techcombank.com/thong-tin/blog/mua-nha-tra-gop-dua-truoc-100-trieu" TargetMode="External"/><Relationship Id="rId1828" Type="http://schemas.openxmlformats.org/officeDocument/2006/relationships/hyperlink" Target="https://techcombank.com/thong-tin/blog/vay-han-muc-la-gi" TargetMode="External"/><Relationship Id="rId1829" Type="http://schemas.openxmlformats.org/officeDocument/2006/relationships/hyperlink" Target="https://techcombank.com/thong-tin/blog/lai-suat-vay-mua-o-to" TargetMode="External"/><Relationship Id="rId1455" Type="http://schemas.openxmlformats.org/officeDocument/2006/relationships/hyperlink" Target="https://techcombank.com/thong-tin/blog/cach-su-dung-the-tin-dung" TargetMode="External"/><Relationship Id="rId2302" Type="http://schemas.openxmlformats.org/officeDocument/2006/relationships/hyperlink" Target="https://techcombank.com/thong-tin/blog/tien-gui-co-ky-han" TargetMode="External"/><Relationship Id="rId1456" Type="http://schemas.openxmlformats.org/officeDocument/2006/relationships/hyperlink" Target="https://techcombank.com/thong-tin/blog/vay-mua-nha-o-xa-hoi" TargetMode="External"/><Relationship Id="rId2303" Type="http://schemas.openxmlformats.org/officeDocument/2006/relationships/hyperlink" Target="https://techcombank.com/thong-tin/blog/lai-suat-gui-tiet-kiem-usd" TargetMode="External"/><Relationship Id="rId1457" Type="http://schemas.openxmlformats.org/officeDocument/2006/relationships/hyperlink" Target="https://techcombank.com/thong-tin/blog/vay-200-trieu" TargetMode="External"/><Relationship Id="rId2304" Type="http://schemas.openxmlformats.org/officeDocument/2006/relationships/hyperlink" Target="https://techcombank.com/thong-tin/blog/gui-tiet-kiem-usd" TargetMode="External"/><Relationship Id="rId1458" Type="http://schemas.openxmlformats.org/officeDocument/2006/relationships/hyperlink" Target="https://techcombank.com/thong-tin/blog/kinh-nghiem-vay-tien-ngan-hang-xay-nha" TargetMode="External"/><Relationship Id="rId2305" Type="http://schemas.openxmlformats.org/officeDocument/2006/relationships/hyperlink" Target="https://techcombank.com/thong-tin/blog/vay-tien-online" TargetMode="External"/><Relationship Id="rId1459" Type="http://schemas.openxmlformats.org/officeDocument/2006/relationships/hyperlink" Target="https://techcombank.com/thong-tin/blog/giai-ngan-vay-the-chap" TargetMode="External"/><Relationship Id="rId2306" Type="http://schemas.openxmlformats.org/officeDocument/2006/relationships/hyperlink" Target="https://techcombank.com/thong-tin/blog/vay-ngan-hang-chi-can-cccd" TargetMode="External"/><Relationship Id="rId2307" Type="http://schemas.openxmlformats.org/officeDocument/2006/relationships/hyperlink" Target="https://techcombank.com/thong-tin/blog/vay-30-trieu" TargetMode="External"/><Relationship Id="rId2308" Type="http://schemas.openxmlformats.org/officeDocument/2006/relationships/hyperlink" Target="https://techcombank.com/thong-tin/blog/vay-50-trieu" TargetMode="External"/><Relationship Id="rId2309" Type="http://schemas.openxmlformats.org/officeDocument/2006/relationships/hyperlink" Target="https://techcombank.com/thong-tin/blog/vay-sieu-toc" TargetMode="External"/><Relationship Id="rId629" Type="http://schemas.openxmlformats.org/officeDocument/2006/relationships/hyperlink" Target="https://techcombank.com/thong-tin/blog/1-cmnd-dang-ky-duoc-may-tai-khoan-ngan-hang" TargetMode="External"/><Relationship Id="rId624" Type="http://schemas.openxmlformats.org/officeDocument/2006/relationships/hyperlink" Target="https://techcombank.com/thong-tin/blog/kiem-tra-no-xau" TargetMode="External"/><Relationship Id="rId623" Type="http://schemas.openxmlformats.org/officeDocument/2006/relationships/hyperlink" Target="https://techcombank.com/thong-tin/blog/dang-ky-ma-so-thue-ca-nhan" TargetMode="External"/><Relationship Id="rId622" Type="http://schemas.openxmlformats.org/officeDocument/2006/relationships/hyperlink" Target="https://techcombank.com/thong-tin/blog/tra-cuu-ma-so-thue-ho-kinh-doanh" TargetMode="External"/><Relationship Id="rId621" Type="http://schemas.openxmlformats.org/officeDocument/2006/relationships/hyperlink" Target="https://techcombank.com/thong-tin/blog/mo-tai-khoan-ngan-hang-bang-so-dien-thoai" TargetMode="External"/><Relationship Id="rId628" Type="http://schemas.openxmlformats.org/officeDocument/2006/relationships/hyperlink" Target="https://techcombank.com/thong-tin/blog/vay-50-trieu" TargetMode="External"/><Relationship Id="rId627" Type="http://schemas.openxmlformats.org/officeDocument/2006/relationships/hyperlink" Target="https://techcombank.com/thong-tin/blog/mo-the-tin-dung-chi-can-cccd" TargetMode="External"/><Relationship Id="rId626" Type="http://schemas.openxmlformats.org/officeDocument/2006/relationships/hyperlink" Target="https://techcombank.com/thong-tin/blog/vay-ngan-hang-chi-can-cccd" TargetMode="External"/><Relationship Id="rId625" Type="http://schemas.openxmlformats.org/officeDocument/2006/relationships/hyperlink" Target="https://techcombank.com/thong-tin/blog/no-xau-la-gi" TargetMode="External"/><Relationship Id="rId1450" Type="http://schemas.openxmlformats.org/officeDocument/2006/relationships/hyperlink" Target="https://techcombank.com/thong-tin/blog/nen-mua-xe-tra-gop-hay-tra-thang" TargetMode="External"/><Relationship Id="rId620" Type="http://schemas.openxmlformats.org/officeDocument/2006/relationships/hyperlink" Target="https://techcombank.com/thong-tin/blog/cach-dang-ky-dinh-danh-muc-2" TargetMode="External"/><Relationship Id="rId1451" Type="http://schemas.openxmlformats.org/officeDocument/2006/relationships/hyperlink" Target="https://techcombank.com/thong-tin/blog/vay-15-trieu" TargetMode="External"/><Relationship Id="rId1452" Type="http://schemas.openxmlformats.org/officeDocument/2006/relationships/hyperlink" Target="https://techcombank.com/thong-tin/blog/lam-ho-so-tra-gop-dien-thoai" TargetMode="External"/><Relationship Id="rId1453" Type="http://schemas.openxmlformats.org/officeDocument/2006/relationships/hyperlink" Target="https://techcombank.com/thong-tin/blog/vay-the-chap-so-hong" TargetMode="External"/><Relationship Id="rId2300" Type="http://schemas.openxmlformats.org/officeDocument/2006/relationships/hyperlink" Target="https://techcombank.com/thong-tin/blog/vay-tin-chap-la-gi" TargetMode="External"/><Relationship Id="rId1454" Type="http://schemas.openxmlformats.org/officeDocument/2006/relationships/hyperlink" Target="https://techcombank.com/thong-tin/blog/vay-30-trieu" TargetMode="External"/><Relationship Id="rId2301" Type="http://schemas.openxmlformats.org/officeDocument/2006/relationships/hyperlink" Target="https://techcombank.com/thong-tin/blog/tien-nhan-roi-nen-lam-gi" TargetMode="External"/><Relationship Id="rId1444" Type="http://schemas.openxmlformats.org/officeDocument/2006/relationships/hyperlink" Target="https://techcombank.com/thong-tin/blog/tra-gop-shopee" TargetMode="External"/><Relationship Id="rId1445" Type="http://schemas.openxmlformats.org/officeDocument/2006/relationships/hyperlink" Target="https://techcombank.com/thong-tin/blog/tra-gop-hoc-phi" TargetMode="External"/><Relationship Id="rId1446" Type="http://schemas.openxmlformats.org/officeDocument/2006/relationships/hyperlink" Target="https://techcombank.com/thong-tin/blog/thanh-toan-tra-gop-qua-the-tin-dung" TargetMode="External"/><Relationship Id="rId1447" Type="http://schemas.openxmlformats.org/officeDocument/2006/relationships/hyperlink" Target="https://techcombank.com/thong-tin/blog/tra-gop-lazada" TargetMode="External"/><Relationship Id="rId1448" Type="http://schemas.openxmlformats.org/officeDocument/2006/relationships/hyperlink" Target="https://techcombank.com/thong-tin/blog/bi-quyet-tiet-kiem-tien-mua-nha" TargetMode="External"/><Relationship Id="rId1449" Type="http://schemas.openxmlformats.org/officeDocument/2006/relationships/hyperlink" Target="https://techcombank.com/thong-tin/blog/lai-suat-vay-the-chap-so-do" TargetMode="External"/><Relationship Id="rId619" Type="http://schemas.openxmlformats.org/officeDocument/2006/relationships/hyperlink" Target="https://techcombank.com/thong-tin/blog/ekyc-la-gi" TargetMode="External"/><Relationship Id="rId618" Type="http://schemas.openxmlformats.org/officeDocument/2006/relationships/hyperlink" Target="https://techcombank.com/thong-tin/blog/cach-lien-ket-tai-khoan-ngan-hang-voi-vneid" TargetMode="External"/><Relationship Id="rId613" Type="http://schemas.openxmlformats.org/officeDocument/2006/relationships/hyperlink" Target="https://techcombank.com/thong-tin/blog/cach-su-dung-the-ghi-no" TargetMode="External"/><Relationship Id="rId612" Type="http://schemas.openxmlformats.org/officeDocument/2006/relationships/hyperlink" Target="https://techcombank.com/thong-tin/blog/the-visa-co-rut-tien-duoc-khong" TargetMode="External"/><Relationship Id="rId611" Type="http://schemas.openxmlformats.org/officeDocument/2006/relationships/hyperlink" Target="https://techcombank.com/thong-tin/blog/cach-chuyen-tien" TargetMode="External"/><Relationship Id="rId610" Type="http://schemas.openxmlformats.org/officeDocument/2006/relationships/hyperlink" Target="https://techcombank.com/thong-tin/blog/the-atm-tu" TargetMode="External"/><Relationship Id="rId617" Type="http://schemas.openxmlformats.org/officeDocument/2006/relationships/hyperlink" Target="https://techcombank.com/thong-tin/blog/xac-thuc-sinh-trac-hoc-khi-chuyen-tien" TargetMode="External"/><Relationship Id="rId616" Type="http://schemas.openxmlformats.org/officeDocument/2006/relationships/hyperlink" Target="https://techcombank.com/thong-tin/blog/tien-gui-co-ky-han" TargetMode="External"/><Relationship Id="rId615" Type="http://schemas.openxmlformats.org/officeDocument/2006/relationships/hyperlink" Target="https://techcombank.com/thong-tin/blog/the-ghi-no-co-rut-tien-duoc-khong" TargetMode="External"/><Relationship Id="rId614" Type="http://schemas.openxmlformats.org/officeDocument/2006/relationships/hyperlink" Target="https://techcombank.com/thong-tin/blog/cach-chuyen-tien-qua-ma-qr-techcombank" TargetMode="External"/><Relationship Id="rId1440" Type="http://schemas.openxmlformats.org/officeDocument/2006/relationships/hyperlink" Target="https://techcombank.com/thong-tin/blog/vay-40-trieu" TargetMode="External"/><Relationship Id="rId1441" Type="http://schemas.openxmlformats.org/officeDocument/2006/relationships/hyperlink" Target="https://techcombank.com/thong-tin/blog/vay-the-chap-qua-luong" TargetMode="External"/><Relationship Id="rId1442" Type="http://schemas.openxmlformats.org/officeDocument/2006/relationships/hyperlink" Target="https://techcombank.com/thong-tin/blog/thu-tuc-mua-xe-tra-gop" TargetMode="External"/><Relationship Id="rId1443" Type="http://schemas.openxmlformats.org/officeDocument/2006/relationships/hyperlink" Target="https://techcombank.com/thong-tin/blog/vay-100-trieu" TargetMode="External"/><Relationship Id="rId1477" Type="http://schemas.openxmlformats.org/officeDocument/2006/relationships/hyperlink" Target="https://techcombank.com/thong-tin/blog/vay-mua-dien-thoai" TargetMode="External"/><Relationship Id="rId2324" Type="http://schemas.openxmlformats.org/officeDocument/2006/relationships/hyperlink" Target="https://techcombank.com/thong-tin/blog/lai-suat-vay-tin-chap" TargetMode="External"/><Relationship Id="rId1478" Type="http://schemas.openxmlformats.org/officeDocument/2006/relationships/hyperlink" Target="https://techcombank.com/thong-tin/blog/vay-the-chap-hop-dong-mua-ban-can-ho" TargetMode="External"/><Relationship Id="rId2325" Type="http://schemas.openxmlformats.org/officeDocument/2006/relationships/hyperlink" Target="https://techcombank.com/thong-tin/blog/dieu-kien-vay-von-ngan-hang" TargetMode="External"/><Relationship Id="rId1479" Type="http://schemas.openxmlformats.org/officeDocument/2006/relationships/hyperlink" Target="https://techcombank.com/thong-tin/blog/dat-ve-may-bay" TargetMode="External"/><Relationship Id="rId2326" Type="http://schemas.openxmlformats.org/officeDocument/2006/relationships/hyperlink" Target="https://techcombank.com/thong-tin/blog/lai-suat-qua-han" TargetMode="External"/><Relationship Id="rId2327" Type="http://schemas.openxmlformats.org/officeDocument/2006/relationships/hyperlink" Target="https://techcombank.com/thong-tin/blog/lai-suat-vay-kinh-doanh" TargetMode="External"/><Relationship Id="rId2328" Type="http://schemas.openxmlformats.org/officeDocument/2006/relationships/hyperlink" Target="https://techcombank.com/thong-tin/blog/loi-nhuan" TargetMode="External"/><Relationship Id="rId2329" Type="http://schemas.openxmlformats.org/officeDocument/2006/relationships/hyperlink" Target="https://techcombank.com/thong-tin/blog/vay-tin-chap-va-vay-the-chap" TargetMode="External"/><Relationship Id="rId646" Type="http://schemas.openxmlformats.org/officeDocument/2006/relationships/hyperlink" Target="https://techcombank.com/thong-tin/blog/voucher-xanh-sm" TargetMode="External"/><Relationship Id="rId645" Type="http://schemas.openxmlformats.org/officeDocument/2006/relationships/hyperlink" Target="https://techcombank.com/thong-tin/blog/ngan-hang-so-cho-doanh-nghiep" TargetMode="External"/><Relationship Id="rId644" Type="http://schemas.openxmlformats.org/officeDocument/2006/relationships/hyperlink" Target="https://techcombank.com/thong-tin/blog/thuc-day-thi-truong-the-noi-dia-va-xu-huong-thanh-toan-tuong-lai" TargetMode="External"/><Relationship Id="rId643" Type="http://schemas.openxmlformats.org/officeDocument/2006/relationships/hyperlink" Target="https://techcombank.com/thong-tin/blog/dat-xe-xanh-sm" TargetMode="External"/><Relationship Id="rId649" Type="http://schemas.openxmlformats.org/officeDocument/2006/relationships/hyperlink" Target="https://techcombank.com/thong-tin/blog/xu-huong-tieu-dung" TargetMode="External"/><Relationship Id="rId648" Type="http://schemas.openxmlformats.org/officeDocument/2006/relationships/hyperlink" Target="https://techcombank.com/thong-tin/blog/phan-bo-tai-san" TargetMode="External"/><Relationship Id="rId647" Type="http://schemas.openxmlformats.org/officeDocument/2006/relationships/hyperlink" Target="https://techcombank.com/thong-tin/blog/bao-hiem-pin-xe-dien" TargetMode="External"/><Relationship Id="rId1470" Type="http://schemas.openxmlformats.org/officeDocument/2006/relationships/hyperlink" Target="https://techcombank.com/thong-tin/blog/co-100-trieu-co-mua-nen-mua-tra-gop" TargetMode="External"/><Relationship Id="rId1471" Type="http://schemas.openxmlformats.org/officeDocument/2006/relationships/hyperlink" Target="https://techcombank.com/thong-tin/blog/dang-vay-tra-gop-co-vay-them-duoc-khong" TargetMode="External"/><Relationship Id="rId1472" Type="http://schemas.openxmlformats.org/officeDocument/2006/relationships/hyperlink" Target="https://techcombank.com/thong-tin/blog/vay-the-chap-khong-chung-minh-thu-nhap" TargetMode="External"/><Relationship Id="rId642" Type="http://schemas.openxmlformats.org/officeDocument/2006/relationships/hyperlink" Target="https://techcombank.com/thong-tin/blog/mr-eco" TargetMode="External"/><Relationship Id="rId1473" Type="http://schemas.openxmlformats.org/officeDocument/2006/relationships/hyperlink" Target="https://techcombank.com/thong-tin/blog/bao-hiem-vat-chat-xe-o-to" TargetMode="External"/><Relationship Id="rId2320" Type="http://schemas.openxmlformats.org/officeDocument/2006/relationships/hyperlink" Target="https://techcombank.com/thong-tin/blog/vay-the-chap-hop-dong-mua-ban-can-ho" TargetMode="External"/><Relationship Id="rId641" Type="http://schemas.openxmlformats.org/officeDocument/2006/relationships/hyperlink" Target="https://techcombank.com/thong-tin/blog/chinh-sach-thue-moi" TargetMode="External"/><Relationship Id="rId1474" Type="http://schemas.openxmlformats.org/officeDocument/2006/relationships/hyperlink" Target="https://techcombank.com/thong-tin/blog/han-muc-tra-gop-the-tin-dung" TargetMode="External"/><Relationship Id="rId2321" Type="http://schemas.openxmlformats.org/officeDocument/2006/relationships/hyperlink" Target="https://techcombank.com/thong-tin/blog/vay-du-hoc" TargetMode="External"/><Relationship Id="rId640" Type="http://schemas.openxmlformats.org/officeDocument/2006/relationships/hyperlink" Target="https://techcombank.com/thong-tin/blog/cach-quan-ly-tai-san" TargetMode="External"/><Relationship Id="rId1475" Type="http://schemas.openxmlformats.org/officeDocument/2006/relationships/hyperlink" Target="https://techcombank.com/thong-tin/blog/vay-tra-gop" TargetMode="External"/><Relationship Id="rId2322" Type="http://schemas.openxmlformats.org/officeDocument/2006/relationships/hyperlink" Target="https://techcombank.com/thong-tin/blog/lai-suat-la-gi" TargetMode="External"/><Relationship Id="rId1476" Type="http://schemas.openxmlformats.org/officeDocument/2006/relationships/hyperlink" Target="https://techcombank.com/thong-tin/blog/vay-20-trieu" TargetMode="External"/><Relationship Id="rId2323" Type="http://schemas.openxmlformats.org/officeDocument/2006/relationships/hyperlink" Target="https://techcombank.com/thong-tin/blog/lai-suat-vay-tieu-dung" TargetMode="External"/><Relationship Id="rId1466" Type="http://schemas.openxmlformats.org/officeDocument/2006/relationships/hyperlink" Target="https://techcombank.com/thong-tin/blog/vay-the-chap-toi-da-duoc-bao-nhieu" TargetMode="External"/><Relationship Id="rId2313" Type="http://schemas.openxmlformats.org/officeDocument/2006/relationships/hyperlink" Target="https://techcombank.com/thong-tin/blog/vay-tin-chap-toi-da-duoc-bao-nhieu" TargetMode="External"/><Relationship Id="rId1467" Type="http://schemas.openxmlformats.org/officeDocument/2006/relationships/hyperlink" Target="https://techcombank.com/thong-tin/blog/dieu-kien-vay-the-chap" TargetMode="External"/><Relationship Id="rId2314" Type="http://schemas.openxmlformats.org/officeDocument/2006/relationships/hyperlink" Target="https://techcombank.com/thong-tin/blog/kinh-nghiem-vay-tien-ngan-hang-xay-nha" TargetMode="External"/><Relationship Id="rId1468" Type="http://schemas.openxmlformats.org/officeDocument/2006/relationships/hyperlink" Target="https://techcombank.com/thong-tin/blog/lai-suat-vay-mua-o-to" TargetMode="External"/><Relationship Id="rId2315" Type="http://schemas.openxmlformats.org/officeDocument/2006/relationships/hyperlink" Target="https://techcombank.com/thong-tin/blog/lai-suat-vay-ngan-hang" TargetMode="External"/><Relationship Id="rId1469" Type="http://schemas.openxmlformats.org/officeDocument/2006/relationships/hyperlink" Target="https://techcombank.com/thong-tin/blog/the-chap-la-gi" TargetMode="External"/><Relationship Id="rId2316" Type="http://schemas.openxmlformats.org/officeDocument/2006/relationships/hyperlink" Target="https://techcombank.com/thong-tin/blog/dang-vay-tra-gop-co-vay-them-duoc-khong" TargetMode="External"/><Relationship Id="rId2317" Type="http://schemas.openxmlformats.org/officeDocument/2006/relationships/hyperlink" Target="https://techcombank.com/thong-tin/blog/vay-tra-gop" TargetMode="External"/><Relationship Id="rId2318" Type="http://schemas.openxmlformats.org/officeDocument/2006/relationships/hyperlink" Target="https://techcombank.com/thong-tin/blog/quy-trinh-cho-vay-tieu-dung" TargetMode="External"/><Relationship Id="rId2319" Type="http://schemas.openxmlformats.org/officeDocument/2006/relationships/hyperlink" Target="https://techcombank.com/thong-tin/blog/kinh-nghiem-vay-tien-mua-nha" TargetMode="External"/><Relationship Id="rId635" Type="http://schemas.openxmlformats.org/officeDocument/2006/relationships/hyperlink" Target="https://techcombank.com/thong-tin/blog/tieu-dung-xanh" TargetMode="External"/><Relationship Id="rId634" Type="http://schemas.openxmlformats.org/officeDocument/2006/relationships/hyperlink" Target="https://techcombank.com/thong-tin/blog/the-ghi-no-visa-la-gi" TargetMode="External"/><Relationship Id="rId633" Type="http://schemas.openxmlformats.org/officeDocument/2006/relationships/hyperlink" Target="https://techcombank.com/thong-tin/blog/xu-huong-song-xanh" TargetMode="External"/><Relationship Id="rId632" Type="http://schemas.openxmlformats.org/officeDocument/2006/relationships/hyperlink" Target="https://techcombank.com/thong-tin/blog/san-pham-xanh" TargetMode="External"/><Relationship Id="rId639" Type="http://schemas.openxmlformats.org/officeDocument/2006/relationships/hyperlink" Target="https://techcombank.com/thong-tin/blog/luu-y-khi-chuyen-doi-tu-ho-kinh-doanh-len-doanh-nghiep" TargetMode="External"/><Relationship Id="rId638" Type="http://schemas.openxmlformats.org/officeDocument/2006/relationships/hyperlink" Target="https://techcombank.com/thong-tin/blog/loi-nhuan-rong" TargetMode="External"/><Relationship Id="rId637" Type="http://schemas.openxmlformats.org/officeDocument/2006/relationships/hyperlink" Target="https://techcombank.com/thong-tin/blog/tai-khoan-doanh-nghiep-co-the-khong" TargetMode="External"/><Relationship Id="rId636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1460" Type="http://schemas.openxmlformats.org/officeDocument/2006/relationships/hyperlink" Target="https://techcombank.com/thong-tin/blog/tra-gop-qua-the-tin-dung" TargetMode="External"/><Relationship Id="rId1461" Type="http://schemas.openxmlformats.org/officeDocument/2006/relationships/hyperlink" Target="https://techcombank.com/thong-tin/blog/cach-su-dung-the-visa-techcombank" TargetMode="External"/><Relationship Id="rId631" Type="http://schemas.openxmlformats.org/officeDocument/2006/relationships/hyperlink" Target="https://techcombank.com/thong-tin/blog/dau-chan-carbon" TargetMode="External"/><Relationship Id="rId1462" Type="http://schemas.openxmlformats.org/officeDocument/2006/relationships/hyperlink" Target="https://techcombank.com/thong-tin/blog/no-xau-co-vay-the-chap-duoc-khong" TargetMode="External"/><Relationship Id="rId630" Type="http://schemas.openxmlformats.org/officeDocument/2006/relationships/hyperlink" Target="https://techcombank.com/thong-tin/blog/app-vay-tien-nhanh" TargetMode="External"/><Relationship Id="rId1463" Type="http://schemas.openxmlformats.org/officeDocument/2006/relationships/hyperlink" Target="https://techcombank.com/thong-tin/blog/han-muc-vay-the-chap-so-do" TargetMode="External"/><Relationship Id="rId2310" Type="http://schemas.openxmlformats.org/officeDocument/2006/relationships/hyperlink" Target="https://techcombank.com/thong-tin/blog/vay-kinh-doanh-online" TargetMode="External"/><Relationship Id="rId1464" Type="http://schemas.openxmlformats.org/officeDocument/2006/relationships/hyperlink" Target="https://techcombank.com/thong-tin/blog/mua-nha-tra-gop-dua-truoc-100-trieu" TargetMode="External"/><Relationship Id="rId2311" Type="http://schemas.openxmlformats.org/officeDocument/2006/relationships/hyperlink" Target="https://techcombank.com/thong-tin/blog/vay-the-chap-qua-luong" TargetMode="External"/><Relationship Id="rId1465" Type="http://schemas.openxmlformats.org/officeDocument/2006/relationships/hyperlink" Target="https://techcombank.com/thong-tin/blog/phi-vay-the-chap" TargetMode="External"/><Relationship Id="rId2312" Type="http://schemas.openxmlformats.org/officeDocument/2006/relationships/hyperlink" Target="https://techcombank.com/thong-tin/blog/vay-tien-mat" TargetMode="External"/><Relationship Id="rId1411" Type="http://schemas.openxmlformats.org/officeDocument/2006/relationships/hyperlink" Target="https://techcombank.com/thong-tin/blog/1-euro-bang-bao-nhieu-tien-viet" TargetMode="External"/><Relationship Id="rId1895" Type="http://schemas.openxmlformats.org/officeDocument/2006/relationships/hyperlink" Target="https://techcombank.com/thong-tin/blog/vay-the-chap-qua-luong" TargetMode="External"/><Relationship Id="rId1412" Type="http://schemas.openxmlformats.org/officeDocument/2006/relationships/hyperlink" Target="https://techcombank.com/thong-tin/blog/1-do-uc-bang-bao-nhieu-tien-viet" TargetMode="External"/><Relationship Id="rId1896" Type="http://schemas.openxmlformats.org/officeDocument/2006/relationships/hyperlink" Target="https://techcombank.com/thong-tin/blog/lai-suat-vay-the-chap-so-do" TargetMode="External"/><Relationship Id="rId1413" Type="http://schemas.openxmlformats.org/officeDocument/2006/relationships/hyperlink" Target="https://techcombank.com/thong-tin/blog/ty-gia-la-gi" TargetMode="External"/><Relationship Id="rId1897" Type="http://schemas.openxmlformats.org/officeDocument/2006/relationships/hyperlink" Target="https://techcombank.com/thong-tin/blog/tat-toan-chung-chi-tien-gui" TargetMode="External"/><Relationship Id="rId1414" Type="http://schemas.openxmlformats.org/officeDocument/2006/relationships/hyperlink" Target="https://techcombank.com/thong-tin/blog/ty-gia-hoi-doai-la-gi" TargetMode="External"/><Relationship Id="rId1898" Type="http://schemas.openxmlformats.org/officeDocument/2006/relationships/hyperlink" Target="https://techcombank.com/thong-tin/blog/nen-mua-xe-tra-gop-hay-tra-thang" TargetMode="External"/><Relationship Id="rId1415" Type="http://schemas.openxmlformats.org/officeDocument/2006/relationships/hyperlink" Target="https://techcombank.com/thong-tin/blog/co-nen-vay-ngan-hang-mua-nha" TargetMode="External"/><Relationship Id="rId1899" Type="http://schemas.openxmlformats.org/officeDocument/2006/relationships/hyperlink" Target="https://techcombank.com/thong-tin/blog/vay-the-chap-so-hong" TargetMode="External"/><Relationship Id="rId1416" Type="http://schemas.openxmlformats.org/officeDocument/2006/relationships/hyperlink" Target="https://techcombank.com/thong-tin/blog/thu-tuc-vay-ngan-hang-mua-nha" TargetMode="External"/><Relationship Id="rId1417" Type="http://schemas.openxmlformats.org/officeDocument/2006/relationships/hyperlink" Target="https://techcombank.com/thong-tin/blog/kinh-nghiem-vay-tien-mua-nha" TargetMode="External"/><Relationship Id="rId1418" Type="http://schemas.openxmlformats.org/officeDocument/2006/relationships/hyperlink" Target="https://techcombank.com/thong-tin/blog/vay-mua-chung-cu" TargetMode="External"/><Relationship Id="rId1419" Type="http://schemas.openxmlformats.org/officeDocument/2006/relationships/hyperlink" Target="https://techcombank.com/thong-tin/blog/lai-suat-vay-the-chap" TargetMode="External"/><Relationship Id="rId1890" Type="http://schemas.openxmlformats.org/officeDocument/2006/relationships/hyperlink" Target="https://techcombank.com/thong-tin/blog/rui-ro-khi-vay-the-chap-ngan-hang" TargetMode="External"/><Relationship Id="rId1891" Type="http://schemas.openxmlformats.org/officeDocument/2006/relationships/hyperlink" Target="https://techcombank.com/thong-tin/blog/vay-tin-chap-va-vay-the-chap" TargetMode="External"/><Relationship Id="rId1892" Type="http://schemas.openxmlformats.org/officeDocument/2006/relationships/hyperlink" Target="https://techcombank.com/thong-tin/blog/lai-suat-vay-the-chap" TargetMode="External"/><Relationship Id="rId1893" Type="http://schemas.openxmlformats.org/officeDocument/2006/relationships/hyperlink" Target="https://techcombank.com/thong-tin/blog/kinh-nghiem-vay-the-chap-ngan-hang" TargetMode="External"/><Relationship Id="rId1410" Type="http://schemas.openxmlformats.org/officeDocument/2006/relationships/hyperlink" Target="https://techcombank.com/thong-tin/blog/bien-dong-ty-gia-voi-doanh-nghiep-sme" TargetMode="External"/><Relationship Id="rId1894" Type="http://schemas.openxmlformats.org/officeDocument/2006/relationships/hyperlink" Target="https://techcombank.com/thong-tin/blog/vay-the-chap-xe-o-to-cu" TargetMode="External"/><Relationship Id="rId1400" Type="http://schemas.openxmlformats.org/officeDocument/2006/relationships/hyperlink" Target="https://techcombank.com/thong-tin/blog/1000-yen-bang-bao-nhieu-tien-viet" TargetMode="External"/><Relationship Id="rId1884" Type="http://schemas.openxmlformats.org/officeDocument/2006/relationships/hyperlink" Target="https://techcombank.com/thong-tin/blog/vay-san-xuat-kinh-doanh" TargetMode="External"/><Relationship Id="rId1401" Type="http://schemas.openxmlformats.org/officeDocument/2006/relationships/hyperlink" Target="https://techcombank.com/thong-tin/blog/xu-huong-ty-gia-usd" TargetMode="External"/><Relationship Id="rId1885" Type="http://schemas.openxmlformats.org/officeDocument/2006/relationships/hyperlink" Target="https://techcombank.com/thong-tin/blog/vay-the-chap-kinh-doanh" TargetMode="External"/><Relationship Id="rId1402" Type="http://schemas.openxmlformats.org/officeDocument/2006/relationships/hyperlink" Target="https://techcombank.com/thong-tin/blog/vnd-to-myr" TargetMode="External"/><Relationship Id="rId1886" Type="http://schemas.openxmlformats.org/officeDocument/2006/relationships/hyperlink" Target="https://techcombank.com/thong-tin/blog/vay-the-chap-so-bao-hiem-xa-hoi" TargetMode="External"/><Relationship Id="rId1403" Type="http://schemas.openxmlformats.org/officeDocument/2006/relationships/hyperlink" Target="https://techcombank.com/thong-tin/blog/1-van-tien-dai-loan-bang-bao-nhieu-tien-viet" TargetMode="External"/><Relationship Id="rId1887" Type="http://schemas.openxmlformats.org/officeDocument/2006/relationships/hyperlink" Target="https://techcombank.com/thong-tin/blog/nen-vay-the-chap-ngan-hang-nao" TargetMode="External"/><Relationship Id="rId1404" Type="http://schemas.openxmlformats.org/officeDocument/2006/relationships/hyperlink" Target="https://techcombank.com/thong-tin/blog/1-dong-do-la-my-bang-bao-nhieu-tien-viet-nam" TargetMode="External"/><Relationship Id="rId1888" Type="http://schemas.openxmlformats.org/officeDocument/2006/relationships/hyperlink" Target="https://techcombank.com/thong-tin/blog/vay-the-chap-la-gi" TargetMode="External"/><Relationship Id="rId1405" Type="http://schemas.openxmlformats.org/officeDocument/2006/relationships/hyperlink" Target="https://techcombank.com/thong-tin/blog/1-won-bang-bao-nhieu-tien-viet" TargetMode="External"/><Relationship Id="rId1889" Type="http://schemas.openxmlformats.org/officeDocument/2006/relationships/hyperlink" Target="https://techcombank.com/thong-tin/blog/tat-toan-so-tiet-kiem" TargetMode="External"/><Relationship Id="rId1406" Type="http://schemas.openxmlformats.org/officeDocument/2006/relationships/hyperlink" Target="https://techcombank.com/thong-tin/blog/1-trieu-won-bang-bao-nhieu-tien-viet" TargetMode="External"/><Relationship Id="rId1407" Type="http://schemas.openxmlformats.org/officeDocument/2006/relationships/hyperlink" Target="https://techcombank.com/thong-tin/blog/1-te-bang-bao-nhieu-tien-viet-nam" TargetMode="External"/><Relationship Id="rId1408" Type="http://schemas.openxmlformats.org/officeDocument/2006/relationships/hyperlink" Target="https://techcombank.com/thong-tin/blog/1-yen-bang-bao-nhieu-tien-viet-nam" TargetMode="External"/><Relationship Id="rId1409" Type="http://schemas.openxmlformats.org/officeDocument/2006/relationships/hyperlink" Target="https://techcombank.com/thong-tin/blog/cach-tinh-ty-gia-ky-han" TargetMode="External"/><Relationship Id="rId1880" Type="http://schemas.openxmlformats.org/officeDocument/2006/relationships/hyperlink" Target="https://techcombank.com/thong-tin/blog/vay-von-doanh-nghiep-khong-the-chap" TargetMode="External"/><Relationship Id="rId1881" Type="http://schemas.openxmlformats.org/officeDocument/2006/relationships/hyperlink" Target="https://techcombank.com/thong-tin/blog/vay-ngan-han" TargetMode="External"/><Relationship Id="rId1882" Type="http://schemas.openxmlformats.org/officeDocument/2006/relationships/hyperlink" Target="https://techcombank.com/thong-tin/blog/thu-tuc-vay-von-kinh-doanh-nho" TargetMode="External"/><Relationship Id="rId1883" Type="http://schemas.openxmlformats.org/officeDocument/2006/relationships/hyperlink" Target="https://techcombank.com/thong-tin/blog/cac-hinh-thuc-vay-von-ngan-hang" TargetMode="External"/><Relationship Id="rId1433" Type="http://schemas.openxmlformats.org/officeDocument/2006/relationships/hyperlink" Target="https://techcombank.com/thong-tin/blog/vay-tin-chap-va-vay-the-chap" TargetMode="External"/><Relationship Id="rId1434" Type="http://schemas.openxmlformats.org/officeDocument/2006/relationships/hyperlink" Target="https://techcombank.com/thong-tin/blog/kinh-nghiem-vay-the-chap-ngan-hang" TargetMode="External"/><Relationship Id="rId1435" Type="http://schemas.openxmlformats.org/officeDocument/2006/relationships/hyperlink" Target="https://techcombank.com/thong-tin/blog/vay-mua-xe-tra-gop-ngan-hang-nao-tot-nhat" TargetMode="External"/><Relationship Id="rId1436" Type="http://schemas.openxmlformats.org/officeDocument/2006/relationships/hyperlink" Target="https://techcombank.com/thong-tin/blog/chuyen-gia-du-doan-gia-bat-dong-san-2025-va-cac-no-luc-tu-ngan-hang" TargetMode="External"/><Relationship Id="rId1437" Type="http://schemas.openxmlformats.org/officeDocument/2006/relationships/hyperlink" Target="https://techcombank.com/thong-tin/blog/vay-mua-nha-tra-gop" TargetMode="External"/><Relationship Id="rId1438" Type="http://schemas.openxmlformats.org/officeDocument/2006/relationships/hyperlink" Target="https://techcombank.com/thong-tin/blog/quy-trinh-tat-toan-khoan-vay-the-chap" TargetMode="External"/><Relationship Id="rId1439" Type="http://schemas.openxmlformats.org/officeDocument/2006/relationships/hyperlink" Target="https://techcombank.com/thong-tin/blog/vay-the-chap-xe-o-to-cu" TargetMode="External"/><Relationship Id="rId609" Type="http://schemas.openxmlformats.org/officeDocument/2006/relationships/hyperlink" Target="https://techcombank.com/thong-tin/blog/rut-tien-mat-tu-the-tin-dung" TargetMode="External"/><Relationship Id="rId608" Type="http://schemas.openxmlformats.org/officeDocument/2006/relationships/hyperlink" Target="https://techcombank.com/thong-tin/blog/so-du-tien-gui-la-gi" TargetMode="External"/><Relationship Id="rId607" Type="http://schemas.openxmlformats.org/officeDocument/2006/relationships/hyperlink" Target="https://techcombank.com/thong-tin/blog/chuyen-doi-the-atm" TargetMode="External"/><Relationship Id="rId602" Type="http://schemas.openxmlformats.org/officeDocument/2006/relationships/hyperlink" Target="https://techcombank.com/thong-tin/blog/cach-kich-hoat-the-atm" TargetMode="External"/><Relationship Id="rId601" Type="http://schemas.openxmlformats.org/officeDocument/2006/relationships/hyperlink" Target="https://techcombank.com/thong-tin/blog/1-nguoi-co-the-lam-duoc-bao-nhieu-the-atm" TargetMode="External"/><Relationship Id="rId600" Type="http://schemas.openxmlformats.org/officeDocument/2006/relationships/hyperlink" Target="https://techcombank.com/thong-tin/blog/cach-su-dung-the-tin-dung" TargetMode="External"/><Relationship Id="rId606" Type="http://schemas.openxmlformats.org/officeDocument/2006/relationships/hyperlink" Target="https://techcombank.com/thong-tin/blog/1-cmnd-dang-ky-duoc-may-tai-khoan-ngan-hang" TargetMode="External"/><Relationship Id="rId605" Type="http://schemas.openxmlformats.org/officeDocument/2006/relationships/hyperlink" Target="https://techcombank.com/thong-tin/blog/atm-la-gi" TargetMode="External"/><Relationship Id="rId604" Type="http://schemas.openxmlformats.org/officeDocument/2006/relationships/hyperlink" Target="https://techcombank.com/thong-tin/blog/cach-su-dung-the-visa-techcombank" TargetMode="External"/><Relationship Id="rId603" Type="http://schemas.openxmlformats.org/officeDocument/2006/relationships/hyperlink" Target="https://techcombank.com/thong-tin/blog/rut-tien-bao-hiem-nhan-tho-khi-het-han" TargetMode="External"/><Relationship Id="rId1430" Type="http://schemas.openxmlformats.org/officeDocument/2006/relationships/hyperlink" Target="https://techcombank.com/thong-tin/blog/vay-the-chap-la-gi" TargetMode="External"/><Relationship Id="rId1431" Type="http://schemas.openxmlformats.org/officeDocument/2006/relationships/hyperlink" Target="https://techcombank.com/thong-tin/blog/the-visa-de-lam-gi" TargetMode="External"/><Relationship Id="rId1432" Type="http://schemas.openxmlformats.org/officeDocument/2006/relationships/hyperlink" Target="https://techcombank.com/thong-tin/blog/rui-ro-khi-vay-the-chap-ngan-hang" TargetMode="External"/><Relationship Id="rId1422" Type="http://schemas.openxmlformats.org/officeDocument/2006/relationships/hyperlink" Target="https://techcombank.com/thong-tin/blog/vay-the-chap-kinh-doanh" TargetMode="External"/><Relationship Id="rId1423" Type="http://schemas.openxmlformats.org/officeDocument/2006/relationships/hyperlink" Target="https://techcombank.com/thong-tin/blog/co-nen-mua-o-to-tra-gop" TargetMode="External"/><Relationship Id="rId1424" Type="http://schemas.openxmlformats.org/officeDocument/2006/relationships/hyperlink" Target="https://techcombank.com/thong-tin/blog/vay-the-chap-khong-tra-duoc" TargetMode="External"/><Relationship Id="rId1425" Type="http://schemas.openxmlformats.org/officeDocument/2006/relationships/hyperlink" Target="https://techcombank.com/thong-tin/blog/vay-the-chap-so-bao-hiem-xa-hoi" TargetMode="External"/><Relationship Id="rId1426" Type="http://schemas.openxmlformats.org/officeDocument/2006/relationships/hyperlink" Target="https://techcombank.com/thong-tin/blog/vay-300-trieu" TargetMode="External"/><Relationship Id="rId1427" Type="http://schemas.openxmlformats.org/officeDocument/2006/relationships/hyperlink" Target="https://techcombank.com/thong-tin/blog/thanh-toan-phi-quan-ly-chung-cu" TargetMode="External"/><Relationship Id="rId1428" Type="http://schemas.openxmlformats.org/officeDocument/2006/relationships/hyperlink" Target="https://techcombank.com/thong-tin/blog/nen-vay-the-chap-ngan-hang-nao" TargetMode="External"/><Relationship Id="rId1429" Type="http://schemas.openxmlformats.org/officeDocument/2006/relationships/hyperlink" Target="https://techcombank.com/thong-tin/blog/mua-truoc-tra-sau" TargetMode="External"/><Relationship Id="rId1420" Type="http://schemas.openxmlformats.org/officeDocument/2006/relationships/hyperlink" Target="https://techcombank.com/thong-tin/blog/thu-tuc-vay-von-kinh-doanh-nho" TargetMode="External"/><Relationship Id="rId1421" Type="http://schemas.openxmlformats.org/officeDocument/2006/relationships/hyperlink" Target="https://techcombank.com/thong-tin/blog/cac-hinh-thuc-vay-von-ngan-hang" TargetMode="External"/><Relationship Id="rId1059" Type="http://schemas.openxmlformats.org/officeDocument/2006/relationships/hyperlink" Target="https://techcombank.com/thong-tin/blog/lich-su-tin-dung" TargetMode="External"/><Relationship Id="rId228" Type="http://schemas.openxmlformats.org/officeDocument/2006/relationships/hyperlink" Target="https://techcombank.com/thong-tin/blog/so-6868" TargetMode="External"/><Relationship Id="rId227" Type="http://schemas.openxmlformats.org/officeDocument/2006/relationships/hyperlink" Target="https://techcombank.com/thong-tin/blog/so-du-tien-gui-la-gi" TargetMode="External"/><Relationship Id="rId226" Type="http://schemas.openxmlformats.org/officeDocument/2006/relationships/hyperlink" Target="https://techcombank.com/thong-tin/blog/so-du-tai-khoan-thanh-toan" TargetMode="External"/><Relationship Id="rId225" Type="http://schemas.openxmlformats.org/officeDocument/2006/relationships/hyperlink" Target="https://techcombank.com/thong-tin/blog/99999-co-y-nghia-gi" TargetMode="External"/><Relationship Id="rId2380" Type="http://schemas.openxmlformats.org/officeDocument/2006/relationships/hyperlink" Target="https://techcombank.com/thong-tin/blog/vay-200-trieu" TargetMode="External"/><Relationship Id="rId229" Type="http://schemas.openxmlformats.org/officeDocument/2006/relationships/hyperlink" Target="https://techcombank.com/thong-tin/blog/y-nghia-so-68" TargetMode="External"/><Relationship Id="rId1050" Type="http://schemas.openxmlformats.org/officeDocument/2006/relationships/hyperlink" Target="https://techcombank.com/thong-tin/blog/so-luong-the-tin-dung-noi-dia-dang-luu-hanh-da-tang-42-so-voi-cung-ky-nam-2022" TargetMode="External"/><Relationship Id="rId2381" Type="http://schemas.openxmlformats.org/officeDocument/2006/relationships/hyperlink" Target="https://techcombank.com/thong-tin/blog/kinh-nghiem-vay-tien-ngan-hang-xay-nha" TargetMode="External"/><Relationship Id="rId220" Type="http://schemas.openxmlformats.org/officeDocument/2006/relationships/hyperlink" Target="https://techcombank.com/thong-tin/blog/day-so-phat-tai-phat-loc" TargetMode="External"/><Relationship Id="rId1051" Type="http://schemas.openxmlformats.org/officeDocument/2006/relationships/hyperlink" Target="https://techcombank.com/thong-tin/blog/no-xau-nhom-2" TargetMode="External"/><Relationship Id="rId2382" Type="http://schemas.openxmlformats.org/officeDocument/2006/relationships/hyperlink" Target="https://techcombank.com/thong-tin/blog/vay-tien-online" TargetMode="External"/><Relationship Id="rId1052" Type="http://schemas.openxmlformats.org/officeDocument/2006/relationships/hyperlink" Target="https://techcombank.com/thong-tin/blog/the-ghi-no-visa-la-gi" TargetMode="External"/><Relationship Id="rId2383" Type="http://schemas.openxmlformats.org/officeDocument/2006/relationships/hyperlink" Target="https://techcombank.com/thong-tin/blog/vay-tin-chap-no-xau" TargetMode="External"/><Relationship Id="rId1053" Type="http://schemas.openxmlformats.org/officeDocument/2006/relationships/hyperlink" Target="https://techcombank.com/thong-tin/blog/uu-dai-mua-iphone-18" TargetMode="External"/><Relationship Id="rId2384" Type="http://schemas.openxmlformats.org/officeDocument/2006/relationships/hyperlink" Target="https://techcombank.com/thong-tin/blog/lai-suat-vay-ngan-hang" TargetMode="External"/><Relationship Id="rId1054" Type="http://schemas.openxmlformats.org/officeDocument/2006/relationships/hyperlink" Target="https://techcombank.com/thong-tin/blog/so-the-tin-dung" TargetMode="External"/><Relationship Id="rId2385" Type="http://schemas.openxmlformats.org/officeDocument/2006/relationships/hyperlink" Target="https://techcombank.com/thong-tin/blog/cac-hinh-thuc-cho-vay-tieu-dung" TargetMode="External"/><Relationship Id="rId224" Type="http://schemas.openxmlformats.org/officeDocument/2006/relationships/hyperlink" Target="https://techcombank.com/thong-tin/blog/so-tai-khoan-dep" TargetMode="External"/><Relationship Id="rId1055" Type="http://schemas.openxmlformats.org/officeDocument/2006/relationships/hyperlink" Target="https://techcombank.com/thong-tin/blog/han-muc-tra-gop-the-tin-dung" TargetMode="External"/><Relationship Id="rId2386" Type="http://schemas.openxmlformats.org/officeDocument/2006/relationships/hyperlink" Target="https://techcombank.com/thong-tin/blog/dang-vay-tra-gop-co-vay-them-duoc-khong" TargetMode="External"/><Relationship Id="rId223" Type="http://schemas.openxmlformats.org/officeDocument/2006/relationships/hyperlink" Target="https://techcombank.com/thong-tin/blog/so-the-ngan-hang" TargetMode="External"/><Relationship Id="rId1056" Type="http://schemas.openxmlformats.org/officeDocument/2006/relationships/hyperlink" Target="https://techcombank.com/thong-tin/blog/the-tin-dung-hoan-tien" TargetMode="External"/><Relationship Id="rId2387" Type="http://schemas.openxmlformats.org/officeDocument/2006/relationships/hyperlink" Target="https://techcombank.com/thong-tin/blog/app-vay-tien-nhanh" TargetMode="External"/><Relationship Id="rId222" Type="http://schemas.openxmlformats.org/officeDocument/2006/relationships/hyperlink" Target="https://techcombank.com/thong-tin/blog/so-8386" TargetMode="External"/><Relationship Id="rId1057" Type="http://schemas.openxmlformats.org/officeDocument/2006/relationships/hyperlink" Target="https://techcombank.com/thong-tin/blog/sang-ngang-the-tin-dung" TargetMode="External"/><Relationship Id="rId2388" Type="http://schemas.openxmlformats.org/officeDocument/2006/relationships/hyperlink" Target="https://techcombank.com/thong-tin/blog/vay-tra-gop" TargetMode="External"/><Relationship Id="rId221" Type="http://schemas.openxmlformats.org/officeDocument/2006/relationships/hyperlink" Target="https://techcombank.com/thong-tin/blog/66666-co-y-nghia-gi" TargetMode="External"/><Relationship Id="rId1058" Type="http://schemas.openxmlformats.org/officeDocument/2006/relationships/hyperlink" Target="https://techcombank.com/thong-tin/blog/tai-khoan-ngan-hang-la-gi" TargetMode="External"/><Relationship Id="rId2389" Type="http://schemas.openxmlformats.org/officeDocument/2006/relationships/hyperlink" Target="https://techcombank.com/thong-tin/blog/quy-trinh-cho-vay-tieu-dung" TargetMode="External"/><Relationship Id="rId1048" Type="http://schemas.openxmlformats.org/officeDocument/2006/relationships/hyperlink" Target="https://techcombank.com/thong-tin/blog/the-tin-dung-phu-la-gi" TargetMode="External"/><Relationship Id="rId2379" Type="http://schemas.openxmlformats.org/officeDocument/2006/relationships/hyperlink" Target="https://techcombank.com/thong-tin/blog/vay-tien-mat" TargetMode="External"/><Relationship Id="rId1049" Type="http://schemas.openxmlformats.org/officeDocument/2006/relationships/hyperlink" Target="https://techcombank.com/thong-tin/blog/rut-tien-mat-tu-the-tin-dung" TargetMode="External"/><Relationship Id="rId217" Type="http://schemas.openxmlformats.org/officeDocument/2006/relationships/hyperlink" Target="https://techcombank.com/thong-tin/blog/lo-so-tai-khoan-ngan-hang-co-sao-khong" TargetMode="External"/><Relationship Id="rId216" Type="http://schemas.openxmlformats.org/officeDocument/2006/relationships/hyperlink" Target="https://techcombank.com/thong-tin/blog/cdm" TargetMode="External"/><Relationship Id="rId215" Type="http://schemas.openxmlformats.org/officeDocument/2006/relationships/hyperlink" Target="https://techcombank.com/thong-tin/blog/co-nen-mua-so-tai-khoan-ngan-hang-dep" TargetMode="External"/><Relationship Id="rId699" Type="http://schemas.openxmlformats.org/officeDocument/2006/relationships/hyperlink" Target="https://techcombank.com/thong-tin/blog/the-visa-co-rut-tien-duoc-khong" TargetMode="External"/><Relationship Id="rId214" Type="http://schemas.openxmlformats.org/officeDocument/2006/relationships/hyperlink" Target="https://techcombank.com/thong-tin/blog/cach-kiem-tra-tai-khoan-ngan-hang-cua-cong-ty" TargetMode="External"/><Relationship Id="rId698" Type="http://schemas.openxmlformats.org/officeDocument/2006/relationships/hyperlink" Target="https://techcombank.com/thong-tin/blog/phi-rut-tien-mat-the-tin-dung" TargetMode="External"/><Relationship Id="rId219" Type="http://schemas.openxmlformats.org/officeDocument/2006/relationships/hyperlink" Target="https://techcombank.com/thong-tin/blog/8868" TargetMode="External"/><Relationship Id="rId218" Type="http://schemas.openxmlformats.org/officeDocument/2006/relationships/hyperlink" Target="https://techcombank.com/thong-tin/blog/cach-chon-so-tai-khoan-dep" TargetMode="External"/><Relationship Id="rId2370" Type="http://schemas.openxmlformats.org/officeDocument/2006/relationships/hyperlink" Target="https://techcombank.com/thong-tin/blog/thu-tuc-vay-von-kinh-doanh-nho" TargetMode="External"/><Relationship Id="rId693" Type="http://schemas.openxmlformats.org/officeDocument/2006/relationships/hyperlink" Target="https://techcombank.com/thong-tin/blog/luu-y-khi-su-dung-the-tin-dung" TargetMode="External"/><Relationship Id="rId1040" Type="http://schemas.openxmlformats.org/officeDocument/2006/relationships/hyperlink" Target="https://techcombank.com/thong-tin/blog/no-xau-mo-the-tin-dung-duoc-khong" TargetMode="External"/><Relationship Id="rId2371" Type="http://schemas.openxmlformats.org/officeDocument/2006/relationships/hyperlink" Target="https://techcombank.com/thong-tin/blog/cac-hinh-thuc-vay-von-ngan-hang" TargetMode="External"/><Relationship Id="rId692" Type="http://schemas.openxmlformats.org/officeDocument/2006/relationships/hyperlink" Target="https://techcombank.com/thong-tin/blog/no-the-tin-dung-qua-han" TargetMode="External"/><Relationship Id="rId1041" Type="http://schemas.openxmlformats.org/officeDocument/2006/relationships/hyperlink" Target="https://techcombank.com/thong-tin/blog/no-the-tin-dung-qua-han" TargetMode="External"/><Relationship Id="rId2372" Type="http://schemas.openxmlformats.org/officeDocument/2006/relationships/hyperlink" Target="https://techcombank.com/thong-tin/blog/vay-san-xuat-kinh-doanh" TargetMode="External"/><Relationship Id="rId691" Type="http://schemas.openxmlformats.org/officeDocument/2006/relationships/hyperlink" Target="https://techcombank.com/thong-tin/blog/no-xau-mo-the-tin-dung-duoc-khong" TargetMode="External"/><Relationship Id="rId1042" Type="http://schemas.openxmlformats.org/officeDocument/2006/relationships/hyperlink" Target="https://techcombank.com/thong-tin/blog/mo-the-tin-dung-chi-can-cccd" TargetMode="External"/><Relationship Id="rId2373" Type="http://schemas.openxmlformats.org/officeDocument/2006/relationships/hyperlink" Target="https://techcombank.com/thong-tin/blog/tin-chap-doanh-nghiep" TargetMode="External"/><Relationship Id="rId690" Type="http://schemas.openxmlformats.org/officeDocument/2006/relationships/hyperlink" Target="https://techcombank.com/thong-tin/blog/the-tin-dung-bi-khoa" TargetMode="External"/><Relationship Id="rId1043" Type="http://schemas.openxmlformats.org/officeDocument/2006/relationships/hyperlink" Target="https://techcombank.com/thong-tin/blog/luu-y-khi-su-dung-the-tin-dung" TargetMode="External"/><Relationship Id="rId2374" Type="http://schemas.openxmlformats.org/officeDocument/2006/relationships/hyperlink" Target="https://techcombank.com/thong-tin/blog/cho-vay-tieu-dung-la-gi" TargetMode="External"/><Relationship Id="rId213" Type="http://schemas.openxmlformats.org/officeDocument/2006/relationships/hyperlink" Target="https://techcombank.com/thong-tin/blog/sms-banking" TargetMode="External"/><Relationship Id="rId697" Type="http://schemas.openxmlformats.org/officeDocument/2006/relationships/hyperlink" Target="https://techcombank.com/thong-tin/blog/dieu-kien-vay-the-chap" TargetMode="External"/><Relationship Id="rId1044" Type="http://schemas.openxmlformats.org/officeDocument/2006/relationships/hyperlink" Target="https://techcombank.com/thong-tin/blog/thoi-gian-hoan-tien-the-tin-dung" TargetMode="External"/><Relationship Id="rId2375" Type="http://schemas.openxmlformats.org/officeDocument/2006/relationships/hyperlink" Target="https://techcombank.com/thong-tin/blog/vay-the-chap-qua-luong" TargetMode="External"/><Relationship Id="rId212" Type="http://schemas.openxmlformats.org/officeDocument/2006/relationships/hyperlink" Target="https://techcombank.com/thong-tin/blog/ma-giao-dich-la-gi" TargetMode="External"/><Relationship Id="rId696" Type="http://schemas.openxmlformats.org/officeDocument/2006/relationships/hyperlink" Target="https://techcombank.com/thong-tin/blog/vay-tin-chap-no-xau" TargetMode="External"/><Relationship Id="rId1045" Type="http://schemas.openxmlformats.org/officeDocument/2006/relationships/hyperlink" Target="https://techcombank.com/thong-tin/blog/mat-the-tin-dung-co-lam-lai-duoc-khong" TargetMode="External"/><Relationship Id="rId2376" Type="http://schemas.openxmlformats.org/officeDocument/2006/relationships/hyperlink" Target="https://techcombank.com/thong-tin/blog/vay-ngan-hang-chi-can-cccd" TargetMode="External"/><Relationship Id="rId211" Type="http://schemas.openxmlformats.org/officeDocument/2006/relationships/hyperlink" Target="https://techcombank.com/thong-tin/blog/so-du-kha-dung" TargetMode="External"/><Relationship Id="rId695" Type="http://schemas.openxmlformats.org/officeDocument/2006/relationships/hyperlink" Target="https://techcombank.com/thong-tin/blog/han-muc-vay-the-chap-so-do" TargetMode="External"/><Relationship Id="rId1046" Type="http://schemas.openxmlformats.org/officeDocument/2006/relationships/hyperlink" Target="https://techcombank.com/thong-tin/blog/mo-the-tin-dung-khong-can-chung-minh-thu-nhap" TargetMode="External"/><Relationship Id="rId2377" Type="http://schemas.openxmlformats.org/officeDocument/2006/relationships/hyperlink" Target="https://techcombank.com/thong-tin/blog/nhu-cau-vay-tieu-dung-cua-nguoi-viet-du-kien-tang-manh-trong-thoi-gian-toi" TargetMode="External"/><Relationship Id="rId210" Type="http://schemas.openxmlformats.org/officeDocument/2006/relationships/hyperlink" Target="https://techcombank.com/thong-tin/blog/so-tai-khoan-ngan-hang" TargetMode="External"/><Relationship Id="rId694" Type="http://schemas.openxmlformats.org/officeDocument/2006/relationships/hyperlink" Target="https://techcombank.com/thong-tin/blog/no-xau-co-vay-the-chap-duoc-khong" TargetMode="External"/><Relationship Id="rId1047" Type="http://schemas.openxmlformats.org/officeDocument/2006/relationships/hyperlink" Target="https://techcombank.com/thong-tin/blog/the-tin-dung-vip" TargetMode="External"/><Relationship Id="rId2378" Type="http://schemas.openxmlformats.org/officeDocument/2006/relationships/hyperlink" Target="https://techcombank.com/thong-tin/blog/lai-suat-vay-tieu-dung" TargetMode="External"/><Relationship Id="rId249" Type="http://schemas.openxmlformats.org/officeDocument/2006/relationships/hyperlink" Target="https://techcombank.com/thong-tin/blog/cach-doi-mat-khau-tai-khoan-ngan-hang" TargetMode="External"/><Relationship Id="rId248" Type="http://schemas.openxmlformats.org/officeDocument/2006/relationships/hyperlink" Target="https://techcombank.com/thong-tin/blog/nap-tien-vao-tai-khoan-ngan-hang" TargetMode="External"/><Relationship Id="rId247" Type="http://schemas.openxmlformats.org/officeDocument/2006/relationships/hyperlink" Target="https://techcombank.com/thong-tin/blog/techcombank-sinh-loi-tu-dong" TargetMode="External"/><Relationship Id="rId1070" Type="http://schemas.openxmlformats.org/officeDocument/2006/relationships/hyperlink" Target="https://techcombank.com/thong-tin/blog/no-xau-la-gi" TargetMode="External"/><Relationship Id="rId1071" Type="http://schemas.openxmlformats.org/officeDocument/2006/relationships/hyperlink" Target="https://techcombank.com/thong-tin/blog/han-muc-thau-chi-la-gi" TargetMode="External"/><Relationship Id="rId1072" Type="http://schemas.openxmlformats.org/officeDocument/2006/relationships/hyperlink" Target="https://techcombank.com/thong-tin/blog/qua-han-thanh-toan-the-tin-dung-1-ngay" TargetMode="External"/><Relationship Id="rId242" Type="http://schemas.openxmlformats.org/officeDocument/2006/relationships/hyperlink" Target="https://techcombank.com/thong-tin/blog/cach-lien-ket-epass-voi-tai-khoan-ngan-hang" TargetMode="External"/><Relationship Id="rId1073" Type="http://schemas.openxmlformats.org/officeDocument/2006/relationships/hyperlink" Target="https://techcombank.com/thong-tin/blog/cho-vay-tieu-dung-la-gi" TargetMode="External"/><Relationship Id="rId241" Type="http://schemas.openxmlformats.org/officeDocument/2006/relationships/hyperlink" Target="https://techcombank.com/thong-tin/blog/cach-kiem-tra-tai-khoan-ngan-hang-cua-cong-ty" TargetMode="External"/><Relationship Id="rId1074" Type="http://schemas.openxmlformats.org/officeDocument/2006/relationships/hyperlink" Target="https://techcombank.com/thong-tin/blog/no-xau-co-lam-the-visa-duoc-khong" TargetMode="External"/><Relationship Id="rId240" Type="http://schemas.openxmlformats.org/officeDocument/2006/relationships/hyperlink" Target="https://techcombank.com/thong-tin/blog/lien-ket-tai-khoan-ngan-hang-voi-etax-mobile" TargetMode="External"/><Relationship Id="rId1075" Type="http://schemas.openxmlformats.org/officeDocument/2006/relationships/hyperlink" Target="https://techcombank.com/thong-tin/blog/thu-tuc-vay-ngan-hang-mua-nha" TargetMode="External"/><Relationship Id="rId1076" Type="http://schemas.openxmlformats.org/officeDocument/2006/relationships/hyperlink" Target="https://techcombank.com/thong-tin/blog/thanh-toan-toi-thieu-the-tin-dung" TargetMode="External"/><Relationship Id="rId246" Type="http://schemas.openxmlformats.org/officeDocument/2006/relationships/hyperlink" Target="https://techcombank.com/thong-tin/blog/mo-them-tai-khoan-ngan-hang-cho-cong-ty" TargetMode="External"/><Relationship Id="rId1077" Type="http://schemas.openxmlformats.org/officeDocument/2006/relationships/hyperlink" Target="https://techcombank.com/thong-tin/blog/spaylater" TargetMode="External"/><Relationship Id="rId245" Type="http://schemas.openxmlformats.org/officeDocument/2006/relationships/hyperlink" Target="https://techcombank.com/thong-tin/blog/nen-mo-tai-khoan-ngan-hang-nao-cho-doanh-nghiep" TargetMode="External"/><Relationship Id="rId1078" Type="http://schemas.openxmlformats.org/officeDocument/2006/relationships/hyperlink" Target="https://techcombank.com/thong-tin/blog/lai-suat-vay-the-chap-so-do" TargetMode="External"/><Relationship Id="rId244" Type="http://schemas.openxmlformats.org/officeDocument/2006/relationships/hyperlink" Target="https://techcombank.com/thong-tin/blog/khai-bao-tai-khoan-ngan-hang-voi-co-quan-thue" TargetMode="External"/><Relationship Id="rId1079" Type="http://schemas.openxmlformats.org/officeDocument/2006/relationships/hyperlink" Target="https://techcombank.com/thong-tin/blog/no-nhom-3" TargetMode="External"/><Relationship Id="rId243" Type="http://schemas.openxmlformats.org/officeDocument/2006/relationships/hyperlink" Target="https://techcombank.com/thong-tin/blog/co-nen-mua-so-tai-khoan-ngan-hang-dep" TargetMode="External"/><Relationship Id="rId239" Type="http://schemas.openxmlformats.org/officeDocument/2006/relationships/hyperlink" Target="https://techcombank.com/thong-tin/blog/mo-tai-khoan-ho-kinh-doanh" TargetMode="External"/><Relationship Id="rId238" Type="http://schemas.openxmlformats.org/officeDocument/2006/relationships/hyperlink" Target="https://techcombank.com/thong-tin/blog/dong-tai-khoan-ngan-hang-cong-ty" TargetMode="External"/><Relationship Id="rId237" Type="http://schemas.openxmlformats.org/officeDocument/2006/relationships/hyperlink" Target="https://techcombank.com/thong-tin/blog/mo-tai-khoan-doanh-nghiep" TargetMode="External"/><Relationship Id="rId236" Type="http://schemas.openxmlformats.org/officeDocument/2006/relationships/hyperlink" Target="https://techcombank.com/thong-tin/blog/1-cmnd-dang-ky-duoc-may-tai-khoan-ngan-hang" TargetMode="External"/><Relationship Id="rId2390" Type="http://schemas.openxmlformats.org/officeDocument/2006/relationships/hyperlink" Target="https://techcombank.com/thong-tin/blog/vay-20-trieu" TargetMode="External"/><Relationship Id="rId1060" Type="http://schemas.openxmlformats.org/officeDocument/2006/relationships/hyperlink" Target="https://techcombank.com/thong-tin/blog/dieu-kien-vay-von-ngan-hang" TargetMode="External"/><Relationship Id="rId2391" Type="http://schemas.openxmlformats.org/officeDocument/2006/relationships/hyperlink" Target="https://techcombank.com/thong-tin/blog/kinh-nghiem-vay-tien-mua-nha" TargetMode="External"/><Relationship Id="rId1061" Type="http://schemas.openxmlformats.org/officeDocument/2006/relationships/hyperlink" Target="https://techcombank.com/thong-tin/blog/no-xau-co-vay-the-chap-duoc-khong" TargetMode="External"/><Relationship Id="rId2392" Type="http://schemas.openxmlformats.org/officeDocument/2006/relationships/hyperlink" Target="https://techcombank.com/thong-tin/blog/vay-tin-chap-khong-tra-duoc-co-sao-khong" TargetMode="External"/><Relationship Id="rId231" Type="http://schemas.openxmlformats.org/officeDocument/2006/relationships/hyperlink" Target="https://techcombank.com/thong-tin/blog/vip-ngan-hang" TargetMode="External"/><Relationship Id="rId1062" Type="http://schemas.openxmlformats.org/officeDocument/2006/relationships/hyperlink" Target="https://techcombank.com/thong-tin/blog/tin-dung-la-gi" TargetMode="External"/><Relationship Id="rId2393" Type="http://schemas.openxmlformats.org/officeDocument/2006/relationships/hyperlink" Target="https://techcombank.com/thong-tin/blog/vay-du-hoc" TargetMode="External"/><Relationship Id="rId230" Type="http://schemas.openxmlformats.org/officeDocument/2006/relationships/hyperlink" Target="https://techcombank.com/thong-tin/blog/cach-chuyen-tien" TargetMode="External"/><Relationship Id="rId1063" Type="http://schemas.openxmlformats.org/officeDocument/2006/relationships/hyperlink" Target="https://techcombank.com/thong-tin/blog/du-no-tin-dung-la-gi" TargetMode="External"/><Relationship Id="rId2394" Type="http://schemas.openxmlformats.org/officeDocument/2006/relationships/hyperlink" Target="https://techcombank.com/thong-tin/blog/no-chu-y-la-gi" TargetMode="External"/><Relationship Id="rId1064" Type="http://schemas.openxmlformats.org/officeDocument/2006/relationships/hyperlink" Target="https://techcombank.com/thong-tin/blog/vay-san-xuat-kinh-doanh" TargetMode="External"/><Relationship Id="rId2395" Type="http://schemas.openxmlformats.org/officeDocument/2006/relationships/hyperlink" Target="https://techcombank.com/thong-tin/blog/no-nhom-3" TargetMode="External"/><Relationship Id="rId1065" Type="http://schemas.openxmlformats.org/officeDocument/2006/relationships/hyperlink" Target="https://techcombank.com/thong-tin/blog/vay-the-chap-khong-tra-duoc" TargetMode="External"/><Relationship Id="rId2396" Type="http://schemas.openxmlformats.org/officeDocument/2006/relationships/hyperlink" Target="https://techcombank.com/thong-tin/blog/du-no-tin-dung-la-gi" TargetMode="External"/><Relationship Id="rId235" Type="http://schemas.openxmlformats.org/officeDocument/2006/relationships/hyperlink" Target="https://techcombank.com/thong-tin/blog/mo-tai-khoan-ngan-hang-co-mat-phi-khong" TargetMode="External"/><Relationship Id="rId1066" Type="http://schemas.openxmlformats.org/officeDocument/2006/relationships/hyperlink" Target="https://techcombank.com/thong-tin/blog/no-chu-y-la-gi" TargetMode="External"/><Relationship Id="rId2397" Type="http://schemas.openxmlformats.org/officeDocument/2006/relationships/hyperlink" Target="https://techcombank.com/thong-tin/blog/no-the-tin-dung-qua-han" TargetMode="External"/><Relationship Id="rId234" Type="http://schemas.openxmlformats.org/officeDocument/2006/relationships/hyperlink" Target="https://techcombank.com/thong-tin/blog/mo-tai-khoan-ngan-hang-online-co-an-toan-khong" TargetMode="External"/><Relationship Id="rId1067" Type="http://schemas.openxmlformats.org/officeDocument/2006/relationships/hyperlink" Target="https://techcombank.com/thong-tin/blog/diem-tin-dung" TargetMode="External"/><Relationship Id="rId2398" Type="http://schemas.openxmlformats.org/officeDocument/2006/relationships/hyperlink" Target="https://techcombank.com/thong-tin/blog/no-xau" TargetMode="External"/><Relationship Id="rId233" Type="http://schemas.openxmlformats.org/officeDocument/2006/relationships/hyperlink" Target="https://techcombank.com/thong-tin/blog/tai-khoan-thanh-toan-la-gi" TargetMode="External"/><Relationship Id="rId1068" Type="http://schemas.openxmlformats.org/officeDocument/2006/relationships/hyperlink" Target="https://techcombank.com/thong-tin/blog/kiem-tra-no-xau" TargetMode="External"/><Relationship Id="rId2399" Type="http://schemas.openxmlformats.org/officeDocument/2006/relationships/hyperlink" Target="https://techcombank.com/thong-tin/blog/du-no-la-gi" TargetMode="External"/><Relationship Id="rId232" Type="http://schemas.openxmlformats.org/officeDocument/2006/relationships/hyperlink" Target="https://techcombank.com/thong-tin/blog/tai-khoan-ngan-hang-la-gi" TargetMode="External"/><Relationship Id="rId1069" Type="http://schemas.openxmlformats.org/officeDocument/2006/relationships/hyperlink" Target="https://techcombank.com/thong-tin/blog/no-xau" TargetMode="External"/><Relationship Id="rId1015" Type="http://schemas.openxmlformats.org/officeDocument/2006/relationships/hyperlink" Target="https://techcombank.com/thong-tin/blog/mo-the-tin-dung-han-muc-cao" TargetMode="External"/><Relationship Id="rId1499" Type="http://schemas.openxmlformats.org/officeDocument/2006/relationships/hyperlink" Target="https://techcombank.com/thong-tin/blog/voucher-phuc-long" TargetMode="External"/><Relationship Id="rId2346" Type="http://schemas.openxmlformats.org/officeDocument/2006/relationships/hyperlink" Target="https://techcombank.com/thong-tin/blog/vay-thau-chi-bang-so-tiet-kiem" TargetMode="External"/><Relationship Id="rId1016" Type="http://schemas.openxmlformats.org/officeDocument/2006/relationships/hyperlink" Target="https://techcombank.com/thong-tin/blog/uu-dai-the-tin-dung" TargetMode="External"/><Relationship Id="rId2347" Type="http://schemas.openxmlformats.org/officeDocument/2006/relationships/hyperlink" Target="https://techcombank.com/thong-tin/blog/no-xau-co-lam-the-visa-duoc-khong" TargetMode="External"/><Relationship Id="rId1017" Type="http://schemas.openxmlformats.org/officeDocument/2006/relationships/hyperlink" Target="https://techcombank.com/thong-tin/blog/3d-secure" TargetMode="External"/><Relationship Id="rId2348" Type="http://schemas.openxmlformats.org/officeDocument/2006/relationships/hyperlink" Target="https://techcombank.com/thong-tin/blog/no-xau-mo-the-tin-dung-duoc-khong" TargetMode="External"/><Relationship Id="rId1018" Type="http://schemas.openxmlformats.org/officeDocument/2006/relationships/hyperlink" Target="https://techcombank.com/thong-tin/blog/lai-suat-the-tin-dung" TargetMode="External"/><Relationship Id="rId2349" Type="http://schemas.openxmlformats.org/officeDocument/2006/relationships/hyperlink" Target="https://techcombank.com/thong-tin/blog/vay-tin-chap-no-xau" TargetMode="External"/><Relationship Id="rId1019" Type="http://schemas.openxmlformats.org/officeDocument/2006/relationships/hyperlink" Target="https://techcombank.com/thong-tin/blog/mo-the-tin-dung-co-loi-ich-gi" TargetMode="External"/><Relationship Id="rId668" Type="http://schemas.openxmlformats.org/officeDocument/2006/relationships/hyperlink" Target="https://techcombank.com/thong-tin/blog/hoc-cach-tiet-kiem-tien-luong" TargetMode="External"/><Relationship Id="rId667" Type="http://schemas.openxmlformats.org/officeDocument/2006/relationships/hyperlink" Target="https://techcombank.com/thong-tin/blog/dau-tu-dai-han" TargetMode="External"/><Relationship Id="rId666" Type="http://schemas.openxmlformats.org/officeDocument/2006/relationships/hyperlink" Target="https://techcombank.com/thong-tin/blog/6-chiec-lo-tai-chinh-ca-nhan" TargetMode="External"/><Relationship Id="rId665" Type="http://schemas.openxmlformats.org/officeDocument/2006/relationships/hyperlink" Target="https://techcombank.com/thong-tin/blog/esg" TargetMode="External"/><Relationship Id="rId669" Type="http://schemas.openxmlformats.org/officeDocument/2006/relationships/hyperlink" Target="https://techcombank.com/thong-tin/blog/chuyen-doi-xanh" TargetMode="External"/><Relationship Id="rId1490" Type="http://schemas.openxmlformats.org/officeDocument/2006/relationships/hyperlink" Target="https://techcombank.com/thong-tin/blog/kichi-kichi" TargetMode="External"/><Relationship Id="rId660" Type="http://schemas.openxmlformats.org/officeDocument/2006/relationships/hyperlink" Target="https://techcombank.com/thong-tin/blog/giao-thong-xanh" TargetMode="External"/><Relationship Id="rId1491" Type="http://schemas.openxmlformats.org/officeDocument/2006/relationships/hyperlink" Target="https://techcombank.com/thong-tin/blog/ma-giam-gia-shopee" TargetMode="External"/><Relationship Id="rId1492" Type="http://schemas.openxmlformats.org/officeDocument/2006/relationships/hyperlink" Target="https://techcombank.com/thong-tin/blog/voucher-starbucks" TargetMode="External"/><Relationship Id="rId1493" Type="http://schemas.openxmlformats.org/officeDocument/2006/relationships/hyperlink" Target="https://techcombank.com/thong-tin/blog/voucher-cgv" TargetMode="External"/><Relationship Id="rId2340" Type="http://schemas.openxmlformats.org/officeDocument/2006/relationships/hyperlink" Target="https://techcombank.com/thong-tin/blog/thoi-han-vay-thau-chi" TargetMode="External"/><Relationship Id="rId1010" Type="http://schemas.openxmlformats.org/officeDocument/2006/relationships/hyperlink" Target="https://techcombank.com/thong-tin/blog/dao-han-the-tin-dung" TargetMode="External"/><Relationship Id="rId1494" Type="http://schemas.openxmlformats.org/officeDocument/2006/relationships/hyperlink" Target="https://techcombank.com/thong-tin/blog/cua-hang-tien-loi" TargetMode="External"/><Relationship Id="rId2341" Type="http://schemas.openxmlformats.org/officeDocument/2006/relationships/hyperlink" Target="https://techcombank.com/thong-tin/blog/tra-no-vay-thau-chi-nhu-the-nao" TargetMode="External"/><Relationship Id="rId664" Type="http://schemas.openxmlformats.org/officeDocument/2006/relationships/hyperlink" Target="https://techcombank.com/thong-tin/blog/ngan-hang-xanh" TargetMode="External"/><Relationship Id="rId1011" Type="http://schemas.openxmlformats.org/officeDocument/2006/relationships/hyperlink" Target="https://techcombank.com/thong-tin/blog/thanh-toan-online-bang-the-tin-dung" TargetMode="External"/><Relationship Id="rId1495" Type="http://schemas.openxmlformats.org/officeDocument/2006/relationships/hyperlink" Target="https://techcombank.com/thong-tin/blog/voucher-highland" TargetMode="External"/><Relationship Id="rId2342" Type="http://schemas.openxmlformats.org/officeDocument/2006/relationships/hyperlink" Target="https://techcombank.com/thong-tin/blog/vay-han-muc-la-gi" TargetMode="External"/><Relationship Id="rId663" Type="http://schemas.openxmlformats.org/officeDocument/2006/relationships/hyperlink" Target="https://techcombank.com/thong-tin/blog/tieu-dung-ben-vung" TargetMode="External"/><Relationship Id="rId1012" Type="http://schemas.openxmlformats.org/officeDocument/2006/relationships/hyperlink" Target="https://techcombank.com/thong-tin/blog/uu-dai-mo-the-tin-dung" TargetMode="External"/><Relationship Id="rId1496" Type="http://schemas.openxmlformats.org/officeDocument/2006/relationships/hyperlink" Target="https://techcombank.com/thong-tin/blog/ma-giam-xanh-sm" TargetMode="External"/><Relationship Id="rId2343" Type="http://schemas.openxmlformats.org/officeDocument/2006/relationships/hyperlink" Target="https://techcombank.com/thong-tin/blog/cac-hinh-thuc-vay-von-ngan-hang" TargetMode="External"/><Relationship Id="rId662" Type="http://schemas.openxmlformats.org/officeDocument/2006/relationships/hyperlink" Target="https://techcombank.com/thong-tin/blog/ke-hoach-huu-tri" TargetMode="External"/><Relationship Id="rId1013" Type="http://schemas.openxmlformats.org/officeDocument/2006/relationships/hyperlink" Target="https://techcombank.com/thong-tin/blog/the-tin-dung-co-chuyen-khoan-duoc-khong" TargetMode="External"/><Relationship Id="rId1497" Type="http://schemas.openxmlformats.org/officeDocument/2006/relationships/hyperlink" Target="https://techcombank.com/thong-tin/blog/voucher-kfc" TargetMode="External"/><Relationship Id="rId2344" Type="http://schemas.openxmlformats.org/officeDocument/2006/relationships/hyperlink" Target="https://techcombank.com/thong-tin/blog/vay-san-xuat-kinh-doanh" TargetMode="External"/><Relationship Id="rId661" Type="http://schemas.openxmlformats.org/officeDocument/2006/relationships/hyperlink" Target="https://techcombank.com/thong-tin/blog/tich-luy-tai-san" TargetMode="External"/><Relationship Id="rId1014" Type="http://schemas.openxmlformats.org/officeDocument/2006/relationships/hyperlink" Target="https://techcombank.com/thong-tin/blog/the-tin-dung-techcombank-visa-eco" TargetMode="External"/><Relationship Id="rId1498" Type="http://schemas.openxmlformats.org/officeDocument/2006/relationships/hyperlink" Target="https://techcombank.com/thong-tin/blog/mr-eco" TargetMode="External"/><Relationship Id="rId2345" Type="http://schemas.openxmlformats.org/officeDocument/2006/relationships/hyperlink" Target="https://techcombank.com/thong-tin/blog/cach-tinh-lai-vay-ngan-hang" TargetMode="External"/><Relationship Id="rId1004" Type="http://schemas.openxmlformats.org/officeDocument/2006/relationships/hyperlink" Target="https://techcombank.com/thong-tin/blog/the-tin-dung-quoc-te" TargetMode="External"/><Relationship Id="rId1488" Type="http://schemas.openxmlformats.org/officeDocument/2006/relationships/hyperlink" Target="https://techcombank.com/thong-tin/blog/yakimono" TargetMode="External"/><Relationship Id="rId2335" Type="http://schemas.openxmlformats.org/officeDocument/2006/relationships/hyperlink" Target="https://techcombank.com/thong-tin/blog/lai-suat-vay-mua-o-to" TargetMode="External"/><Relationship Id="rId1005" Type="http://schemas.openxmlformats.org/officeDocument/2006/relationships/hyperlink" Target="https://techcombank.com/thong-tin/blog/qua-han-thanh-toan-the-tin-dung-1-ngay" TargetMode="External"/><Relationship Id="rId1489" Type="http://schemas.openxmlformats.org/officeDocument/2006/relationships/hyperlink" Target="https://techcombank.com/thong-tin/blog/chixmax" TargetMode="External"/><Relationship Id="rId2336" Type="http://schemas.openxmlformats.org/officeDocument/2006/relationships/hyperlink" Target="https://techcombank.com/thong-tin/blog/vay-tin-chap-la-gi" TargetMode="External"/><Relationship Id="rId1006" Type="http://schemas.openxmlformats.org/officeDocument/2006/relationships/hyperlink" Target="https://techcombank.com/thong-tin/blog/phi-rut-tien-mat-the-tin-dung" TargetMode="External"/><Relationship Id="rId2337" Type="http://schemas.openxmlformats.org/officeDocument/2006/relationships/hyperlink" Target="https://techcombank.com/thong-tin/blog/lai-suat-cho-vay-doanh-nghiep" TargetMode="External"/><Relationship Id="rId1007" Type="http://schemas.openxmlformats.org/officeDocument/2006/relationships/hyperlink" Target="https://techcombank.com/thong-tin/blog/vay-ngan-hang-1-ty-moi-thang-tra-bao-nhieu" TargetMode="External"/><Relationship Id="rId2338" Type="http://schemas.openxmlformats.org/officeDocument/2006/relationships/hyperlink" Target="https://techcombank.com/thong-tin/blog/han-muc-thau-chi-la-gi" TargetMode="External"/><Relationship Id="rId1008" Type="http://schemas.openxmlformats.org/officeDocument/2006/relationships/hyperlink" Target="https://techcombank.com/thong-tin/blog/cach-thanh-toan-the-tin-dung" TargetMode="External"/><Relationship Id="rId2339" Type="http://schemas.openxmlformats.org/officeDocument/2006/relationships/hyperlink" Target="https://techcombank.com/thong-tin/blog/lai-suat-vay-thau-chi" TargetMode="External"/><Relationship Id="rId1009" Type="http://schemas.openxmlformats.org/officeDocument/2006/relationships/hyperlink" Target="https://techcombank.com/thong-tin/blog/the-tin-dung-den" TargetMode="External"/><Relationship Id="rId657" Type="http://schemas.openxmlformats.org/officeDocument/2006/relationships/hyperlink" Target="https://techcombank.com/thong-tin/blog/the-tin-dung-techcombank-visa-eco" TargetMode="External"/><Relationship Id="rId656" Type="http://schemas.openxmlformats.org/officeDocument/2006/relationships/hyperlink" Target="https://techcombank.com/thong-tin/blog/mo-the-ghi-no" TargetMode="External"/><Relationship Id="rId655" Type="http://schemas.openxmlformats.org/officeDocument/2006/relationships/hyperlink" Target="https://techcombank.com/thong-tin/blog/the-ghi-no-la-gi" TargetMode="External"/><Relationship Id="rId654" Type="http://schemas.openxmlformats.org/officeDocument/2006/relationships/hyperlink" Target="https://techcombank.com/thong-tin/blog/gia-tri-tai-san-rong" TargetMode="External"/><Relationship Id="rId659" Type="http://schemas.openxmlformats.org/officeDocument/2006/relationships/hyperlink" Target="https://techcombank.com/thong-tin/blog/cach-nap-tien-vao-the-ghi-no" TargetMode="External"/><Relationship Id="rId658" Type="http://schemas.openxmlformats.org/officeDocument/2006/relationships/hyperlink" Target="https://techcombank.com/thong-tin/blog/the-ghi-no-noi-dia" TargetMode="External"/><Relationship Id="rId1480" Type="http://schemas.openxmlformats.org/officeDocument/2006/relationships/hyperlink" Target="https://techcombank.com/thong-tin/blog/mua-ve-may-bay-gia-re" TargetMode="External"/><Relationship Id="rId1481" Type="http://schemas.openxmlformats.org/officeDocument/2006/relationships/hyperlink" Target="https://techcombank.com/thong-tin/blog/techcombank-oneu" TargetMode="External"/><Relationship Id="rId1482" Type="http://schemas.openxmlformats.org/officeDocument/2006/relationships/hyperlink" Target="https://techcombank.com/thong-tin/blog/tich-diem-doi-qua" TargetMode="External"/><Relationship Id="rId1483" Type="http://schemas.openxmlformats.org/officeDocument/2006/relationships/hyperlink" Target="https://techcombank.com/thong-tin/blog/tiet-kiem-khi-di-du-lich" TargetMode="External"/><Relationship Id="rId2330" Type="http://schemas.openxmlformats.org/officeDocument/2006/relationships/hyperlink" Target="https://techcombank.com/thong-tin/blog/lai-suat-vay-the-chap" TargetMode="External"/><Relationship Id="rId653" Type="http://schemas.openxmlformats.org/officeDocument/2006/relationships/hyperlink" Target="https://techcombank.com/thong-tin/blog/khau-vi-nha-dau-tu-tpdn-thay-doi-the-nao-sau-nhung-bien-dong-vua-qua" TargetMode="External"/><Relationship Id="rId1000" Type="http://schemas.openxmlformats.org/officeDocument/2006/relationships/hyperlink" Target="https://techcombank.com/thong-tin/blog/tra-cuu-han-muc-the-tin-dung" TargetMode="External"/><Relationship Id="rId1484" Type="http://schemas.openxmlformats.org/officeDocument/2006/relationships/hyperlink" Target="https://techcombank.com/thong-tin/blog/giam-gia-be" TargetMode="External"/><Relationship Id="rId2331" Type="http://schemas.openxmlformats.org/officeDocument/2006/relationships/hyperlink" Target="https://techcombank.com/thong-tin/blog/lai-suat-vay-thau-chi" TargetMode="External"/><Relationship Id="rId652" Type="http://schemas.openxmlformats.org/officeDocument/2006/relationships/hyperlink" Target="https://techcombank.com/thong-tin/blog/the-ghi-no-va-the-tin-dung" TargetMode="External"/><Relationship Id="rId1001" Type="http://schemas.openxmlformats.org/officeDocument/2006/relationships/hyperlink" Target="https://techcombank.com/thong-tin/blog/the-ghi-no-va-the-tin-dung" TargetMode="External"/><Relationship Id="rId1485" Type="http://schemas.openxmlformats.org/officeDocument/2006/relationships/hyperlink" Target="https://techcombank.com/thong-tin/blog/4p-pizza" TargetMode="External"/><Relationship Id="rId2332" Type="http://schemas.openxmlformats.org/officeDocument/2006/relationships/hyperlink" Target="https://techcombank.com/thong-tin/blog/lai-suat-vay-the-chap-so-do" TargetMode="External"/><Relationship Id="rId651" Type="http://schemas.openxmlformats.org/officeDocument/2006/relationships/hyperlink" Target="https://techcombank.com/thong-tin/blog/cach-tiet-kiem-tien-hieu-qua-cho-gia-dinh" TargetMode="External"/><Relationship Id="rId1002" Type="http://schemas.openxmlformats.org/officeDocument/2006/relationships/hyperlink" Target="https://techcombank.com/thong-tin/blog/co-nen-dung-the-tin-dung-khong" TargetMode="External"/><Relationship Id="rId1486" Type="http://schemas.openxmlformats.org/officeDocument/2006/relationships/hyperlink" Target="https://techcombank.com/thong-tin/blog/doi-dam-bay" TargetMode="External"/><Relationship Id="rId2333" Type="http://schemas.openxmlformats.org/officeDocument/2006/relationships/hyperlink" Target="https://techcombank.com/thong-tin/blog/lai-suat-ngan-hang-cho-vay-xay-nha" TargetMode="External"/><Relationship Id="rId650" Type="http://schemas.openxmlformats.org/officeDocument/2006/relationships/hyperlink" Target="https://techcombank.com/thong-tin/blog/cach-lam-the-ngan-hang-chay-quang-cao-facebook" TargetMode="External"/><Relationship Id="rId1003" Type="http://schemas.openxmlformats.org/officeDocument/2006/relationships/hyperlink" Target="https://techcombank.com/thong-tin/blog/ma-buu-chinh-the-tin-dung" TargetMode="External"/><Relationship Id="rId1487" Type="http://schemas.openxmlformats.org/officeDocument/2006/relationships/hyperlink" Target="https://techcombank.com/thong-tin/blog/voucher-the-coffee-house" TargetMode="External"/><Relationship Id="rId2334" Type="http://schemas.openxmlformats.org/officeDocument/2006/relationships/hyperlink" Target="https://techcombank.com/thong-tin/blog/cach-tinh-lai-vay-ngan-hang" TargetMode="External"/><Relationship Id="rId1037" Type="http://schemas.openxmlformats.org/officeDocument/2006/relationships/hyperlink" Target="https://techcombank.com/thong-tin/blog/tra-gop-qua-the-tin-dung" TargetMode="External"/><Relationship Id="rId2368" Type="http://schemas.openxmlformats.org/officeDocument/2006/relationships/hyperlink" Target="https://techcombank.com/thong-tin/blog/vay-tin-chap-ho-kinh-doanh" TargetMode="External"/><Relationship Id="rId1038" Type="http://schemas.openxmlformats.org/officeDocument/2006/relationships/hyperlink" Target="https://techcombank.com/thong-tin/blog/lam-the-tin-dung-co-mat-phi-khong" TargetMode="External"/><Relationship Id="rId2369" Type="http://schemas.openxmlformats.org/officeDocument/2006/relationships/hyperlink" Target="https://techcombank.com/thong-tin/blog/vay-tin-chap-cho-doanh-nghiep-moi-thanh-lap" TargetMode="External"/><Relationship Id="rId1039" Type="http://schemas.openxmlformats.org/officeDocument/2006/relationships/hyperlink" Target="https://techcombank.com/thong-tin/blog/kich-hoat-the-tin-dung-techcombank" TargetMode="External"/><Relationship Id="rId206" Type="http://schemas.openxmlformats.org/officeDocument/2006/relationships/hyperlink" Target="https://techcombank.com/thong-tin/blog/vay-the-chap-qua-luong" TargetMode="External"/><Relationship Id="rId205" Type="http://schemas.openxmlformats.org/officeDocument/2006/relationships/hyperlink" Target="https://techcombank.com/thong-tin/blog/chinh-sach-tang-luong-huu" TargetMode="External"/><Relationship Id="rId689" Type="http://schemas.openxmlformats.org/officeDocument/2006/relationships/hyperlink" Target="https://techcombank.com/thong-tin/blog/spaylater" TargetMode="External"/><Relationship Id="rId204" Type="http://schemas.openxmlformats.org/officeDocument/2006/relationships/hyperlink" Target="https://techcombank.com/thong-tin/blog/ho-kinh-doanh-dong-thue-nhu-nao" TargetMode="External"/><Relationship Id="rId688" Type="http://schemas.openxmlformats.org/officeDocument/2006/relationships/hyperlink" Target="https://techcombank.com/thong-tin/blog/thanh-toan-toi-thieu-the-tin-dung" TargetMode="External"/><Relationship Id="rId203" Type="http://schemas.openxmlformats.org/officeDocument/2006/relationships/hyperlink" Target="https://techcombank.com/thong-tin/blog/app-tra-luong" TargetMode="External"/><Relationship Id="rId687" Type="http://schemas.openxmlformats.org/officeDocument/2006/relationships/hyperlink" Target="https://techcombank.com/thong-tin/blog/no-xau-co-lam-the-visa-duoc-khong" TargetMode="External"/><Relationship Id="rId209" Type="http://schemas.openxmlformats.org/officeDocument/2006/relationships/hyperlink" Target="https://techcombank.com/thong-tin/blog/hoc-cach-tiet-kiem-tien-luong" TargetMode="External"/><Relationship Id="rId208" Type="http://schemas.openxmlformats.org/officeDocument/2006/relationships/hyperlink" Target="https://techcombank.com/thong-tin/blog/chi-tra-luong-huu" TargetMode="External"/><Relationship Id="rId207" Type="http://schemas.openxmlformats.org/officeDocument/2006/relationships/hyperlink" Target="https://techcombank.com/thong-tin/blog/kiem-tra-thue-thu-nhap-ca-nhan" TargetMode="External"/><Relationship Id="rId682" Type="http://schemas.openxmlformats.org/officeDocument/2006/relationships/hyperlink" Target="https://techcombank.com/thong-tin/blog/kiem-tra-no-xau" TargetMode="External"/><Relationship Id="rId2360" Type="http://schemas.openxmlformats.org/officeDocument/2006/relationships/hyperlink" Target="https://techcombank.com/thong-tin/blog/the-tin-dung-bi-khoa" TargetMode="External"/><Relationship Id="rId681" Type="http://schemas.openxmlformats.org/officeDocument/2006/relationships/hyperlink" Target="https://techcombank.com/thong-tin/blog/vay-the-chap-khong-tra-duoc" TargetMode="External"/><Relationship Id="rId1030" Type="http://schemas.openxmlformats.org/officeDocument/2006/relationships/hyperlink" Target="https://techcombank.com/thong-tin/blog/the-tin-dung-noi-dia" TargetMode="External"/><Relationship Id="rId2361" Type="http://schemas.openxmlformats.org/officeDocument/2006/relationships/hyperlink" Target="https://techcombank.com/thong-tin/blog/no-the-tin-dung-qua-han" TargetMode="External"/><Relationship Id="rId680" Type="http://schemas.openxmlformats.org/officeDocument/2006/relationships/hyperlink" Target="https://techcombank.com/thong-tin/blog/no-xau-nhom-2" TargetMode="External"/><Relationship Id="rId1031" Type="http://schemas.openxmlformats.org/officeDocument/2006/relationships/hyperlink" Target="https://techcombank.com/thong-tin/blog/lam-ho-so-tra-gop-dien-thoai" TargetMode="External"/><Relationship Id="rId2362" Type="http://schemas.openxmlformats.org/officeDocument/2006/relationships/hyperlink" Target="https://techcombank.com/thong-tin/blog/lich-su-tin-dung" TargetMode="External"/><Relationship Id="rId1032" Type="http://schemas.openxmlformats.org/officeDocument/2006/relationships/hyperlink" Target="https://techcombank.com/thong-tin/blog/the-tin-dung-la-gi" TargetMode="External"/><Relationship Id="rId2363" Type="http://schemas.openxmlformats.org/officeDocument/2006/relationships/hyperlink" Target="https://techcombank.com/thong-tin/blog/vay-tin-chap-la-gi" TargetMode="External"/><Relationship Id="rId202" Type="http://schemas.openxmlformats.org/officeDocument/2006/relationships/hyperlink" Target="https://techcombank.com/thong-tin/blog/nhung-ho-kinh-doanh-duoc-mien-thue" TargetMode="External"/><Relationship Id="rId686" Type="http://schemas.openxmlformats.org/officeDocument/2006/relationships/hyperlink" Target="https://techcombank.com/thong-tin/blog/qua-han-thanh-toan-the-tin-dung-1-ngay" TargetMode="External"/><Relationship Id="rId1033" Type="http://schemas.openxmlformats.org/officeDocument/2006/relationships/hyperlink" Target="https://techcombank.com/thong-tin/blog/cach-su-dung-the-tin-dung" TargetMode="External"/><Relationship Id="rId2364" Type="http://schemas.openxmlformats.org/officeDocument/2006/relationships/hyperlink" Target="https://techcombank.com/thong-tin/blog/ho-so-vay-tin-chap" TargetMode="External"/><Relationship Id="rId201" Type="http://schemas.openxmlformats.org/officeDocument/2006/relationships/hyperlink" Target="https://techcombank.com/thong-tin/blog/tra-cuu-no-thue-ca-nhan" TargetMode="External"/><Relationship Id="rId685" Type="http://schemas.openxmlformats.org/officeDocument/2006/relationships/hyperlink" Target="https://techcombank.com/thong-tin/blog/han-muc-thau-chi-la-gi" TargetMode="External"/><Relationship Id="rId1034" Type="http://schemas.openxmlformats.org/officeDocument/2006/relationships/hyperlink" Target="https://techcombank.com/thong-tin/blog/han-muc-the-tin-dung" TargetMode="External"/><Relationship Id="rId2365" Type="http://schemas.openxmlformats.org/officeDocument/2006/relationships/hyperlink" Target="https://techcombank.com/thong-tin/blog/vay-tin-chap-toi-da-duoc-bao-nhieu" TargetMode="External"/><Relationship Id="rId200" Type="http://schemas.openxmlformats.org/officeDocument/2006/relationships/hyperlink" Target="https://techcombank.com/thong-tin/blog/tra-luong-tien-mat" TargetMode="External"/><Relationship Id="rId684" Type="http://schemas.openxmlformats.org/officeDocument/2006/relationships/hyperlink" Target="https://techcombank.com/thong-tin/blog/no-xau-la-gi" TargetMode="External"/><Relationship Id="rId1035" Type="http://schemas.openxmlformats.org/officeDocument/2006/relationships/hyperlink" Target="https://techcombank.com/thong-tin/blog/nang-han-muc-tin-dung" TargetMode="External"/><Relationship Id="rId2366" Type="http://schemas.openxmlformats.org/officeDocument/2006/relationships/hyperlink" Target="https://techcombank.com/thong-tin/blog/vay-tin-chap-va-vay-the-chap" TargetMode="External"/><Relationship Id="rId683" Type="http://schemas.openxmlformats.org/officeDocument/2006/relationships/hyperlink" Target="https://techcombank.com/thong-tin/blog/no-xau" TargetMode="External"/><Relationship Id="rId1036" Type="http://schemas.openxmlformats.org/officeDocument/2006/relationships/hyperlink" Target="https://techcombank.com/thong-tin/blog/the-tin-dung-mien-lai-55-ngay" TargetMode="External"/><Relationship Id="rId2367" Type="http://schemas.openxmlformats.org/officeDocument/2006/relationships/hyperlink" Target="https://techcombank.com/thong-tin/blog/lai-suat-vay-tin-chap" TargetMode="External"/><Relationship Id="rId1026" Type="http://schemas.openxmlformats.org/officeDocument/2006/relationships/hyperlink" Target="https://techcombank.com/thong-tin/blog/lam-the-tin-dung" TargetMode="External"/><Relationship Id="rId2357" Type="http://schemas.openxmlformats.org/officeDocument/2006/relationships/hyperlink" Target="https://techcombank.com/thong-tin/blog/spaylater" TargetMode="External"/><Relationship Id="rId1027" Type="http://schemas.openxmlformats.org/officeDocument/2006/relationships/hyperlink" Target="https://techcombank.com/thong-tin/blog/the-tin-dung-co-ma-pin-khong" TargetMode="External"/><Relationship Id="rId2358" Type="http://schemas.openxmlformats.org/officeDocument/2006/relationships/hyperlink" Target="https://techcombank.com/thong-tin/blog/no-nhom-3" TargetMode="External"/><Relationship Id="rId1028" Type="http://schemas.openxmlformats.org/officeDocument/2006/relationships/hyperlink" Target="https://techcombank.com/thong-tin/blog/cic-la-gi" TargetMode="External"/><Relationship Id="rId2359" Type="http://schemas.openxmlformats.org/officeDocument/2006/relationships/hyperlink" Target="https://techcombank.com/thong-tin/blog/cic-la-gi" TargetMode="External"/><Relationship Id="rId1029" Type="http://schemas.openxmlformats.org/officeDocument/2006/relationships/hyperlink" Target="https://techcombank.com/thong-tin/blog/sao-ke-the-tin-dung-la-gi" TargetMode="External"/><Relationship Id="rId679" Type="http://schemas.openxmlformats.org/officeDocument/2006/relationships/hyperlink" Target="https://techcombank.com/thong-tin/blog/no-chu-y-la-gi" TargetMode="External"/><Relationship Id="rId678" Type="http://schemas.openxmlformats.org/officeDocument/2006/relationships/hyperlink" Target="https://techcombank.com/thong-tin/blog/no-nhom-3" TargetMode="External"/><Relationship Id="rId677" Type="http://schemas.openxmlformats.org/officeDocument/2006/relationships/hyperlink" Target="https://techcombank.com/thong-tin/blog/lich-su-tin-dung" TargetMode="External"/><Relationship Id="rId676" Type="http://schemas.openxmlformats.org/officeDocument/2006/relationships/hyperlink" Target="https://techcombank.com/thong-tin/blog/diem-tin-dung" TargetMode="External"/><Relationship Id="rId671" Type="http://schemas.openxmlformats.org/officeDocument/2006/relationships/hyperlink" Target="https://techcombank.com/thong-tin/blog/lap-ke-hoach-chi-tieu-ca-nhan" TargetMode="External"/><Relationship Id="rId670" Type="http://schemas.openxmlformats.org/officeDocument/2006/relationships/hyperlink" Target="https://techcombank.com/thong-tin/blog/cach-su-dung-the-ghi-no" TargetMode="External"/><Relationship Id="rId2350" Type="http://schemas.openxmlformats.org/officeDocument/2006/relationships/hyperlink" Target="https://techcombank.com/thong-tin/blog/no-xau-co-vay-the-chap-duoc-khong" TargetMode="External"/><Relationship Id="rId1020" Type="http://schemas.openxmlformats.org/officeDocument/2006/relationships/hyperlink" Target="https://techcombank.com/thong-tin/blog/the-tin-dung-ao" TargetMode="External"/><Relationship Id="rId2351" Type="http://schemas.openxmlformats.org/officeDocument/2006/relationships/hyperlink" Target="https://techcombank.com/thong-tin/blog/no-xau-nhom-2" TargetMode="External"/><Relationship Id="rId1021" Type="http://schemas.openxmlformats.org/officeDocument/2006/relationships/hyperlink" Target="https://techcombank.com/thong-tin/blog/thanh-toan-toi-thieu-the-tin-dung" TargetMode="External"/><Relationship Id="rId2352" Type="http://schemas.openxmlformats.org/officeDocument/2006/relationships/hyperlink" Target="https://techcombank.com/thong-tin/blog/no-chu-y-la-gi" TargetMode="External"/><Relationship Id="rId675" Type="http://schemas.openxmlformats.org/officeDocument/2006/relationships/hyperlink" Target="https://techcombank.com/thong-tin/blog/toi-uu-hoa-chi-phi-trong-doanh-nghiep" TargetMode="External"/><Relationship Id="rId1022" Type="http://schemas.openxmlformats.org/officeDocument/2006/relationships/hyperlink" Target="https://techcombank.com/thong-tin/blog/tra-gop-shopee" TargetMode="External"/><Relationship Id="rId2353" Type="http://schemas.openxmlformats.org/officeDocument/2006/relationships/hyperlink" Target="https://techcombank.com/thong-tin/blog/diem-tin-dung" TargetMode="External"/><Relationship Id="rId674" Type="http://schemas.openxmlformats.org/officeDocument/2006/relationships/hyperlink" Target="https://techcombank.com/thong-tin/blog/the-ghi-no-co-rut-tien-duoc-khong" TargetMode="External"/><Relationship Id="rId1023" Type="http://schemas.openxmlformats.org/officeDocument/2006/relationships/hyperlink" Target="https://techcombank.com/thong-tin/blog/thanh-toan-tien-dien-bang-the-tin-dung" TargetMode="External"/><Relationship Id="rId2354" Type="http://schemas.openxmlformats.org/officeDocument/2006/relationships/hyperlink" Target="https://techcombank.com/thong-tin/blog/no-xau" TargetMode="External"/><Relationship Id="rId673" Type="http://schemas.openxmlformats.org/officeDocument/2006/relationships/hyperlink" Target="https://techcombank.com/thong-tin/blog/the-nao-la-tiet-kiem" TargetMode="External"/><Relationship Id="rId1024" Type="http://schemas.openxmlformats.org/officeDocument/2006/relationships/hyperlink" Target="https://techcombank.com/thong-tin/blog/thanh-toan-tra-gop-qua-the-tin-dung" TargetMode="External"/><Relationship Id="rId2355" Type="http://schemas.openxmlformats.org/officeDocument/2006/relationships/hyperlink" Target="https://techcombank.com/thong-tin/blog/no-xau-la-gi" TargetMode="External"/><Relationship Id="rId672" Type="http://schemas.openxmlformats.org/officeDocument/2006/relationships/hyperlink" Target="https://techcombank.com/thong-tin/blog/the-ghi-no-co-chuyen-khoan-duoc-khong" TargetMode="External"/><Relationship Id="rId1025" Type="http://schemas.openxmlformats.org/officeDocument/2006/relationships/hyperlink" Target="https://techcombank.com/thong-tin/blog/tra-gop-lazada" TargetMode="External"/><Relationship Id="rId2356" Type="http://schemas.openxmlformats.org/officeDocument/2006/relationships/hyperlink" Target="https://techcombank.com/thong-tin/blog/thanh-toan-toi-thieu-the-tin-dung" TargetMode="External"/><Relationship Id="rId190" Type="http://schemas.openxmlformats.org/officeDocument/2006/relationships/hyperlink" Target="https://techcombank.com/thong-tin/blog/vay-ngan-hang-1-ty-moi-thang-tra-bao-nhieu" TargetMode="External"/><Relationship Id="rId194" Type="http://schemas.openxmlformats.org/officeDocument/2006/relationships/hyperlink" Target="https://techcombank.com/thong-tin/blog/quyet-toan-thue-thu-nhap-ca-nhan" TargetMode="External"/><Relationship Id="rId193" Type="http://schemas.openxmlformats.org/officeDocument/2006/relationships/hyperlink" Target="https://techcombank.com/thong-tin/blog/cach-huy-thanh-toan-tien-dien" TargetMode="External"/><Relationship Id="rId192" Type="http://schemas.openxmlformats.org/officeDocument/2006/relationships/hyperlink" Target="https://techcombank.com/thong-tin/blog/thanh-toan-hoa-don-tieu-dung" TargetMode="External"/><Relationship Id="rId191" Type="http://schemas.openxmlformats.org/officeDocument/2006/relationships/hyperlink" Target="https://techcombank.com/thong-tin/blog/nap-tien-dien-thoai-online" TargetMode="External"/><Relationship Id="rId187" Type="http://schemas.openxmlformats.org/officeDocument/2006/relationships/hyperlink" Target="https://techcombank.com/thong-tin/blog/tim-hieu-ve-chinh-sach-thue-moi" TargetMode="External"/><Relationship Id="rId186" Type="http://schemas.openxmlformats.org/officeDocument/2006/relationships/hyperlink" Target="https://techcombank.com/thong-tin/blog/one-stop-shop" TargetMode="External"/><Relationship Id="rId185" Type="http://schemas.openxmlformats.org/officeDocument/2006/relationships/hyperlink" Target="https://techcombank.com/thong-tin/blog/hoa-don-dien-tu-ho-kinh-doanh" TargetMode="External"/><Relationship Id="rId184" Type="http://schemas.openxmlformats.org/officeDocument/2006/relationships/hyperlink" Target="https://techcombank.com/thong-tin/blog/hoa-don-dien-tu" TargetMode="External"/><Relationship Id="rId189" Type="http://schemas.openxmlformats.org/officeDocument/2006/relationships/hyperlink" Target="https://techcombank.com/thong-tin/blog/phan-mem-xuat-hoa-don-dien-tu" TargetMode="External"/><Relationship Id="rId188" Type="http://schemas.openxmlformats.org/officeDocument/2006/relationships/hyperlink" Target="https://techcombank.com/thong-tin/blog/may-tinh-tien" TargetMode="External"/><Relationship Id="rId183" Type="http://schemas.openxmlformats.org/officeDocument/2006/relationships/hyperlink" Target="https://techcombank.com/thong-tin/blog/chuyen-doi-hoa-don-dien-tu" TargetMode="External"/><Relationship Id="rId182" Type="http://schemas.openxmlformats.org/officeDocument/2006/relationships/hyperlink" Target="https://techcombank.com/thong-tin/blog/cach-tra-cuu-hoa-don-dien-tu" TargetMode="External"/><Relationship Id="rId181" Type="http://schemas.openxmlformats.org/officeDocument/2006/relationships/hyperlink" Target="https://techcombank.com/thong-tin/blog/thanh-toan-tien-dien-bang-the-tin-dung" TargetMode="External"/><Relationship Id="rId180" Type="http://schemas.openxmlformats.org/officeDocument/2006/relationships/hyperlink" Target="https://techcombank.com/thong-tin/blog/app-dong-tien-dien-online" TargetMode="External"/><Relationship Id="rId176" Type="http://schemas.openxmlformats.org/officeDocument/2006/relationships/hyperlink" Target="https://techcombank.com/thong-tin/blog/app-dong-tien-dien-online" TargetMode="External"/><Relationship Id="rId175" Type="http://schemas.openxmlformats.org/officeDocument/2006/relationships/hyperlink" Target="https://techcombank.com/thong-tin/blog/thanh-toan-tien-internet-online" TargetMode="External"/><Relationship Id="rId174" Type="http://schemas.openxmlformats.org/officeDocument/2006/relationships/hyperlink" Target="https://techcombank.com/thong-tin/blog/mat-so-dien-thoai-dang-ky-tai-khoan-ngan-hang" TargetMode="External"/><Relationship Id="rId173" Type="http://schemas.openxmlformats.org/officeDocument/2006/relationships/hyperlink" Target="https://techcombank.com/thong-tin/blog/cach-nap-the-mobi" TargetMode="External"/><Relationship Id="rId179" Type="http://schemas.openxmlformats.org/officeDocument/2006/relationships/hyperlink" Target="https://techcombank.com/thong-tin/blog/cach-dong-tien-dien-qua-tai-khoan-ngan-hang" TargetMode="External"/><Relationship Id="rId178" Type="http://schemas.openxmlformats.org/officeDocument/2006/relationships/hyperlink" Target="https://techcombank.com/thong-tin/blog/tra-cuu-hoa-don-tien-dien" TargetMode="External"/><Relationship Id="rId177" Type="http://schemas.openxmlformats.org/officeDocument/2006/relationships/hyperlink" Target="https://techcombank.com/thong-tin/blog/gia-dien-sinh-hoat" TargetMode="External"/><Relationship Id="rId1910" Type="http://schemas.openxmlformats.org/officeDocument/2006/relationships/hyperlink" Target="https://techcombank.com/thong-tin/blog/vay-the-chap-khong-chung-minh-thu-nhap" TargetMode="External"/><Relationship Id="rId1911" Type="http://schemas.openxmlformats.org/officeDocument/2006/relationships/hyperlink" Target="https://techcombank.com/thong-tin/blog/vay-tra-gop" TargetMode="External"/><Relationship Id="rId1912" Type="http://schemas.openxmlformats.org/officeDocument/2006/relationships/hyperlink" Target="https://techcombank.com/thong-tin/blog/vay-the-chap-hop-dong-mua-ban-can-ho" TargetMode="External"/><Relationship Id="rId1913" Type="http://schemas.openxmlformats.org/officeDocument/2006/relationships/hyperlink" Target="https://techcombank.com/thong-tin/blog/nen-gui-tiet-kiem-6-thang-hay-1-nam" TargetMode="External"/><Relationship Id="rId1914" Type="http://schemas.openxmlformats.org/officeDocument/2006/relationships/hyperlink" Target="https://techcombank.com/thong-tin/blog/tai-sao-gui-tiet-kiem-online-lai-suat-cao-hon" TargetMode="External"/><Relationship Id="rId1915" Type="http://schemas.openxmlformats.org/officeDocument/2006/relationships/hyperlink" Target="https://techcombank.com/thong-tin/blog/co-nen-gui-tiet-kiem-ngan-hang" TargetMode="External"/><Relationship Id="rId1916" Type="http://schemas.openxmlformats.org/officeDocument/2006/relationships/hyperlink" Target="https://techcombank.com/thong-tin/blog/tien-gui-co-ky-han" TargetMode="External"/><Relationship Id="rId1917" Type="http://schemas.openxmlformats.org/officeDocument/2006/relationships/hyperlink" Target="https://techcombank.com/thong-tin/blog/so-sanh-gui-tiet-kiem-online-va-tai-quay" TargetMode="External"/><Relationship Id="rId1918" Type="http://schemas.openxmlformats.org/officeDocument/2006/relationships/hyperlink" Target="https://techcombank.com/thong-tin/blog/so-tiet-kiem-ngan-hang" TargetMode="External"/><Relationship Id="rId1919" Type="http://schemas.openxmlformats.org/officeDocument/2006/relationships/hyperlink" Target="https://techcombank.com/thong-tin/blog/quy-trinh-gui-tien-tiet-kiem" TargetMode="External"/><Relationship Id="rId1900" Type="http://schemas.openxmlformats.org/officeDocument/2006/relationships/hyperlink" Target="https://techcombank.com/thong-tin/blog/no-xau-mo-the-tin-dung-duoc-khong" TargetMode="External"/><Relationship Id="rId1901" Type="http://schemas.openxmlformats.org/officeDocument/2006/relationships/hyperlink" Target="https://techcombank.com/thong-tin/blog/no-xau-co-vay-the-chap-duoc-khong" TargetMode="External"/><Relationship Id="rId1902" Type="http://schemas.openxmlformats.org/officeDocument/2006/relationships/hyperlink" Target="https://techcombank.com/thong-tin/blog/han-muc-vay-the-chap-so-do" TargetMode="External"/><Relationship Id="rId1903" Type="http://schemas.openxmlformats.org/officeDocument/2006/relationships/hyperlink" Target="https://techcombank.com/thong-tin/blog/gui-tiet-kiem-online-co-rut-truoc-han-duoc-khong" TargetMode="External"/><Relationship Id="rId1904" Type="http://schemas.openxmlformats.org/officeDocument/2006/relationships/hyperlink" Target="https://techcombank.com/thong-tin/blog/phi-vay-the-chap" TargetMode="External"/><Relationship Id="rId1905" Type="http://schemas.openxmlformats.org/officeDocument/2006/relationships/hyperlink" Target="https://techcombank.com/thong-tin/blog/cac-hinh-thuc-cho-vay-tieu-dung" TargetMode="External"/><Relationship Id="rId1906" Type="http://schemas.openxmlformats.org/officeDocument/2006/relationships/hyperlink" Target="https://techcombank.com/thong-tin/blog/vay-the-chap-toi-da-duoc-bao-nhieu" TargetMode="External"/><Relationship Id="rId1907" Type="http://schemas.openxmlformats.org/officeDocument/2006/relationships/hyperlink" Target="https://techcombank.com/thong-tin/blog/dieu-kien-vay-the-chap" TargetMode="External"/><Relationship Id="rId1908" Type="http://schemas.openxmlformats.org/officeDocument/2006/relationships/hyperlink" Target="https://techcombank.com/thong-tin/blog/lai-suat-vay-mua-o-to" TargetMode="External"/><Relationship Id="rId1909" Type="http://schemas.openxmlformats.org/officeDocument/2006/relationships/hyperlink" Target="https://techcombank.com/thong-tin/blog/chung-chi-tien-gui-co-duoc-rut-truoc-han" TargetMode="External"/><Relationship Id="rId198" Type="http://schemas.openxmlformats.org/officeDocument/2006/relationships/hyperlink" Target="https://techcombank.com/thong-tin/blog/luong-huu" TargetMode="External"/><Relationship Id="rId197" Type="http://schemas.openxmlformats.org/officeDocument/2006/relationships/hyperlink" Target="https://techcombank.com/thong-tin/blog/sao-ke-luong" TargetMode="External"/><Relationship Id="rId196" Type="http://schemas.openxmlformats.org/officeDocument/2006/relationships/hyperlink" Target="https://techcombank.com/thong-tin/blog/dang-ky-ma-so-thue-ca-nhan" TargetMode="External"/><Relationship Id="rId195" Type="http://schemas.openxmlformats.org/officeDocument/2006/relationships/hyperlink" Target="https://techcombank.com/thong-tin/blog/hoan-thue-thu-nhap-ca-nhan" TargetMode="External"/><Relationship Id="rId199" Type="http://schemas.openxmlformats.org/officeDocument/2006/relationships/hyperlink" Target="https://techcombank.com/thong-tin/blog/cach-tinh-thue-ho-kinh-doanh-nho-le" TargetMode="External"/><Relationship Id="rId150" Type="http://schemas.openxmlformats.org/officeDocument/2006/relationships/hyperlink" Target="https://techcombank.com/thong-tin/blog/loi-nhuan" TargetMode="External"/><Relationship Id="rId149" Type="http://schemas.openxmlformats.org/officeDocument/2006/relationships/hyperlink" Target="https://techcombank.com/thong-tin/blog/khau-hao-la-gi" TargetMode="External"/><Relationship Id="rId148" Type="http://schemas.openxmlformats.org/officeDocument/2006/relationships/hyperlink" Target="https://techcombank.com/thong-tin/blog/chuan-bi-cho-doanh-nghiep-khoi-nghiep-truoc-nhung-thay-doi-ve-thue" TargetMode="External"/><Relationship Id="rId1090" Type="http://schemas.openxmlformats.org/officeDocument/2006/relationships/hyperlink" Target="https://techcombank.com/thong-tin/blog/no-xau-nhom-2" TargetMode="External"/><Relationship Id="rId1091" Type="http://schemas.openxmlformats.org/officeDocument/2006/relationships/hyperlink" Target="https://techcombank.com/thong-tin/blog/co-100-trieu-co-mua-nen-mua-tra-gop" TargetMode="External"/><Relationship Id="rId1092" Type="http://schemas.openxmlformats.org/officeDocument/2006/relationships/hyperlink" Target="https://techcombank.com/thong-tin/blog/dang-vay-tra-gop-co-vay-them-duoc-khong" TargetMode="External"/><Relationship Id="rId1093" Type="http://schemas.openxmlformats.org/officeDocument/2006/relationships/hyperlink" Target="https://techcombank.com/thong-tin/blog/vay-20-trieu" TargetMode="External"/><Relationship Id="rId1094" Type="http://schemas.openxmlformats.org/officeDocument/2006/relationships/hyperlink" Target="https://techcombank.com/thong-tin/blog/thanh-toan-toi-thieu-the-tin-dung" TargetMode="External"/><Relationship Id="rId143" Type="http://schemas.openxmlformats.org/officeDocument/2006/relationships/hyperlink" Target="https://techcombank.com/thong-tin/blog/chi-phi-mo-tai-khoan-ngan-hang-cho-cong-ty" TargetMode="External"/><Relationship Id="rId1095" Type="http://schemas.openxmlformats.org/officeDocument/2006/relationships/hyperlink" Target="https://techcombank.com/thong-tin/blog/qua-han-thanh-toan-the-tin-dung-1-ngay" TargetMode="External"/><Relationship Id="rId142" Type="http://schemas.openxmlformats.org/officeDocument/2006/relationships/hyperlink" Target="https://techcombank.com/thong-tin/blog/tai-khoan-cong-ty-co-chuyen-online-duoc-khong" TargetMode="External"/><Relationship Id="rId1096" Type="http://schemas.openxmlformats.org/officeDocument/2006/relationships/hyperlink" Target="https://techcombank.com/thong-tin/blog/sao-ke-the-tin-dung-la-gi" TargetMode="External"/><Relationship Id="rId141" Type="http://schemas.openxmlformats.org/officeDocument/2006/relationships/hyperlink" Target="https://techcombank.com/thong-tin/blog/mau-mo-tai-khoan-doanh-nghiep-techcombank" TargetMode="External"/><Relationship Id="rId1097" Type="http://schemas.openxmlformats.org/officeDocument/2006/relationships/hyperlink" Target="https://techcombank.com/thong-tin/blog/no-the-tin-dung-qua-han" TargetMode="External"/><Relationship Id="rId140" Type="http://schemas.openxmlformats.org/officeDocument/2006/relationships/hyperlink" Target="https://techcombank.com/thong-tin/blog/sao-ke-tai-khoan-doanh-nghiep" TargetMode="External"/><Relationship Id="rId1098" Type="http://schemas.openxmlformats.org/officeDocument/2006/relationships/hyperlink" Target="https://techcombank.com/thong-tin/blog/the-tin-dung-mien-lai-55-ngay" TargetMode="External"/><Relationship Id="rId147" Type="http://schemas.openxmlformats.org/officeDocument/2006/relationships/hyperlink" Target="https://techcombank.com/thong-tin/blog/cach-doc-bao-cao-tai-chinh" TargetMode="External"/><Relationship Id="rId1099" Type="http://schemas.openxmlformats.org/officeDocument/2006/relationships/hyperlink" Target="https://techcombank.com/thong-tin/blog/du-no-la-gi" TargetMode="External"/><Relationship Id="rId146" Type="http://schemas.openxmlformats.org/officeDocument/2006/relationships/hyperlink" Target="https://techcombank.com/thong-tin/blog/loi-nhuan-rong" TargetMode="External"/><Relationship Id="rId145" Type="http://schemas.openxmlformats.org/officeDocument/2006/relationships/hyperlink" Target="https://techcombank.com/thong-tin/blog/khau-hao" TargetMode="External"/><Relationship Id="rId144" Type="http://schemas.openxmlformats.org/officeDocument/2006/relationships/hyperlink" Target="https://techcombank.com/thong-tin/blog/nhung-chi-phi-khong-duoc-tru-khi-tinh-thue-tndn" TargetMode="External"/><Relationship Id="rId139" Type="http://schemas.openxmlformats.org/officeDocument/2006/relationships/hyperlink" Target="https://techcombank.com/thong-tin/blog/rut-tien-mat-tu-tai-khoan-doanh-nghiep" TargetMode="External"/><Relationship Id="rId138" Type="http://schemas.openxmlformats.org/officeDocument/2006/relationships/hyperlink" Target="https://techcombank.com/thong-tin/blog/tai-khoan-doanh-nghiep-co-the-khong" TargetMode="External"/><Relationship Id="rId137" Type="http://schemas.openxmlformats.org/officeDocument/2006/relationships/hyperlink" Target="https://techcombank.com/thong-tin/blog/dong-tai-khoan-ngan-hang-cong-ty" TargetMode="External"/><Relationship Id="rId1080" Type="http://schemas.openxmlformats.org/officeDocument/2006/relationships/hyperlink" Target="https://techcombank.com/thong-tin/blog/cic-la-gi" TargetMode="External"/><Relationship Id="rId1081" Type="http://schemas.openxmlformats.org/officeDocument/2006/relationships/hyperlink" Target="https://techcombank.com/thong-tin/blog/the-tin-dung-bi-khoa" TargetMode="External"/><Relationship Id="rId1082" Type="http://schemas.openxmlformats.org/officeDocument/2006/relationships/hyperlink" Target="https://techcombank.com/thong-tin/blog/no-xau-mo-the-tin-dung-duoc-khong" TargetMode="External"/><Relationship Id="rId1083" Type="http://schemas.openxmlformats.org/officeDocument/2006/relationships/hyperlink" Target="https://techcombank.com/thong-tin/blog/no-the-tin-dung-qua-han" TargetMode="External"/><Relationship Id="rId132" Type="http://schemas.openxmlformats.org/officeDocument/2006/relationships/hyperlink" Target="https://techcombank.com/thong-tin/blog/luu-y-khi-chuyen-tien-vao-tai-khoan-cong-ty" TargetMode="External"/><Relationship Id="rId1084" Type="http://schemas.openxmlformats.org/officeDocument/2006/relationships/hyperlink" Target="https://techcombank.com/thong-tin/blog/luu-y-khi-su-dung-the-tin-dung" TargetMode="External"/><Relationship Id="rId131" Type="http://schemas.openxmlformats.org/officeDocument/2006/relationships/hyperlink" Target="https://techcombank.com/thong-tin/blog/mo-tai-khoan-doanh-nghiep" TargetMode="External"/><Relationship Id="rId1085" Type="http://schemas.openxmlformats.org/officeDocument/2006/relationships/hyperlink" Target="https://techcombank.com/thong-tin/blog/han-muc-vay-the-chap-so-do" TargetMode="External"/><Relationship Id="rId130" Type="http://schemas.openxmlformats.org/officeDocument/2006/relationships/hyperlink" Target="https://techcombank.com/thong-tin/blog/thu-tuc-thanh-lap-doanh-nghiep" TargetMode="External"/><Relationship Id="rId1086" Type="http://schemas.openxmlformats.org/officeDocument/2006/relationships/hyperlink" Target="https://techcombank.com/thong-tin/blog/vay-tin-chap-no-xau" TargetMode="External"/><Relationship Id="rId1087" Type="http://schemas.openxmlformats.org/officeDocument/2006/relationships/hyperlink" Target="https://techcombank.com/thong-tin/blog/mua-nha-tra-gop-dua-truoc-100-trieu" TargetMode="External"/><Relationship Id="rId136" Type="http://schemas.openxmlformats.org/officeDocument/2006/relationships/hyperlink" Target="https://techcombank.com/thong-tin/blog/nop-tien-mat-vao-tai-khoan-cong-ty" TargetMode="External"/><Relationship Id="rId1088" Type="http://schemas.openxmlformats.org/officeDocument/2006/relationships/hyperlink" Target="https://techcombank.com/thong-tin/blog/dieu-kien-vay-the-chap" TargetMode="External"/><Relationship Id="rId135" Type="http://schemas.openxmlformats.org/officeDocument/2006/relationships/hyperlink" Target="https://techcombank.com/thong-tin/blog/tra-luong-tien-mat" TargetMode="External"/><Relationship Id="rId1089" Type="http://schemas.openxmlformats.org/officeDocument/2006/relationships/hyperlink" Target="https://techcombank.com/thong-tin/blog/vay-han-muc-la-gi" TargetMode="External"/><Relationship Id="rId134" Type="http://schemas.openxmlformats.org/officeDocument/2006/relationships/hyperlink" Target="https://techcombank.com/thong-tin/blog/tien-chuyen-vao-tai-khoan-co-bi-tinh-thue-khong" TargetMode="External"/><Relationship Id="rId133" Type="http://schemas.openxmlformats.org/officeDocument/2006/relationships/hyperlink" Target="https://techcombank.com/thong-tin/blog/cach-su-dung-tai-khoan-cong-ty" TargetMode="External"/><Relationship Id="rId172" Type="http://schemas.openxmlformats.org/officeDocument/2006/relationships/hyperlink" Target="https://techcombank.com/thong-tin/blog/cach-nap-the-vina" TargetMode="External"/><Relationship Id="rId171" Type="http://schemas.openxmlformats.org/officeDocument/2006/relationships/hyperlink" Target="https://techcombank.com/thong-tin/blog/thanh-toan-tra-sau-viettel-bang-tai-khoan-ngan-hang" TargetMode="External"/><Relationship Id="rId170" Type="http://schemas.openxmlformats.org/officeDocument/2006/relationships/hyperlink" Target="https://techcombank.com/thong-tin/blog/nap-tien-dien-thoai-online" TargetMode="External"/><Relationship Id="rId165" Type="http://schemas.openxmlformats.org/officeDocument/2006/relationships/hyperlink" Target="https://techcombank.com/thong-tin/blog/dau-co-va-dau-tu" TargetMode="External"/><Relationship Id="rId164" Type="http://schemas.openxmlformats.org/officeDocument/2006/relationships/hyperlink" Target="https://techcombank.com/thong-tin/blog/cach-tinh-loi-nhuan-chung-chi-tien-gui" TargetMode="External"/><Relationship Id="rId163" Type="http://schemas.openxmlformats.org/officeDocument/2006/relationships/hyperlink" Target="https://techcombank.com/thong-tin/blog/mua-chung-chi-quy" TargetMode="External"/><Relationship Id="rId162" Type="http://schemas.openxmlformats.org/officeDocument/2006/relationships/hyperlink" Target="https://techcombank.com/thong-tin/blog/danh-muc-dau-tu" TargetMode="External"/><Relationship Id="rId169" Type="http://schemas.openxmlformats.org/officeDocument/2006/relationships/hyperlink" Target="https://techcombank.com/thong-tin/blog/cach-nap-the" TargetMode="External"/><Relationship Id="rId168" Type="http://schemas.openxmlformats.org/officeDocument/2006/relationships/hyperlink" Target="https://techcombank.com/thong-tin/blog/ngoai-hoi-la-gi" TargetMode="External"/><Relationship Id="rId167" Type="http://schemas.openxmlformats.org/officeDocument/2006/relationships/hyperlink" Target="https://techcombank.com/thong-tin/blog/toi-uu-hoa-chi-phi-trong-doanh-nghiep" TargetMode="External"/><Relationship Id="rId166" Type="http://schemas.openxmlformats.org/officeDocument/2006/relationships/hyperlink" Target="https://techcombank.com/thong-tin/blog/co-50-trieu-nen-mua-vang-hay-gui-tiet-kiem" TargetMode="External"/><Relationship Id="rId161" Type="http://schemas.openxmlformats.org/officeDocument/2006/relationships/hyperlink" Target="https://techcombank.com/thong-tin/blog/ho-kinh-doanh-can-gi-o-tai-khoan-ngan-hang" TargetMode="External"/><Relationship Id="rId160" Type="http://schemas.openxmlformats.org/officeDocument/2006/relationships/hyperlink" Target="https://techcombank.com/thong-tin/blog/lai-suat-chung-chi-quy" TargetMode="External"/><Relationship Id="rId159" Type="http://schemas.openxmlformats.org/officeDocument/2006/relationships/hyperlink" Target="https://techcombank.com/thong-tin/blog/lai-suat-tiet-kiem" TargetMode="External"/><Relationship Id="rId154" Type="http://schemas.openxmlformats.org/officeDocument/2006/relationships/hyperlink" Target="https://techcombank.com/thong-tin/blog/thi-truong-trai-phieu-am-tro-lai-nha-dau-tu-san-sang-cho-nhung-co-hoi-sinh-loi-moi" TargetMode="External"/><Relationship Id="rId153" Type="http://schemas.openxmlformats.org/officeDocument/2006/relationships/hyperlink" Target="https://techcombank.com/thong-tin/blog/thue-thu-nhap-doanh-nghiep" TargetMode="External"/><Relationship Id="rId152" Type="http://schemas.openxmlformats.org/officeDocument/2006/relationships/hyperlink" Target="https://techcombank.com/thong-tin/blog/tim-hieu-ve-chinh-sach-thue-moi" TargetMode="External"/><Relationship Id="rId151" Type="http://schemas.openxmlformats.org/officeDocument/2006/relationships/hyperlink" Target="https://techcombank.com/thong-tin/blog/thue-doanh-nghiep" TargetMode="External"/><Relationship Id="rId158" Type="http://schemas.openxmlformats.org/officeDocument/2006/relationships/hyperlink" Target="https://techcombank.com/thong-tin/blog/gia-chung-chi-quy-la-gi" TargetMode="External"/><Relationship Id="rId157" Type="http://schemas.openxmlformats.org/officeDocument/2006/relationships/hyperlink" Target="https://techcombank.com/thong-tin/blog/nha-dau-tu-giao-dich-trai-phieu-truc-tuyen-tang-manh-tro-lai" TargetMode="External"/><Relationship Id="rId156" Type="http://schemas.openxmlformats.org/officeDocument/2006/relationships/hyperlink" Target="https://techcombank.com/thong-tin/blog/quan-ly-tai-chinh-doanh-nghiep-la-gi" TargetMode="External"/><Relationship Id="rId155" Type="http://schemas.openxmlformats.org/officeDocument/2006/relationships/hyperlink" Target="https://techcombank.com/thong-tin/blog/kinh-nghiem-mua-vang-tich-tru" TargetMode="External"/><Relationship Id="rId1972" Type="http://schemas.openxmlformats.org/officeDocument/2006/relationships/hyperlink" Target="https://techcombank.com/thong-tin/blog/lai-suat-tiet-kiem" TargetMode="External"/><Relationship Id="rId1973" Type="http://schemas.openxmlformats.org/officeDocument/2006/relationships/hyperlink" Target="https://techcombank.com/thong-tin/blog/co-nen-gui-tiet-kiem-online" TargetMode="External"/><Relationship Id="rId1974" Type="http://schemas.openxmlformats.org/officeDocument/2006/relationships/hyperlink" Target="https://techcombank.com/thong-tin/blog/gui-tiet-kiem-ngan-hang-van-la-lua-chon-an-toan-trong-thoi-ky-kinh-te-con-nhieu-bien-dong" TargetMode="External"/><Relationship Id="rId1975" Type="http://schemas.openxmlformats.org/officeDocument/2006/relationships/hyperlink" Target="https://techcombank.com/thong-tin/blog/cach-gui-tiet-kiem-online" TargetMode="External"/><Relationship Id="rId1976" Type="http://schemas.openxmlformats.org/officeDocument/2006/relationships/hyperlink" Target="https://techcombank.com/thong-tin/blog/gui-tien-ngan-hang-co-an-toan-khong" TargetMode="External"/><Relationship Id="rId1977" Type="http://schemas.openxmlformats.org/officeDocument/2006/relationships/hyperlink" Target="https://techcombank.com/thong-tin/blog/dau-tu-trai-phieu-doanh-nghiep-dung-ham-lai-suat-cao" TargetMode="External"/><Relationship Id="rId1978" Type="http://schemas.openxmlformats.org/officeDocument/2006/relationships/hyperlink" Target="https://techcombank.com/thong-tin/blog/nen-gui-tiet-kiem-6-thang-hay-1-nam" TargetMode="External"/><Relationship Id="rId1979" Type="http://schemas.openxmlformats.org/officeDocument/2006/relationships/hyperlink" Target="https://techcombank.com/thong-tin/blog/lai-suat-the-tin-dung" TargetMode="External"/><Relationship Id="rId1970" Type="http://schemas.openxmlformats.org/officeDocument/2006/relationships/hyperlink" Target="https://techcombank.com/thong-tin/blog/qua-han-thanh-toan-the-tin-dung-1-ngay" TargetMode="External"/><Relationship Id="rId1971" Type="http://schemas.openxmlformats.org/officeDocument/2006/relationships/hyperlink" Target="https://techcombank.com/thong-tin/blog/co-nen-gui-tiet-kiem-ngan-hang" TargetMode="External"/><Relationship Id="rId1961" Type="http://schemas.openxmlformats.org/officeDocument/2006/relationships/hyperlink" Target="https://techcombank.com/thong-tin/blog/cong-thuc-tinh-lai-suat-thuc" TargetMode="External"/><Relationship Id="rId1962" Type="http://schemas.openxmlformats.org/officeDocument/2006/relationships/hyperlink" Target="https://techcombank.com/thong-tin/blog/quy-trinh-gui-tien-tiet-kiem" TargetMode="External"/><Relationship Id="rId1963" Type="http://schemas.openxmlformats.org/officeDocument/2006/relationships/hyperlink" Target="https://techcombank.com/thong-tin/blog/gui-tiet-kiem-theo-ngay" TargetMode="External"/><Relationship Id="rId1964" Type="http://schemas.openxmlformats.org/officeDocument/2006/relationships/hyperlink" Target="https://techcombank.com/thong-tin/blog/gui-tiet-kiem-vang" TargetMode="External"/><Relationship Id="rId1965" Type="http://schemas.openxmlformats.org/officeDocument/2006/relationships/hyperlink" Target="https://techcombank.com/thong-tin/blog/nen-gui-tiet-kiem-thong-thuong-hay-tich-luy" TargetMode="External"/><Relationship Id="rId1966" Type="http://schemas.openxmlformats.org/officeDocument/2006/relationships/hyperlink" Target="https://techcombank.com/thong-tin/blog/tai-sao-gui-tiet-kiem-online-lai-suat-cao-hon" TargetMode="External"/><Relationship Id="rId1967" Type="http://schemas.openxmlformats.org/officeDocument/2006/relationships/hyperlink" Target="https://techcombank.com/thong-tin/blog/rui-ro-khi-vay-the-chap-ngan-hang" TargetMode="External"/><Relationship Id="rId1968" Type="http://schemas.openxmlformats.org/officeDocument/2006/relationships/hyperlink" Target="https://techcombank.com/thong-tin/blog/nen-de-tien-trong-the-hay-gui-tiet-kiem" TargetMode="External"/><Relationship Id="rId1969" Type="http://schemas.openxmlformats.org/officeDocument/2006/relationships/hyperlink" Target="https://techcombank.com/thong-tin/blog/lai-suat-vay-thau-chi" TargetMode="External"/><Relationship Id="rId1960" Type="http://schemas.openxmlformats.org/officeDocument/2006/relationships/hyperlink" Target="https://techcombank.com/thong-tin/blog/lai-suat-vay-kinh-doanh" TargetMode="External"/><Relationship Id="rId1510" Type="http://schemas.openxmlformats.org/officeDocument/2006/relationships/hyperlink" Target="https://techcombank.com/thong-tin/blog/bao-hiem-du-lich-quoc-te-nao-tot" TargetMode="External"/><Relationship Id="rId1994" Type="http://schemas.openxmlformats.org/officeDocument/2006/relationships/hyperlink" Target="https://techcombank.com/thong-tin/blog/lai-suat-vay-ngan-hang" TargetMode="External"/><Relationship Id="rId1511" Type="http://schemas.openxmlformats.org/officeDocument/2006/relationships/hyperlink" Target="https://techcombank.com/thong-tin/blog/dac-san-ha-long" TargetMode="External"/><Relationship Id="rId1995" Type="http://schemas.openxmlformats.org/officeDocument/2006/relationships/hyperlink" Target="https://techcombank.com/thong-tin/blog/gui-tiet-kiem-online-co-rut-truoc-han-duoc-khong" TargetMode="External"/><Relationship Id="rId1512" Type="http://schemas.openxmlformats.org/officeDocument/2006/relationships/hyperlink" Target="https://techcombank.com/thong-tin/blog/minigame-world-cup" TargetMode="External"/><Relationship Id="rId1996" Type="http://schemas.openxmlformats.org/officeDocument/2006/relationships/hyperlink" Target="https://techcombank.com/thong-tin/blog/gui-tiet-kiem-online-quay-vong-ca-goc-va-lai" TargetMode="External"/><Relationship Id="rId1513" Type="http://schemas.openxmlformats.org/officeDocument/2006/relationships/hyperlink" Target="https://techcombank.com/thong-tin/blog/voucher-winmart" TargetMode="External"/><Relationship Id="rId1997" Type="http://schemas.openxmlformats.org/officeDocument/2006/relationships/hyperlink" Target="https://techcombank.com/thong-tin/blog/chung-chi-tien-gui-khac-gi-so-tiet-kiem" TargetMode="External"/><Relationship Id="rId1514" Type="http://schemas.openxmlformats.org/officeDocument/2006/relationships/hyperlink" Target="https://techcombank.com/thong-tin/blog/bao-hiem-hanh-ly" TargetMode="External"/><Relationship Id="rId1998" Type="http://schemas.openxmlformats.org/officeDocument/2006/relationships/hyperlink" Target="https://techcombank.com/thong-tin/blog/dau-tu-dai-han" TargetMode="External"/><Relationship Id="rId1515" Type="http://schemas.openxmlformats.org/officeDocument/2006/relationships/hyperlink" Target="https://techcombank.com/thong-tin/blog/dac-san-da-nang" TargetMode="External"/><Relationship Id="rId1999" Type="http://schemas.openxmlformats.org/officeDocument/2006/relationships/hyperlink" Target="https://techcombank.com/thong-tin/blog/so-sanh-gui-tiet-kiem-online-va-tai-quay" TargetMode="External"/><Relationship Id="rId1516" Type="http://schemas.openxmlformats.org/officeDocument/2006/relationships/hyperlink" Target="https://techcombank.com/thong-tin/blog/dac-san-nha-trang" TargetMode="External"/><Relationship Id="rId1517" Type="http://schemas.openxmlformats.org/officeDocument/2006/relationships/hyperlink" Target="https://techcombank.com/thong-tin/blog/ban-do-du-lich" TargetMode="External"/><Relationship Id="rId1518" Type="http://schemas.openxmlformats.org/officeDocument/2006/relationships/hyperlink" Target="https://techcombank.com/thong-tin/blog/bib-techcombank" TargetMode="External"/><Relationship Id="rId1519" Type="http://schemas.openxmlformats.org/officeDocument/2006/relationships/hyperlink" Target="https://techcombank.com/thong-tin/blog/giao-thong-xanh" TargetMode="External"/><Relationship Id="rId1990" Type="http://schemas.openxmlformats.org/officeDocument/2006/relationships/hyperlink" Target="https://techcombank.com/thong-tin/blog/cach-tinh-lai-vay-ngan-hang" TargetMode="External"/><Relationship Id="rId1991" Type="http://schemas.openxmlformats.org/officeDocument/2006/relationships/hyperlink" Target="https://techcombank.com/thong-tin/blog/gui-tiet-kiem-online-bi-mat-tien" TargetMode="External"/><Relationship Id="rId1992" Type="http://schemas.openxmlformats.org/officeDocument/2006/relationships/hyperlink" Target="https://techcombank.com/thong-tin/blog/kinh-nghiem-gui-tiet-kiem-online" TargetMode="External"/><Relationship Id="rId1993" Type="http://schemas.openxmlformats.org/officeDocument/2006/relationships/hyperlink" Target="https://techcombank.com/thong-tin/blog/vay-thau-chi-bang-so-tiet-kiem" TargetMode="External"/><Relationship Id="rId1983" Type="http://schemas.openxmlformats.org/officeDocument/2006/relationships/hyperlink" Target="https://techcombank.com/thong-tin/blog/lai-suat-tha-noi" TargetMode="External"/><Relationship Id="rId1500" Type="http://schemas.openxmlformats.org/officeDocument/2006/relationships/hyperlink" Target="https://techcombank.com/thong-tin/blog/voucher-grab" TargetMode="External"/><Relationship Id="rId1984" Type="http://schemas.openxmlformats.org/officeDocument/2006/relationships/hyperlink" Target="https://techcombank.com/thong-tin/blog/lai-suat-vay-tieu-dung" TargetMode="External"/><Relationship Id="rId1501" Type="http://schemas.openxmlformats.org/officeDocument/2006/relationships/hyperlink" Target="https://techcombank.com/thong-tin/blog/dat-xe-xanh-sm" TargetMode="External"/><Relationship Id="rId1985" Type="http://schemas.openxmlformats.org/officeDocument/2006/relationships/hyperlink" Target="https://techcombank.com/thong-tin/blog/chon-kenh-dau-tu-an-toan-trong-boi-canh-thi-truong-bien-dong" TargetMode="External"/><Relationship Id="rId1502" Type="http://schemas.openxmlformats.org/officeDocument/2006/relationships/hyperlink" Target="https://techcombank.com/thong-tin/blog/shang-chi" TargetMode="External"/><Relationship Id="rId1986" Type="http://schemas.openxmlformats.org/officeDocument/2006/relationships/hyperlink" Target="https://techcombank.com/thong-tin/blog/gui-tiet-kiem-ngoai-te" TargetMode="External"/><Relationship Id="rId1503" Type="http://schemas.openxmlformats.org/officeDocument/2006/relationships/hyperlink" Target="https://techcombank.com/thong-tin/blog/tous-les-jours" TargetMode="External"/><Relationship Id="rId1987" Type="http://schemas.openxmlformats.org/officeDocument/2006/relationships/hyperlink" Target="https://techcombank.com/thong-tin/blog/lai-suat-ngan-hang-cho-vay-xay-nha" TargetMode="External"/><Relationship Id="rId1504" Type="http://schemas.openxmlformats.org/officeDocument/2006/relationships/hyperlink" Target="https://techcombank.com/thong-tin/blog/woomaster" TargetMode="External"/><Relationship Id="rId1988" Type="http://schemas.openxmlformats.org/officeDocument/2006/relationships/hyperlink" Target="https://techcombank.com/thong-tin/blog/rui-ro-khi-gui-tiet-kiem-ngan-hang" TargetMode="External"/><Relationship Id="rId1505" Type="http://schemas.openxmlformats.org/officeDocument/2006/relationships/hyperlink" Target="https://techcombank.com/thong-tin/blog/voucher-xanh-sm" TargetMode="External"/><Relationship Id="rId1989" Type="http://schemas.openxmlformats.org/officeDocument/2006/relationships/hyperlink" Target="https://techcombank.com/thong-tin/blog/tra-no-vay-thau-chi-nhu-the-nao" TargetMode="External"/><Relationship Id="rId1506" Type="http://schemas.openxmlformats.org/officeDocument/2006/relationships/hyperlink" Target="https://techcombank.com/thong-tin/blog/diem-loyalty-la-gi" TargetMode="External"/><Relationship Id="rId1507" Type="http://schemas.openxmlformats.org/officeDocument/2006/relationships/hyperlink" Target="https://techcombank.com/thong-tin/blog/thanh-toan-ve-may-bay-online" TargetMode="External"/><Relationship Id="rId1508" Type="http://schemas.openxmlformats.org/officeDocument/2006/relationships/hyperlink" Target="https://techcombank.com/thong-tin/blog/uu-dai-mua-ve-may-bay-bang-the-tin-dung" TargetMode="External"/><Relationship Id="rId1509" Type="http://schemas.openxmlformats.org/officeDocument/2006/relationships/hyperlink" Target="https://techcombank.com/thong-tin/blog/dac-san-hai-phong" TargetMode="External"/><Relationship Id="rId1980" Type="http://schemas.openxmlformats.org/officeDocument/2006/relationships/hyperlink" Target="https://techcombank.com/thong-tin/blog/gui-tiet-kiem-tich-luy-la-gi" TargetMode="External"/><Relationship Id="rId1981" Type="http://schemas.openxmlformats.org/officeDocument/2006/relationships/hyperlink" Target="https://techcombank.com/thong-tin/blog/lai-suat-vay-the-chap-so-do" TargetMode="External"/><Relationship Id="rId1982" Type="http://schemas.openxmlformats.org/officeDocument/2006/relationships/hyperlink" Target="https://techcombank.com/thong-tin/blog/rui-ro-khi-gui-tiet-kiem-online" TargetMode="External"/><Relationship Id="rId1930" Type="http://schemas.openxmlformats.org/officeDocument/2006/relationships/hyperlink" Target="https://techcombank.com/thong-tin/blog/gui-tien-ngan-hang-co-an-toan-khong" TargetMode="External"/><Relationship Id="rId1931" Type="http://schemas.openxmlformats.org/officeDocument/2006/relationships/hyperlink" Target="https://techcombank.com/thong-tin/blog/dau-tu-trai-phieu-doanh-nghiep-dung-ham-lai-suat-cao" TargetMode="External"/><Relationship Id="rId1932" Type="http://schemas.openxmlformats.org/officeDocument/2006/relationships/hyperlink" Target="https://techcombank.com/thong-tin/blog/casa-la-gi" TargetMode="External"/><Relationship Id="rId1933" Type="http://schemas.openxmlformats.org/officeDocument/2006/relationships/hyperlink" Target="https://techcombank.com/thong-tin/blog/gui-tiet-kiem-tich-luy-la-gi" TargetMode="External"/><Relationship Id="rId1934" Type="http://schemas.openxmlformats.org/officeDocument/2006/relationships/hyperlink" Target="https://techcombank.com/thong-tin/blog/gui-tiet-kiem-lay-lai-hang-thang" TargetMode="External"/><Relationship Id="rId1935" Type="http://schemas.openxmlformats.org/officeDocument/2006/relationships/hyperlink" Target="https://techcombank.com/thong-tin/blog/rui-ro-khi-gui-tiet-kiem-online" TargetMode="External"/><Relationship Id="rId1936" Type="http://schemas.openxmlformats.org/officeDocument/2006/relationships/hyperlink" Target="https://techcombank.com/thong-tin/blog/cach-tinh-lai-suat-tien-gui-tiet-kiem" TargetMode="External"/><Relationship Id="rId1937" Type="http://schemas.openxmlformats.org/officeDocument/2006/relationships/hyperlink" Target="https://techcombank.com/thong-tin/blog/chon-kenh-dau-tu-an-toan-trong-boi-canh-thi-truong-bien-dong" TargetMode="External"/><Relationship Id="rId1938" Type="http://schemas.openxmlformats.org/officeDocument/2006/relationships/hyperlink" Target="https://techcombank.com/thong-tin/blog/mo-so-tiet-kiem-can-bao-nhieu-tien" TargetMode="External"/><Relationship Id="rId1939" Type="http://schemas.openxmlformats.org/officeDocument/2006/relationships/hyperlink" Target="https://techcombank.com/thong-tin/blog/gui-tiet-kiem-ngoai-te" TargetMode="External"/><Relationship Id="rId1920" Type="http://schemas.openxmlformats.org/officeDocument/2006/relationships/hyperlink" Target="https://techcombank.com/thong-tin/blog/gui-tiet-kiem-theo-ngay" TargetMode="External"/><Relationship Id="rId1921" Type="http://schemas.openxmlformats.org/officeDocument/2006/relationships/hyperlink" Target="https://techcombank.com/thong-tin/blog/gui-tiet-kiem-vang" TargetMode="External"/><Relationship Id="rId1922" Type="http://schemas.openxmlformats.org/officeDocument/2006/relationships/hyperlink" Target="https://techcombank.com/thong-tin/blog/gia-cao-su" TargetMode="External"/><Relationship Id="rId1923" Type="http://schemas.openxmlformats.org/officeDocument/2006/relationships/hyperlink" Target="https://techcombank.com/thong-tin/blog/nen-gui-tiet-kiem-thong-thuong-hay-tich-luy" TargetMode="External"/><Relationship Id="rId1924" Type="http://schemas.openxmlformats.org/officeDocument/2006/relationships/hyperlink" Target="https://techcombank.com/thong-tin/blog/nen-de-tien-trong-the-hay-gui-tiet-kiem" TargetMode="External"/><Relationship Id="rId1925" Type="http://schemas.openxmlformats.org/officeDocument/2006/relationships/hyperlink" Target="https://techcombank.com/thong-tin/blog/tien-gui-khong-ky-han" TargetMode="External"/><Relationship Id="rId1926" Type="http://schemas.openxmlformats.org/officeDocument/2006/relationships/hyperlink" Target="https://techcombank.com/thong-tin/blog/vay-mua-nha-tra-gop" TargetMode="External"/><Relationship Id="rId1927" Type="http://schemas.openxmlformats.org/officeDocument/2006/relationships/hyperlink" Target="https://techcombank.com/thong-tin/blog/co-nen-gui-tiet-kiem-online" TargetMode="External"/><Relationship Id="rId1928" Type="http://schemas.openxmlformats.org/officeDocument/2006/relationships/hyperlink" Target="https://techcombank.com/thong-tin/blog/gui-tiet-kiem-ngan-hang-van-la-lua-chon-an-toan-trong-thoi-ky-kinh-te-con-nhieu-bien-dong" TargetMode="External"/><Relationship Id="rId1929" Type="http://schemas.openxmlformats.org/officeDocument/2006/relationships/hyperlink" Target="https://techcombank.com/thong-tin/blog/cach-gui-tiet-kiem-online" TargetMode="External"/><Relationship Id="rId1950" Type="http://schemas.openxmlformats.org/officeDocument/2006/relationships/hyperlink" Target="https://techcombank.com/thong-tin/blog/co-50-trieu-nen-mua-vang-hay-gui-tiet-kiem" TargetMode="External"/><Relationship Id="rId1951" Type="http://schemas.openxmlformats.org/officeDocument/2006/relationships/hyperlink" Target="https://techcombank.com/thong-tin/blog/lai-suat-cho-vay-doanh-nghiep" TargetMode="External"/><Relationship Id="rId1952" Type="http://schemas.openxmlformats.org/officeDocument/2006/relationships/hyperlink" Target="https://techcombank.com/thong-tin/blog/lai-suat-gui-tiet-kiem-usd" TargetMode="External"/><Relationship Id="rId1953" Type="http://schemas.openxmlformats.org/officeDocument/2006/relationships/hyperlink" Target="https://techcombank.com/thong-tin/blog/gui-tiet-kiem-usd" TargetMode="External"/><Relationship Id="rId1954" Type="http://schemas.openxmlformats.org/officeDocument/2006/relationships/hyperlink" Target="https://techcombank.com/thong-tin/blog/cach-tinh-ty-gia-ky-han" TargetMode="External"/><Relationship Id="rId1955" Type="http://schemas.openxmlformats.org/officeDocument/2006/relationships/hyperlink" Target="https://techcombank.com/thong-tin/blog/lai-kep-ngan-hang" TargetMode="External"/><Relationship Id="rId1956" Type="http://schemas.openxmlformats.org/officeDocument/2006/relationships/hyperlink" Target="https://techcombank.com/thong-tin/blog/gui-tiet-kiem-lay-lai-hang-thang" TargetMode="External"/><Relationship Id="rId1957" Type="http://schemas.openxmlformats.org/officeDocument/2006/relationships/hyperlink" Target="https://techcombank.com/thong-tin/blog/gui-tiet-kiem-hang-thang" TargetMode="External"/><Relationship Id="rId1958" Type="http://schemas.openxmlformats.org/officeDocument/2006/relationships/hyperlink" Target="https://techcombank.com/thong-tin/blog/tien-gui-khong-ky-han" TargetMode="External"/><Relationship Id="rId1959" Type="http://schemas.openxmlformats.org/officeDocument/2006/relationships/hyperlink" Target="https://techcombank.com/thong-tin/blog/dao-han-la-gi" TargetMode="External"/><Relationship Id="rId1940" Type="http://schemas.openxmlformats.org/officeDocument/2006/relationships/hyperlink" Target="https://techcombank.com/thong-tin/blog/rui-ro-khi-gui-tiet-kiem-ngan-hang" TargetMode="External"/><Relationship Id="rId1941" Type="http://schemas.openxmlformats.org/officeDocument/2006/relationships/hyperlink" Target="https://techcombank.com/thong-tin/blog/gui-tiet-kiem-hang-thang" TargetMode="External"/><Relationship Id="rId1942" Type="http://schemas.openxmlformats.org/officeDocument/2006/relationships/hyperlink" Target="https://techcombank.com/thong-tin/blog/xu-huong-dau-tu-trai-phieu-ky-han-duoi-mot-nam-lua-chon-an-toan-khi-thi-truong-bien-dong" TargetMode="External"/><Relationship Id="rId1943" Type="http://schemas.openxmlformats.org/officeDocument/2006/relationships/hyperlink" Target="https://techcombank.com/thong-tin/blog/gui-tiet-kiem-online-bi-mat-tien" TargetMode="External"/><Relationship Id="rId1944" Type="http://schemas.openxmlformats.org/officeDocument/2006/relationships/hyperlink" Target="https://techcombank.com/thong-tin/blog/kinh-nghiem-gui-tiet-kiem-online" TargetMode="External"/><Relationship Id="rId1945" Type="http://schemas.openxmlformats.org/officeDocument/2006/relationships/hyperlink" Target="https://techcombank.com/thong-tin/blog/gui-tiet-kiem-online-co-rut-truoc-han-duoc-khong" TargetMode="External"/><Relationship Id="rId1946" Type="http://schemas.openxmlformats.org/officeDocument/2006/relationships/hyperlink" Target="https://techcombank.com/thong-tin/blog/gui-tiet-kiem-online-quay-vong-ca-goc-va-lai" TargetMode="External"/><Relationship Id="rId1947" Type="http://schemas.openxmlformats.org/officeDocument/2006/relationships/hyperlink" Target="https://techcombank.com/thong-tin/blog/chung-chi-tien-gui-khac-gi-so-tiet-kiem" TargetMode="External"/><Relationship Id="rId1948" Type="http://schemas.openxmlformats.org/officeDocument/2006/relationships/hyperlink" Target="https://techcombank.com/thong-tin/blog/chung-chi-tien-gui-co-duoc-rut-truoc-han" TargetMode="External"/><Relationship Id="rId1949" Type="http://schemas.openxmlformats.org/officeDocument/2006/relationships/hyperlink" Target="https://techcombank.com/thong-tin/blog/cach-tiet-kiem-tien-sinh-loi" TargetMode="External"/><Relationship Id="rId1576" Type="http://schemas.openxmlformats.org/officeDocument/2006/relationships/hyperlink" Target="https://techcombank.com/thong-tin/blog/hoan-thue-thu-nhap-ca-nhan" TargetMode="External"/><Relationship Id="rId2423" Type="http://schemas.openxmlformats.org/officeDocument/2006/relationships/hyperlink" Target="https://techcombank.com/thong-tin/blog/no-chu-y-la-gi" TargetMode="External"/><Relationship Id="rId1577" Type="http://schemas.openxmlformats.org/officeDocument/2006/relationships/hyperlink" Target="https://techcombank.com/thong-tin/blog/dang-ky-kinh-doanh-la-gi" TargetMode="External"/><Relationship Id="rId2424" Type="http://schemas.openxmlformats.org/officeDocument/2006/relationships/hyperlink" Target="https://techcombank.com/thong-tin/blog/kiem-tra-no-xau" TargetMode="External"/><Relationship Id="rId1578" Type="http://schemas.openxmlformats.org/officeDocument/2006/relationships/hyperlink" Target="https://techcombank.com/thong-tin/blog/thay-doi-dia-chi-ho-kinh-doanh" TargetMode="External"/><Relationship Id="rId2425" Type="http://schemas.openxmlformats.org/officeDocument/2006/relationships/hyperlink" Target="https://techcombank.com/thong-tin/blog/no-xau" TargetMode="External"/><Relationship Id="rId1579" Type="http://schemas.openxmlformats.org/officeDocument/2006/relationships/hyperlink" Target="https://techcombank.com/thong-tin/blog/cach-dang-ky-ma-so-thue-ho-kinh-doanh-online" TargetMode="External"/><Relationship Id="rId2426" Type="http://schemas.openxmlformats.org/officeDocument/2006/relationships/hyperlink" Target="https://techcombank.com/thong-tin/blog/vay-tin-chap-va-vay-the-chap" TargetMode="External"/><Relationship Id="rId2427" Type="http://schemas.openxmlformats.org/officeDocument/2006/relationships/hyperlink" Target="https://techcombank.com/thong-tin/blog/no-xau-la-gi" TargetMode="External"/><Relationship Id="rId2428" Type="http://schemas.openxmlformats.org/officeDocument/2006/relationships/hyperlink" Target="https://techcombank.com/thong-tin/blog/qua-han-thanh-toan-the-tin-dung-1-ngay" TargetMode="External"/><Relationship Id="rId2429" Type="http://schemas.openxmlformats.org/officeDocument/2006/relationships/hyperlink" Target="https://techcombank.com/thong-tin/blog/no-xau-co-lam-the-visa-duoc-khong" TargetMode="External"/><Relationship Id="rId509" Type="http://schemas.openxmlformats.org/officeDocument/2006/relationships/hyperlink" Target="https://techcombank.com/thong-tin/blog/cach-doi-mat-khau-tai-khoan-ngan-hang" TargetMode="External"/><Relationship Id="rId508" Type="http://schemas.openxmlformats.org/officeDocument/2006/relationships/hyperlink" Target="https://techcombank.com/thong-tin/blog/cach-nop-thue-dien-tu" TargetMode="External"/><Relationship Id="rId503" Type="http://schemas.openxmlformats.org/officeDocument/2006/relationships/hyperlink" Target="https://techcombank.com/thong-tin/blog/tra-cuu-no-thue-doanh-nghiep" TargetMode="External"/><Relationship Id="rId987" Type="http://schemas.openxmlformats.org/officeDocument/2006/relationships/hyperlink" Target="https://techcombank.com/thong-tin/blog/tai-khoan-doanh-nghiep-co-the-khong" TargetMode="External"/><Relationship Id="rId502" Type="http://schemas.openxmlformats.org/officeDocument/2006/relationships/hyperlink" Target="https://techcombank.com/thong-tin/blog/ho-kinh-doanh-dong-thue-nhu-nao" TargetMode="External"/><Relationship Id="rId986" Type="http://schemas.openxmlformats.org/officeDocument/2006/relationships/hyperlink" Target="https://techcombank.com/thong-tin/blog/the-tin-dung-het-han" TargetMode="External"/><Relationship Id="rId501" Type="http://schemas.openxmlformats.org/officeDocument/2006/relationships/hyperlink" Target="https://techcombank.com/thong-tin/blog/ke-khai-thue-ho-kinh-doanh-ca-the-online" TargetMode="External"/><Relationship Id="rId985" Type="http://schemas.openxmlformats.org/officeDocument/2006/relationships/hyperlink" Target="https://techcombank.com/thong-tin/blog/the-tin-dung-bi-khoa" TargetMode="External"/><Relationship Id="rId500" Type="http://schemas.openxmlformats.org/officeDocument/2006/relationships/hyperlink" Target="https://techcombank.com/thong-tin/blog/nhung-ho-kinh-doanh-duoc-mien-thue" TargetMode="External"/><Relationship Id="rId984" Type="http://schemas.openxmlformats.org/officeDocument/2006/relationships/hyperlink" Target="https://techcombank.com/thong-tin/blog/cach-khoa-the-ngan-hang" TargetMode="External"/><Relationship Id="rId507" Type="http://schemas.openxmlformats.org/officeDocument/2006/relationships/hyperlink" Target="https://techcombank.com/thong-tin/blog/nop-thue-dat-qua-ngan-hang" TargetMode="External"/><Relationship Id="rId506" Type="http://schemas.openxmlformats.org/officeDocument/2006/relationships/hyperlink" Target="https://techcombank.com/thong-tin/blog/thue-thu-nhap-ca-nhan" TargetMode="External"/><Relationship Id="rId505" Type="http://schemas.openxmlformats.org/officeDocument/2006/relationships/hyperlink" Target="https://techcombank.com/thong-tin/blog/cach-tinh-thue-thu-nhap-ca-nhan-2025" TargetMode="External"/><Relationship Id="rId989" Type="http://schemas.openxmlformats.org/officeDocument/2006/relationships/hyperlink" Target="https://techcombank.com/thong-tin/blog/uu-dai-the-tin-dung-techcombank-signature" TargetMode="External"/><Relationship Id="rId504" Type="http://schemas.openxmlformats.org/officeDocument/2006/relationships/hyperlink" Target="https://techcombank.com/thong-tin/blog/tien-chuyen-vao-tai-khoan-co-bi-tinh-thue-khong" TargetMode="External"/><Relationship Id="rId988" Type="http://schemas.openxmlformats.org/officeDocument/2006/relationships/hyperlink" Target="https://techcombank.com/thong-tin/blog/mm-yy-la-gi" TargetMode="External"/><Relationship Id="rId1570" Type="http://schemas.openxmlformats.org/officeDocument/2006/relationships/hyperlink" Target="https://techcombank.com/thong-tin/blog/thu-tuc-vay-von-kinh-doanh-nho" TargetMode="External"/><Relationship Id="rId1571" Type="http://schemas.openxmlformats.org/officeDocument/2006/relationships/hyperlink" Target="https://techcombank.com/thong-tin/blog/kiem-tra-thue-ho-kinh-doanh" TargetMode="External"/><Relationship Id="rId983" Type="http://schemas.openxmlformats.org/officeDocument/2006/relationships/hyperlink" Target="https://techcombank.com/thong-tin/blog/khong-su-dung-the-tin-dung-co-mat-phi-khong" TargetMode="External"/><Relationship Id="rId1572" Type="http://schemas.openxmlformats.org/officeDocument/2006/relationships/hyperlink" Target="https://techcombank.com/thong-tin/blog/cac-sai-lam-pho-bien-khi-chuyen-doi-ho-kinh-doanh-len-sme" TargetMode="External"/><Relationship Id="rId982" Type="http://schemas.openxmlformats.org/officeDocument/2006/relationships/hyperlink" Target="https://techcombank.com/thong-tin/blog/phi-thuong-nien-la-gi" TargetMode="External"/><Relationship Id="rId1573" Type="http://schemas.openxmlformats.org/officeDocument/2006/relationships/hyperlink" Target="https://techcombank.com/thong-tin/blog/giay-phep-kinh-doanh" TargetMode="External"/><Relationship Id="rId2420" Type="http://schemas.openxmlformats.org/officeDocument/2006/relationships/hyperlink" Target="https://techcombank.com/thong-tin/blog/vay-san-xuat-kinh-doanh" TargetMode="External"/><Relationship Id="rId981" Type="http://schemas.openxmlformats.org/officeDocument/2006/relationships/hyperlink" Target="https://techcombank.com/thong-tin/blog/tai-khoan-ngan-hang-la-gi" TargetMode="External"/><Relationship Id="rId1574" Type="http://schemas.openxmlformats.org/officeDocument/2006/relationships/hyperlink" Target="https://techcombank.com/thong-tin/blog/tra-cuu-no-thue-ca-nhan" TargetMode="External"/><Relationship Id="rId2421" Type="http://schemas.openxmlformats.org/officeDocument/2006/relationships/hyperlink" Target="https://techcombank.com/thong-tin/blog/tin-chap-doanh-nghiep" TargetMode="External"/><Relationship Id="rId980" Type="http://schemas.openxmlformats.org/officeDocument/2006/relationships/hyperlink" Target="https://techcombank.com/thong-tin/blog/sang-ngang-the-tin-dung" TargetMode="External"/><Relationship Id="rId1575" Type="http://schemas.openxmlformats.org/officeDocument/2006/relationships/hyperlink" Target="https://techcombank.com/thong-tin/blog/chuyen-doi-hoa-don-dien-tu" TargetMode="External"/><Relationship Id="rId2422" Type="http://schemas.openxmlformats.org/officeDocument/2006/relationships/hyperlink" Target="https://techcombank.com/thong-tin/blog/nen-vay-tin-chap-o-dau" TargetMode="External"/><Relationship Id="rId1565" Type="http://schemas.openxmlformats.org/officeDocument/2006/relationships/hyperlink" Target="https://techcombank.com/thong-tin/blog/nen-thanh-lap-ho-kinh-doanh-ke-khai-hay-doanh-nghiep" TargetMode="External"/><Relationship Id="rId2412" Type="http://schemas.openxmlformats.org/officeDocument/2006/relationships/hyperlink" Target="https://techcombank.com/thong-tin/blog/no-the-tin-dung-qua-han" TargetMode="External"/><Relationship Id="rId1566" Type="http://schemas.openxmlformats.org/officeDocument/2006/relationships/hyperlink" Target="https://techcombank.com/thong-tin/blog/due-diligence" TargetMode="External"/><Relationship Id="rId2413" Type="http://schemas.openxmlformats.org/officeDocument/2006/relationships/hyperlink" Target="https://techcombank.com/thong-tin/blog/vay-tin-chap-la-gi" TargetMode="External"/><Relationship Id="rId1567" Type="http://schemas.openxmlformats.org/officeDocument/2006/relationships/hyperlink" Target="https://techcombank.com/thong-tin/blog/vay-tin-chap-ho-kinh-doanh" TargetMode="External"/><Relationship Id="rId2414" Type="http://schemas.openxmlformats.org/officeDocument/2006/relationships/hyperlink" Target="https://techcombank.com/thong-tin/blog/tat-toan" TargetMode="External"/><Relationship Id="rId1568" Type="http://schemas.openxmlformats.org/officeDocument/2006/relationships/hyperlink" Target="https://techcombank.com/thong-tin/blog/tra-cuu-no-thue-ho-kinh-doanh" TargetMode="External"/><Relationship Id="rId2415" Type="http://schemas.openxmlformats.org/officeDocument/2006/relationships/hyperlink" Target="https://techcombank.com/thong-tin/blog/du-no-la-gi" TargetMode="External"/><Relationship Id="rId1569" Type="http://schemas.openxmlformats.org/officeDocument/2006/relationships/hyperlink" Target="https://techcombank.com/thong-tin/blog/lien-ket-tai-khoan-ngan-hang-voi-etax-mobile" TargetMode="External"/><Relationship Id="rId2416" Type="http://schemas.openxmlformats.org/officeDocument/2006/relationships/hyperlink" Target="https://techcombank.com/thong-tin/blog/vay-tin-chap-ho-kinh-doanh" TargetMode="External"/><Relationship Id="rId2417" Type="http://schemas.openxmlformats.org/officeDocument/2006/relationships/hyperlink" Target="https://techcombank.com/thong-tin/blog/vay-tin-chap-cho-doanh-nghiep-moi-thanh-lap" TargetMode="External"/><Relationship Id="rId2418" Type="http://schemas.openxmlformats.org/officeDocument/2006/relationships/hyperlink" Target="https://techcombank.com/thong-tin/blog/thu-tuc-vay-von-kinh-doanh-nho" TargetMode="External"/><Relationship Id="rId2419" Type="http://schemas.openxmlformats.org/officeDocument/2006/relationships/hyperlink" Target="https://techcombank.com/thong-tin/blog/cac-hinh-thuc-vay-von-ngan-hang" TargetMode="External"/><Relationship Id="rId976" Type="http://schemas.openxmlformats.org/officeDocument/2006/relationships/hyperlink" Target="https://techcombank.com/thong-tin/blog/uu-dai-mua-iphone-18" TargetMode="External"/><Relationship Id="rId975" Type="http://schemas.openxmlformats.org/officeDocument/2006/relationships/hyperlink" Target="https://techcombank.com/thong-tin/blog/the-ghi-no-visa-la-gi" TargetMode="External"/><Relationship Id="rId974" Type="http://schemas.openxmlformats.org/officeDocument/2006/relationships/hyperlink" Target="https://techcombank.com/thong-tin/blog/no-xau-nhom-2" TargetMode="External"/><Relationship Id="rId973" Type="http://schemas.openxmlformats.org/officeDocument/2006/relationships/hyperlink" Target="https://techcombank.com/thong-tin/blog/so-luong-the-tin-dung-noi-dia-dang-luu-hanh-da-tang-42-so-voi-cung-ky-nam-2022" TargetMode="External"/><Relationship Id="rId979" Type="http://schemas.openxmlformats.org/officeDocument/2006/relationships/hyperlink" Target="https://techcombank.com/thong-tin/blog/han-muc-tra-gop-the-tin-dung" TargetMode="External"/><Relationship Id="rId978" Type="http://schemas.openxmlformats.org/officeDocument/2006/relationships/hyperlink" Target="https://techcombank.com/thong-tin/blog/so-the-tin-dung" TargetMode="External"/><Relationship Id="rId977" Type="http://schemas.openxmlformats.org/officeDocument/2006/relationships/hyperlink" Target="https://techcombank.com/thong-tin/blog/khong-su-dung-the-tin-dung-co-mat-phi-khong" TargetMode="External"/><Relationship Id="rId1560" Type="http://schemas.openxmlformats.org/officeDocument/2006/relationships/hyperlink" Target="https://techcombank.com/thong-tin/blog/chuyen-doi-ho-kinh-doanh-len-doanh-nghiep" TargetMode="External"/><Relationship Id="rId972" Type="http://schemas.openxmlformats.org/officeDocument/2006/relationships/hyperlink" Target="https://techcombank.com/thong-tin/blog/rut-tien-mat-tu-the-tin-dung" TargetMode="External"/><Relationship Id="rId1561" Type="http://schemas.openxmlformats.org/officeDocument/2006/relationships/hyperlink" Target="https://techcombank.com/thong-tin/blog/thanh-toan-khong-dung-tien-mat" TargetMode="External"/><Relationship Id="rId971" Type="http://schemas.openxmlformats.org/officeDocument/2006/relationships/hyperlink" Target="https://techcombank.com/thong-tin/blog/the-tin-dung-phu-la-gi" TargetMode="External"/><Relationship Id="rId1562" Type="http://schemas.openxmlformats.org/officeDocument/2006/relationships/hyperlink" Target="https://techcombank.com/thong-tin/blog/mo-tai-khoan-ho-kinh-doanh" TargetMode="External"/><Relationship Id="rId970" Type="http://schemas.openxmlformats.org/officeDocument/2006/relationships/hyperlink" Target="https://techcombank.com/thong-tin/blog/the-tin-dung-vip" TargetMode="External"/><Relationship Id="rId1563" Type="http://schemas.openxmlformats.org/officeDocument/2006/relationships/hyperlink" Target="https://techcombank.com/thong-tin/blog/nhung-chi-phi-khong-duoc-tru-khi-tinh-thue-tndn" TargetMode="External"/><Relationship Id="rId2410" Type="http://schemas.openxmlformats.org/officeDocument/2006/relationships/hyperlink" Target="https://techcombank.com/thong-tin/blog/vay-the-chap-khong-tra-duoc" TargetMode="External"/><Relationship Id="rId1564" Type="http://schemas.openxmlformats.org/officeDocument/2006/relationships/hyperlink" Target="https://techcombank.com/thong-tin/blog/giai-dap-ve-thue-doanh-nghiep" TargetMode="External"/><Relationship Id="rId2411" Type="http://schemas.openxmlformats.org/officeDocument/2006/relationships/hyperlink" Target="https://techcombank.com/thong-tin/blog/lai-suat-qua-han" TargetMode="External"/><Relationship Id="rId1114" Type="http://schemas.openxmlformats.org/officeDocument/2006/relationships/hyperlink" Target="https://techcombank.com/thong-tin/blog/tra-cuu-han-muc-the-tin-dung" TargetMode="External"/><Relationship Id="rId1598" Type="http://schemas.openxmlformats.org/officeDocument/2006/relationships/hyperlink" Target="https://techcombank.com/thong-tin/blog/dong-ma-so-thue-ho-kinh-doanh" TargetMode="External"/><Relationship Id="rId2445" Type="http://schemas.openxmlformats.org/officeDocument/2006/relationships/hyperlink" Target="https://techcombank.com/thong-tin/blog/mua-chung-chi-quy" TargetMode="External"/><Relationship Id="rId1115" Type="http://schemas.openxmlformats.org/officeDocument/2006/relationships/hyperlink" Target="https://techcombank.com/thong-tin/blog/the-ghi-no-va-the-tin-dung" TargetMode="External"/><Relationship Id="rId1599" Type="http://schemas.openxmlformats.org/officeDocument/2006/relationships/hyperlink" Target="https://techcombank.com/thong-tin/blog/thue-doanh-nghiep" TargetMode="External"/><Relationship Id="rId2446" Type="http://schemas.openxmlformats.org/officeDocument/2006/relationships/hyperlink" Target="https://techcombank.com/thong-tin/blog/dau-tu-quy-mo" TargetMode="External"/><Relationship Id="rId1116" Type="http://schemas.openxmlformats.org/officeDocument/2006/relationships/hyperlink" Target="https://techcombank.com/thong-tin/blog/the-tin-dung-het-han" TargetMode="External"/><Relationship Id="rId2447" Type="http://schemas.openxmlformats.org/officeDocument/2006/relationships/hyperlink" Target="https://techcombank.com/thong-tin/blog/app-theo-doi-chung-chi-quy" TargetMode="External"/><Relationship Id="rId1117" Type="http://schemas.openxmlformats.org/officeDocument/2006/relationships/hyperlink" Target="https://techcombank.com/thong-tin/blog/cach-huy-the-tin-dung" TargetMode="External"/><Relationship Id="rId2448" Type="http://schemas.openxmlformats.org/officeDocument/2006/relationships/hyperlink" Target="https://techcombank.com/thong-tin/blog/chung-chi-quy-va-co-phieu" TargetMode="External"/><Relationship Id="rId1118" Type="http://schemas.openxmlformats.org/officeDocument/2006/relationships/hyperlink" Target="https://techcombank.com/thong-tin/blog/co-nen-dung-the-tin-dung-khong" TargetMode="External"/><Relationship Id="rId2449" Type="http://schemas.openxmlformats.org/officeDocument/2006/relationships/hyperlink" Target="https://techcombank.com/thong-tin/blog/wacc-la-gi" TargetMode="External"/><Relationship Id="rId1119" Type="http://schemas.openxmlformats.org/officeDocument/2006/relationships/hyperlink" Target="https://techcombank.com/thong-tin/blog/ma-buu-chinh-the-tin-dung" TargetMode="External"/><Relationship Id="rId525" Type="http://schemas.openxmlformats.org/officeDocument/2006/relationships/hyperlink" Target="https://techcombank.com/thong-tin/blog/cach-thanh-toan-the-tin-dung" TargetMode="External"/><Relationship Id="rId524" Type="http://schemas.openxmlformats.org/officeDocument/2006/relationships/hyperlink" Target="https://techcombank.com/thong-tin/blog/vay-ngan-hang-1-ty-moi-thang-tra-bao-nhieu" TargetMode="External"/><Relationship Id="rId523" Type="http://schemas.openxmlformats.org/officeDocument/2006/relationships/hyperlink" Target="https://techcombank.com/thong-tin/blog/ngan-hang-thu-huong-la-gi" TargetMode="External"/><Relationship Id="rId522" Type="http://schemas.openxmlformats.org/officeDocument/2006/relationships/hyperlink" Target="https://techcombank.com/thong-tin/blog/ma-otp-la-gi" TargetMode="External"/><Relationship Id="rId529" Type="http://schemas.openxmlformats.org/officeDocument/2006/relationships/hyperlink" Target="https://techcombank.com/thong-tin/blog/thanh-toan-tien-dien-bang-the-tin-dung" TargetMode="External"/><Relationship Id="rId528" Type="http://schemas.openxmlformats.org/officeDocument/2006/relationships/hyperlink" Target="https://techcombank.com/thong-tin/blog/cach-khoa-the-ngan-hang" TargetMode="External"/><Relationship Id="rId527" Type="http://schemas.openxmlformats.org/officeDocument/2006/relationships/hyperlink" Target="https://techcombank.com/thong-tin/blog/cach-nap-tien-vao-the-ghi-no" TargetMode="External"/><Relationship Id="rId526" Type="http://schemas.openxmlformats.org/officeDocument/2006/relationships/hyperlink" Target="https://techcombank.com/thong-tin/blog/cach-gui-tiet-kiem-online" TargetMode="External"/><Relationship Id="rId1590" Type="http://schemas.openxmlformats.org/officeDocument/2006/relationships/hyperlink" Target="https://techcombank.com/thong-tin/blog/ke-khai-thue-ho-kinh-doanh-ca-the-online" TargetMode="External"/><Relationship Id="rId1591" Type="http://schemas.openxmlformats.org/officeDocument/2006/relationships/hyperlink" Target="https://techcombank.com/thong-tin/blog/vay-the-chap-kinh-doanh" TargetMode="External"/><Relationship Id="rId1592" Type="http://schemas.openxmlformats.org/officeDocument/2006/relationships/hyperlink" Target="https://techcombank.com/thong-tin/blog/thue-thuong-mai-dien-tu" TargetMode="External"/><Relationship Id="rId1593" Type="http://schemas.openxmlformats.org/officeDocument/2006/relationships/hyperlink" Target="https://techcombank.com/thong-tin/blog/hieu-hiet-ve-tuan-thu-thue-cho-cac-doanh-nghiep-khoi-nghiep" TargetMode="External"/><Relationship Id="rId2440" Type="http://schemas.openxmlformats.org/officeDocument/2006/relationships/hyperlink" Target="https://techcombank.com/thong-tin/blog/no-xau-nhom-2" TargetMode="External"/><Relationship Id="rId521" Type="http://schemas.openxmlformats.org/officeDocument/2006/relationships/hyperlink" Target="https://techcombank.com/thong-tin/blog/lo-ma-qr-ngan-hang-co-sao-khong" TargetMode="External"/><Relationship Id="rId1110" Type="http://schemas.openxmlformats.org/officeDocument/2006/relationships/hyperlink" Target="https://techcombank.com/thong-tin/blog/cach-lam-the-ngan-hang-chay-quang-cao-facebook" TargetMode="External"/><Relationship Id="rId1594" Type="http://schemas.openxmlformats.org/officeDocument/2006/relationships/hyperlink" Target="https://techcombank.com/thong-tin/blog/khai-bao-tai-khoan-ngan-hang-voi-co-quan-thue" TargetMode="External"/><Relationship Id="rId2441" Type="http://schemas.openxmlformats.org/officeDocument/2006/relationships/hyperlink" Target="https://techcombank.com/thong-tin/blog/lai-suat-vay-tin-chap" TargetMode="External"/><Relationship Id="rId520" Type="http://schemas.openxmlformats.org/officeDocument/2006/relationships/hyperlink" Target="https://techcombank.com/thong-tin/blog/lo-so-tai-khoan-ngan-hang-co-sao-khong" TargetMode="External"/><Relationship Id="rId1111" Type="http://schemas.openxmlformats.org/officeDocument/2006/relationships/hyperlink" Target="https://techcombank.com/thong-tin/blog/mua-iphone-17" TargetMode="External"/><Relationship Id="rId1595" Type="http://schemas.openxmlformats.org/officeDocument/2006/relationships/hyperlink" Target="https://techcombank.com/thong-tin/blog/loi-nhuan" TargetMode="External"/><Relationship Id="rId2442" Type="http://schemas.openxmlformats.org/officeDocument/2006/relationships/hyperlink" Target="https://techcombank.com/thong-tin/blog/vay-tra-gop" TargetMode="External"/><Relationship Id="rId1112" Type="http://schemas.openxmlformats.org/officeDocument/2006/relationships/hyperlink" Target="https://techcombank.com/thong-tin/blog/the-visa-co-can-mat-khau-khong" TargetMode="External"/><Relationship Id="rId1596" Type="http://schemas.openxmlformats.org/officeDocument/2006/relationships/hyperlink" Target="https://techcombank.com/thong-tin/blog/hoa-don-dien-tu-ho-kinh-doanh" TargetMode="External"/><Relationship Id="rId2443" Type="http://schemas.openxmlformats.org/officeDocument/2006/relationships/hyperlink" Target="https://techcombank.com/thong-tin/blog/vay-20-trieu" TargetMode="External"/><Relationship Id="rId1113" Type="http://schemas.openxmlformats.org/officeDocument/2006/relationships/hyperlink" Target="https://techcombank.com/thong-tin/blog/mua-truoc-tra-sau" TargetMode="External"/><Relationship Id="rId1597" Type="http://schemas.openxmlformats.org/officeDocument/2006/relationships/hyperlink" Target="https://techcombank.com/thong-tin/blog/chuan-bi-cho-doanh-nghiep-khoi-nghiep-truoc-nhung-thay-doi-ve-thue" TargetMode="External"/><Relationship Id="rId2444" Type="http://schemas.openxmlformats.org/officeDocument/2006/relationships/hyperlink" Target="https://techcombank.com/thong-tin/blog/chung-chi-quy" TargetMode="External"/><Relationship Id="rId1103" Type="http://schemas.openxmlformats.org/officeDocument/2006/relationships/hyperlink" Target="https://techcombank.com/thong-tin/blog/uu-dai-the-tin-dung-techcombank-signature" TargetMode="External"/><Relationship Id="rId1587" Type="http://schemas.openxmlformats.org/officeDocument/2006/relationships/hyperlink" Target="https://techcombank.com/thong-tin/blog/chinh-sach-thue-moi" TargetMode="External"/><Relationship Id="rId2434" Type="http://schemas.openxmlformats.org/officeDocument/2006/relationships/hyperlink" Target="https://techcombank.com/thong-tin/blog/vay-200-trieu" TargetMode="External"/><Relationship Id="rId1104" Type="http://schemas.openxmlformats.org/officeDocument/2006/relationships/hyperlink" Target="https://techcombank.com/thong-tin/blog/cac-loai-the-tin-dung" TargetMode="External"/><Relationship Id="rId1588" Type="http://schemas.openxmlformats.org/officeDocument/2006/relationships/hyperlink" Target="https://techcombank.com/thong-tin/blog/hoa-don-dien-tu" TargetMode="External"/><Relationship Id="rId2435" Type="http://schemas.openxmlformats.org/officeDocument/2006/relationships/hyperlink" Target="https://techcombank.com/thong-tin/blog/the-tin-dung-bi-khoa" TargetMode="External"/><Relationship Id="rId1105" Type="http://schemas.openxmlformats.org/officeDocument/2006/relationships/hyperlink" Target="https://techcombank.com/thong-tin/blog/the-tin-dung-mien-phi-thuong-nien" TargetMode="External"/><Relationship Id="rId1589" Type="http://schemas.openxmlformats.org/officeDocument/2006/relationships/hyperlink" Target="https://techcombank.com/thong-tin/blog/luat-thuong-mai-dien-tu" TargetMode="External"/><Relationship Id="rId2436" Type="http://schemas.openxmlformats.org/officeDocument/2006/relationships/hyperlink" Target="https://techcombank.com/thong-tin/blog/no-xau-mo-the-tin-dung-duoc-khong" TargetMode="External"/><Relationship Id="rId1106" Type="http://schemas.openxmlformats.org/officeDocument/2006/relationships/hyperlink" Target="https://techcombank.com/thong-tin/blog/uu-dai-mua-ve-may-bay-bang-the-tin-dung" TargetMode="External"/><Relationship Id="rId2437" Type="http://schemas.openxmlformats.org/officeDocument/2006/relationships/hyperlink" Target="https://techcombank.com/thong-tin/blog/no-xau-co-vay-the-chap-duoc-khong" TargetMode="External"/><Relationship Id="rId1107" Type="http://schemas.openxmlformats.org/officeDocument/2006/relationships/hyperlink" Target="https://techcombank.com/thong-tin/blog/mat-the-tin-dung-co-bi-mat-tien-khong" TargetMode="External"/><Relationship Id="rId2438" Type="http://schemas.openxmlformats.org/officeDocument/2006/relationships/hyperlink" Target="https://techcombank.com/thong-tin/blog/vay-tin-chap-no-xau" TargetMode="External"/><Relationship Id="rId1108" Type="http://schemas.openxmlformats.org/officeDocument/2006/relationships/hyperlink" Target="https://techcombank.com/thong-tin/blog/so-cvv-la-gi" TargetMode="External"/><Relationship Id="rId2439" Type="http://schemas.openxmlformats.org/officeDocument/2006/relationships/hyperlink" Target="https://techcombank.com/thong-tin/blog/cac-hinh-thuc-cho-vay-tieu-dung" TargetMode="External"/><Relationship Id="rId1109" Type="http://schemas.openxmlformats.org/officeDocument/2006/relationships/hyperlink" Target="https://techcombank.com/thong-tin/blog/the-tin-dung-nao-nhieu-uu-dai-nhat" TargetMode="External"/><Relationship Id="rId519" Type="http://schemas.openxmlformats.org/officeDocument/2006/relationships/hyperlink" Target="https://techcombank.com/thong-tin/blog/the-visa-co-can-mat-khau-khong" TargetMode="External"/><Relationship Id="rId514" Type="http://schemas.openxmlformats.org/officeDocument/2006/relationships/hyperlink" Target="https://techcombank.com/thong-tin/blog/gui-ma-qr-ngan-hang" TargetMode="External"/><Relationship Id="rId998" Type="http://schemas.openxmlformats.org/officeDocument/2006/relationships/hyperlink" Target="https://techcombank.com/thong-tin/blog/the-visa-co-can-mat-khau-khong" TargetMode="External"/><Relationship Id="rId513" Type="http://schemas.openxmlformats.org/officeDocument/2006/relationships/hyperlink" Target="https://techcombank.com/thong-tin/blog/mat-so-dien-thoai-dang-ky-tai-khoan-ngan-hang" TargetMode="External"/><Relationship Id="rId997" Type="http://schemas.openxmlformats.org/officeDocument/2006/relationships/hyperlink" Target="https://techcombank.com/thong-tin/blog/mua-iphone-17" TargetMode="External"/><Relationship Id="rId512" Type="http://schemas.openxmlformats.org/officeDocument/2006/relationships/hyperlink" Target="https://techcombank.com/thong-tin/blog/smart-otp-la-gi" TargetMode="External"/><Relationship Id="rId996" Type="http://schemas.openxmlformats.org/officeDocument/2006/relationships/hyperlink" Target="https://techcombank.com/thong-tin/blog/cach-lam-the-ngan-hang-chay-quang-cao-facebook" TargetMode="External"/><Relationship Id="rId511" Type="http://schemas.openxmlformats.org/officeDocument/2006/relationships/hyperlink" Target="https://techcombank.com/thong-tin/blog/cach-bao-ve-tai-khoan" TargetMode="External"/><Relationship Id="rId995" Type="http://schemas.openxmlformats.org/officeDocument/2006/relationships/hyperlink" Target="https://techcombank.com/thong-tin/blog/the-tin-dung-nao-nhieu-uu-dai-nhat" TargetMode="External"/><Relationship Id="rId518" Type="http://schemas.openxmlformats.org/officeDocument/2006/relationships/hyperlink" Target="https://techcombank.com/thong-tin/blog/cach-lam-the-atm" TargetMode="External"/><Relationship Id="rId517" Type="http://schemas.openxmlformats.org/officeDocument/2006/relationships/hyperlink" Target="https://techcombank.com/thong-tin/blog/thanh-toan-ve-may-bay-online" TargetMode="External"/><Relationship Id="rId516" Type="http://schemas.openxmlformats.org/officeDocument/2006/relationships/hyperlink" Target="https://techcombank.com/thong-tin/blog/cach-kiem-tra-tai-khoan-ngan-hang-cua-cong-ty" TargetMode="External"/><Relationship Id="rId515" Type="http://schemas.openxmlformats.org/officeDocument/2006/relationships/hyperlink" Target="https://techcombank.com/thong-tin/blog/so-du-kha-dung" TargetMode="External"/><Relationship Id="rId999" Type="http://schemas.openxmlformats.org/officeDocument/2006/relationships/hyperlink" Target="https://techcombank.com/thong-tin/blog/mua-truoc-tra-sau" TargetMode="External"/><Relationship Id="rId990" Type="http://schemas.openxmlformats.org/officeDocument/2006/relationships/hyperlink" Target="https://techcombank.com/thong-tin/blog/cac-loai-the-tin-dung" TargetMode="External"/><Relationship Id="rId1580" Type="http://schemas.openxmlformats.org/officeDocument/2006/relationships/hyperlink" Target="https://techcombank.com/thong-tin/blog/luu-y-khi-chuyen-doi-tu-ho-kinh-doanh-len-doanh-nghiep" TargetMode="External"/><Relationship Id="rId1581" Type="http://schemas.openxmlformats.org/officeDocument/2006/relationships/hyperlink" Target="https://techcombank.com/thong-tin/blog/cach-kiem-tra-tai-khoan-ngan-hang-cua-cong-ty" TargetMode="External"/><Relationship Id="rId1582" Type="http://schemas.openxmlformats.org/officeDocument/2006/relationships/hyperlink" Target="https://techcombank.com/thong-tin/blog/kiem-tra-ma-so-thue-doanh-nghiep" TargetMode="External"/><Relationship Id="rId510" Type="http://schemas.openxmlformats.org/officeDocument/2006/relationships/hyperlink" Target="https://techcombank.com/thong-tin/blog/internet-banking" TargetMode="External"/><Relationship Id="rId994" Type="http://schemas.openxmlformats.org/officeDocument/2006/relationships/hyperlink" Target="https://techcombank.com/thong-tin/blog/so-cvv-la-gi" TargetMode="External"/><Relationship Id="rId1583" Type="http://schemas.openxmlformats.org/officeDocument/2006/relationships/hyperlink" Target="https://techcombank.com/thong-tin/blog/barcode-la-gi" TargetMode="External"/><Relationship Id="rId2430" Type="http://schemas.openxmlformats.org/officeDocument/2006/relationships/hyperlink" Target="https://techcombank.com/thong-tin/blog/ho-so-vay-tin-chap" TargetMode="External"/><Relationship Id="rId993" Type="http://schemas.openxmlformats.org/officeDocument/2006/relationships/hyperlink" Target="https://techcombank.com/thong-tin/blog/mat-the-tin-dung-co-bi-mat-tien-khong" TargetMode="External"/><Relationship Id="rId1100" Type="http://schemas.openxmlformats.org/officeDocument/2006/relationships/hyperlink" Target="https://techcombank.com/thong-tin/blog/tai-khoan-doanh-nghiep-co-the-khong" TargetMode="External"/><Relationship Id="rId1584" Type="http://schemas.openxmlformats.org/officeDocument/2006/relationships/hyperlink" Target="https://techcombank.com/thong-tin/blog/tra-cuu-ma-so-thue-ho-kinh-doanh" TargetMode="External"/><Relationship Id="rId2431" Type="http://schemas.openxmlformats.org/officeDocument/2006/relationships/hyperlink" Target="https://techcombank.com/thong-tin/blog/thanh-toan-toi-thieu-the-tin-dung" TargetMode="External"/><Relationship Id="rId992" Type="http://schemas.openxmlformats.org/officeDocument/2006/relationships/hyperlink" Target="https://techcombank.com/thong-tin/blog/uu-dai-mua-ve-may-bay-bang-the-tin-dung" TargetMode="External"/><Relationship Id="rId1101" Type="http://schemas.openxmlformats.org/officeDocument/2006/relationships/hyperlink" Target="https://techcombank.com/thong-tin/blog/mm-yy-la-gi" TargetMode="External"/><Relationship Id="rId1585" Type="http://schemas.openxmlformats.org/officeDocument/2006/relationships/hyperlink" Target="https://techcombank.com/thong-tin/blog/dang-ky-thue-ho-kinh-doanh-ca-the-online" TargetMode="External"/><Relationship Id="rId2432" Type="http://schemas.openxmlformats.org/officeDocument/2006/relationships/hyperlink" Target="https://techcombank.com/thong-tin/blog/no-nhom-3" TargetMode="External"/><Relationship Id="rId991" Type="http://schemas.openxmlformats.org/officeDocument/2006/relationships/hyperlink" Target="https://techcombank.com/thong-tin/blog/the-tin-dung-mien-phi-thuong-nien" TargetMode="External"/><Relationship Id="rId1102" Type="http://schemas.openxmlformats.org/officeDocument/2006/relationships/hyperlink" Target="https://techcombank.com/thong-tin/blog/sao-ke-tai-khoan-doanh-nghiep" TargetMode="External"/><Relationship Id="rId1586" Type="http://schemas.openxmlformats.org/officeDocument/2006/relationships/hyperlink" Target="https://techcombank.com/thong-tin/blog/chuyen-doi-so-ho-kinh-doanh" TargetMode="External"/><Relationship Id="rId2433" Type="http://schemas.openxmlformats.org/officeDocument/2006/relationships/hyperlink" Target="https://techcombank.com/thong-tin/blog/vay-tin-chap-toi-da-duoc-bao-nhieu" TargetMode="External"/><Relationship Id="rId1532" Type="http://schemas.openxmlformats.org/officeDocument/2006/relationships/hyperlink" Target="https://techcombank.com/thong-tin/blog/chuong-trinh-khach-hang-than-thiet" TargetMode="External"/><Relationship Id="rId1533" Type="http://schemas.openxmlformats.org/officeDocument/2006/relationships/hyperlink" Target="https://techcombank.com/thong-tin/blog/di-du-lich-nuoc-ngoai-can-chuan-bi-gi" TargetMode="External"/><Relationship Id="rId1534" Type="http://schemas.openxmlformats.org/officeDocument/2006/relationships/hyperlink" Target="https://techcombank.com/thong-tin/blog/thanh-toan-khi-du-lich-han-quoc" TargetMode="External"/><Relationship Id="rId1535" Type="http://schemas.openxmlformats.org/officeDocument/2006/relationships/hyperlink" Target="https://techcombank.com/thong-tin/blog/thanh-toan-khi-du-lich-nhat-ban" TargetMode="External"/><Relationship Id="rId1536" Type="http://schemas.openxmlformats.org/officeDocument/2006/relationships/hyperlink" Target="https://techcombank.com/thong-tin/blog/thanh-toan-khi-du-lich-hong-kong" TargetMode="External"/><Relationship Id="rId1537" Type="http://schemas.openxmlformats.org/officeDocument/2006/relationships/hyperlink" Target="https://techcombank.com/thong-tin/blog/thanh-toan-khi-du-lich-trung-quoc" TargetMode="External"/><Relationship Id="rId1538" Type="http://schemas.openxmlformats.org/officeDocument/2006/relationships/hyperlink" Target="https://techcombank.com/thong-tin/blog/thanh-toan-khi-du-lich-thai-lan" TargetMode="External"/><Relationship Id="rId1539" Type="http://schemas.openxmlformats.org/officeDocument/2006/relationships/hyperlink" Target="https://techcombank.com/thong-tin/blog/thanh-toan-khi-du-lich-singapore" TargetMode="External"/><Relationship Id="rId949" Type="http://schemas.openxmlformats.org/officeDocument/2006/relationships/hyperlink" Target="https://techcombank.com/thong-tin/blog/lam-the-tin-dung" TargetMode="External"/><Relationship Id="rId948" Type="http://schemas.openxmlformats.org/officeDocument/2006/relationships/hyperlink" Target="https://techcombank.com/thong-tin/blog/tra-gop-lazada" TargetMode="External"/><Relationship Id="rId943" Type="http://schemas.openxmlformats.org/officeDocument/2006/relationships/hyperlink" Target="https://techcombank.com/thong-tin/blog/mo-the-tin-dung-co-loi-ich-gi" TargetMode="External"/><Relationship Id="rId942" Type="http://schemas.openxmlformats.org/officeDocument/2006/relationships/hyperlink" Target="https://techcombank.com/thong-tin/blog/lai-suat-the-tin-dung" TargetMode="External"/><Relationship Id="rId941" Type="http://schemas.openxmlformats.org/officeDocument/2006/relationships/hyperlink" Target="https://techcombank.com/thong-tin/blog/3d-secure" TargetMode="External"/><Relationship Id="rId940" Type="http://schemas.openxmlformats.org/officeDocument/2006/relationships/hyperlink" Target="https://techcombank.com/thong-tin/blog/uu-dai-the-tin-dung" TargetMode="External"/><Relationship Id="rId947" Type="http://schemas.openxmlformats.org/officeDocument/2006/relationships/hyperlink" Target="https://techcombank.com/thong-tin/blog/thanh-toan-tra-gop-qua-the-tin-dung" TargetMode="External"/><Relationship Id="rId946" Type="http://schemas.openxmlformats.org/officeDocument/2006/relationships/hyperlink" Target="https://techcombank.com/thong-tin/blog/tra-gop-shopee" TargetMode="External"/><Relationship Id="rId945" Type="http://schemas.openxmlformats.org/officeDocument/2006/relationships/hyperlink" Target="https://techcombank.com/thong-tin/blog/thanh-toan-toi-thieu-the-tin-dung" TargetMode="External"/><Relationship Id="rId944" Type="http://schemas.openxmlformats.org/officeDocument/2006/relationships/hyperlink" Target="https://techcombank.com/thong-tin/blog/the-tin-dung-ao" TargetMode="External"/><Relationship Id="rId1530" Type="http://schemas.openxmlformats.org/officeDocument/2006/relationships/hyperlink" Target="https://techcombank.com/thong-tin/blog/thanh-toan-bang-the-quoc-te" TargetMode="External"/><Relationship Id="rId1531" Type="http://schemas.openxmlformats.org/officeDocument/2006/relationships/hyperlink" Target="https://techcombank.com/thong-tin/blog/han-muc-mua-ngoai-te-khi-di-du-lich" TargetMode="External"/><Relationship Id="rId1521" Type="http://schemas.openxmlformats.org/officeDocument/2006/relationships/hyperlink" Target="https://techcombank.com/thong-tin/blog/voucher-the-pizza-company" TargetMode="External"/><Relationship Id="rId1522" Type="http://schemas.openxmlformats.org/officeDocument/2006/relationships/hyperlink" Target="https://techcombank.com/thong-tin/blog/ma-giam-gia-phela" TargetMode="External"/><Relationship Id="rId1523" Type="http://schemas.openxmlformats.org/officeDocument/2006/relationships/hyperlink" Target="https://techcombank.com/thong-tin/blog/voucher-golden-gate" TargetMode="External"/><Relationship Id="rId1524" Type="http://schemas.openxmlformats.org/officeDocument/2006/relationships/hyperlink" Target="https://techcombank.com/thong-tin/blog/voucher-coopmart" TargetMode="External"/><Relationship Id="rId1525" Type="http://schemas.openxmlformats.org/officeDocument/2006/relationships/hyperlink" Target="https://techcombank.com/thong-tin/blog/the-tin-dung-vip" TargetMode="External"/><Relationship Id="rId1526" Type="http://schemas.openxmlformats.org/officeDocument/2006/relationships/hyperlink" Target="https://techcombank.com/thong-tin/blog/ma-giam-gia-al-frescos" TargetMode="External"/><Relationship Id="rId1527" Type="http://schemas.openxmlformats.org/officeDocument/2006/relationships/hyperlink" Target="https://techcombank.com/thong-tin/blog/voucher-katinat" TargetMode="External"/><Relationship Id="rId1528" Type="http://schemas.openxmlformats.org/officeDocument/2006/relationships/hyperlink" Target="https://techcombank.com/thong-tin/blog/oneu" TargetMode="External"/><Relationship Id="rId1529" Type="http://schemas.openxmlformats.org/officeDocument/2006/relationships/hyperlink" Target="https://techcombank.com/thong-tin/blog/cach-huy-thanh-toan-tien-dien" TargetMode="External"/><Relationship Id="rId939" Type="http://schemas.openxmlformats.org/officeDocument/2006/relationships/hyperlink" Target="https://techcombank.com/thong-tin/blog/mo-the-tin-dung-han-muc-cao" TargetMode="External"/><Relationship Id="rId938" Type="http://schemas.openxmlformats.org/officeDocument/2006/relationships/hyperlink" Target="https://techcombank.com/thong-tin/blog/the-tin-dung-techcombank-visa-eco" TargetMode="External"/><Relationship Id="rId937" Type="http://schemas.openxmlformats.org/officeDocument/2006/relationships/hyperlink" Target="https://techcombank.com/thong-tin/blog/the-tin-dung-co-chuyen-khoan-duoc-khong" TargetMode="External"/><Relationship Id="rId932" Type="http://schemas.openxmlformats.org/officeDocument/2006/relationships/hyperlink" Target="https://techcombank.com/thong-tin/blog/vay-ngan-hang-1-ty-moi-thang-tra-bao-nhieu" TargetMode="External"/><Relationship Id="rId931" Type="http://schemas.openxmlformats.org/officeDocument/2006/relationships/hyperlink" Target="https://techcombank.com/thong-tin/blog/tiet-kiem-khi-di-du-lich" TargetMode="External"/><Relationship Id="rId930" Type="http://schemas.openxmlformats.org/officeDocument/2006/relationships/hyperlink" Target="https://techcombank.com/thong-tin/blog/phi-rut-tien-mat-the-tin-dung" TargetMode="External"/><Relationship Id="rId936" Type="http://schemas.openxmlformats.org/officeDocument/2006/relationships/hyperlink" Target="https://techcombank.com/thong-tin/blog/thanh-toan-online-bang-the-tin-dung" TargetMode="External"/><Relationship Id="rId935" Type="http://schemas.openxmlformats.org/officeDocument/2006/relationships/hyperlink" Target="https://techcombank.com/thong-tin/blog/dao-han-the-tin-dung" TargetMode="External"/><Relationship Id="rId934" Type="http://schemas.openxmlformats.org/officeDocument/2006/relationships/hyperlink" Target="https://techcombank.com/thong-tin/blog/the-tin-dung-den" TargetMode="External"/><Relationship Id="rId933" Type="http://schemas.openxmlformats.org/officeDocument/2006/relationships/hyperlink" Target="https://techcombank.com/thong-tin/blog/cach-thanh-toan-the-tin-dung" TargetMode="External"/><Relationship Id="rId1520" Type="http://schemas.openxmlformats.org/officeDocument/2006/relationships/hyperlink" Target="https://techcombank.com/thong-tin/blog/voucher-jollibee" TargetMode="External"/><Relationship Id="rId1554" Type="http://schemas.openxmlformats.org/officeDocument/2006/relationships/hyperlink" Target="https://techcombank.com/thong-tin/blog/quyet-toan-thue-thu-nhap-ca-nhan" TargetMode="External"/><Relationship Id="rId2401" Type="http://schemas.openxmlformats.org/officeDocument/2006/relationships/hyperlink" Target="https://techcombank.com/thong-tin/blog/qua-han-thanh-toan-the-tin-dung-1-ngay" TargetMode="External"/><Relationship Id="rId1555" Type="http://schemas.openxmlformats.org/officeDocument/2006/relationships/hyperlink" Target="https://techcombank.com/thong-tin/blog/cach-tinh-thue-thu-nhap-doanh-nghiep" TargetMode="External"/><Relationship Id="rId2402" Type="http://schemas.openxmlformats.org/officeDocument/2006/relationships/hyperlink" Target="https://techcombank.com/thong-tin/blog/no-xau-co-lam-the-visa-duoc-khong" TargetMode="External"/><Relationship Id="rId1556" Type="http://schemas.openxmlformats.org/officeDocument/2006/relationships/hyperlink" Target="https://techcombank.com/thong-tin/blog/lai-suat-vay-kinh-doanh" TargetMode="External"/><Relationship Id="rId2403" Type="http://schemas.openxmlformats.org/officeDocument/2006/relationships/hyperlink" Target="https://techcombank.com/thong-tin/blog/thanh-toan-toi-thieu-the-tin-dung" TargetMode="External"/><Relationship Id="rId1557" Type="http://schemas.openxmlformats.org/officeDocument/2006/relationships/hyperlink" Target="https://techcombank.com/thong-tin/blog/khoi-nghiep-truoc-chinh-sach-thue-moi" TargetMode="External"/><Relationship Id="rId2404" Type="http://schemas.openxmlformats.org/officeDocument/2006/relationships/hyperlink" Target="https://techcombank.com/thong-tin/blog/the-tin-dung-bi-khoa" TargetMode="External"/><Relationship Id="rId1558" Type="http://schemas.openxmlformats.org/officeDocument/2006/relationships/hyperlink" Target="https://techcombank.com/thong-tin/blog/cach-tra-cuu-hoa-don-dien-tu" TargetMode="External"/><Relationship Id="rId2405" Type="http://schemas.openxmlformats.org/officeDocument/2006/relationships/hyperlink" Target="https://techcombank.com/thong-tin/blog/no-xau-mo-the-tin-dung-duoc-khong" TargetMode="External"/><Relationship Id="rId1559" Type="http://schemas.openxmlformats.org/officeDocument/2006/relationships/hyperlink" Target="https://techcombank.com/thong-tin/blog/tra-cuu-no-thue-hai-quan" TargetMode="External"/><Relationship Id="rId2406" Type="http://schemas.openxmlformats.org/officeDocument/2006/relationships/hyperlink" Target="https://techcombank.com/thong-tin/blog/no-xau-co-vay-the-chap-duoc-khong" TargetMode="External"/><Relationship Id="rId2407" Type="http://schemas.openxmlformats.org/officeDocument/2006/relationships/hyperlink" Target="https://techcombank.com/thong-tin/blog/vay-tin-chap-no-xau" TargetMode="External"/><Relationship Id="rId2408" Type="http://schemas.openxmlformats.org/officeDocument/2006/relationships/hyperlink" Target="https://techcombank.com/thong-tin/blog/lai-suat-qua-han" TargetMode="External"/><Relationship Id="rId2409" Type="http://schemas.openxmlformats.org/officeDocument/2006/relationships/hyperlink" Target="https://techcombank.com/thong-tin/blog/no-xau-nhom-2" TargetMode="External"/><Relationship Id="rId965" Type="http://schemas.openxmlformats.org/officeDocument/2006/relationships/hyperlink" Target="https://techcombank.com/thong-tin/blog/mo-the-tin-dung-chi-can-cccd" TargetMode="External"/><Relationship Id="rId964" Type="http://schemas.openxmlformats.org/officeDocument/2006/relationships/hyperlink" Target="https://techcombank.com/thong-tin/blog/no-the-tin-dung-qua-han" TargetMode="External"/><Relationship Id="rId963" Type="http://schemas.openxmlformats.org/officeDocument/2006/relationships/hyperlink" Target="https://techcombank.com/thong-tin/blog/no-xau-mo-the-tin-dung-duoc-khong" TargetMode="External"/><Relationship Id="rId962" Type="http://schemas.openxmlformats.org/officeDocument/2006/relationships/hyperlink" Target="https://techcombank.com/thong-tin/blog/the-tin-dung-bi-khoa" TargetMode="External"/><Relationship Id="rId969" Type="http://schemas.openxmlformats.org/officeDocument/2006/relationships/hyperlink" Target="https://techcombank.com/thong-tin/blog/mo-the-tin-dung-khong-can-chung-minh-thu-nhap" TargetMode="External"/><Relationship Id="rId968" Type="http://schemas.openxmlformats.org/officeDocument/2006/relationships/hyperlink" Target="https://techcombank.com/thong-tin/blog/mat-the-tin-dung-co-lam-lai-duoc-khong" TargetMode="External"/><Relationship Id="rId967" Type="http://schemas.openxmlformats.org/officeDocument/2006/relationships/hyperlink" Target="https://techcombank.com/thong-tin/blog/thoi-gian-hoan-tien-the-tin-dung" TargetMode="External"/><Relationship Id="rId966" Type="http://schemas.openxmlformats.org/officeDocument/2006/relationships/hyperlink" Target="https://techcombank.com/thong-tin/blog/luu-y-khi-su-dung-the-tin-dung" TargetMode="External"/><Relationship Id="rId961" Type="http://schemas.openxmlformats.org/officeDocument/2006/relationships/hyperlink" Target="https://techcombank.com/thong-tin/blog/kich-hoat-the-tin-dung-techcombank" TargetMode="External"/><Relationship Id="rId1550" Type="http://schemas.openxmlformats.org/officeDocument/2006/relationships/hyperlink" Target="https://techcombank.com/thong-tin/blog/cach-tao-ma-qr" TargetMode="External"/><Relationship Id="rId960" Type="http://schemas.openxmlformats.org/officeDocument/2006/relationships/hyperlink" Target="https://techcombank.com/thong-tin/blog/lam-the-tin-dung-co-mat-phi-khong" TargetMode="External"/><Relationship Id="rId1551" Type="http://schemas.openxmlformats.org/officeDocument/2006/relationships/hyperlink" Target="https://techcombank.com/thong-tin/blog/cach-tinh-thue-ho-kinh-doanh-nho-le" TargetMode="External"/><Relationship Id="rId1552" Type="http://schemas.openxmlformats.org/officeDocument/2006/relationships/hyperlink" Target="https://techcombank.com/thong-tin/blog/loi-ich-khi-ho-kinh-doanh-chuyen-len-doanh-nghiep" TargetMode="External"/><Relationship Id="rId1553" Type="http://schemas.openxmlformats.org/officeDocument/2006/relationships/hyperlink" Target="https://techcombank.com/thong-tin/blog/tiem-nang-chuyen-doi-tu-ho-kinh-doanh-len-doanh-nghiep-sme" TargetMode="External"/><Relationship Id="rId2400" Type="http://schemas.openxmlformats.org/officeDocument/2006/relationships/hyperlink" Target="https://techcombank.com/thong-tin/blog/kiem-tra-no-xau" TargetMode="External"/><Relationship Id="rId1543" Type="http://schemas.openxmlformats.org/officeDocument/2006/relationships/hyperlink" Target="https://techcombank.com/thong-tin/blog/thue-khoan-ho-kinh-doanh-la-gi" TargetMode="External"/><Relationship Id="rId1544" Type="http://schemas.openxmlformats.org/officeDocument/2006/relationships/hyperlink" Target="https://techcombank.com/thong-tin/blog/nhung-ho-kinh-doanh-duoc-mien-thue" TargetMode="External"/><Relationship Id="rId1545" Type="http://schemas.openxmlformats.org/officeDocument/2006/relationships/hyperlink" Target="https://techcombank.com/thong-tin/blog/truy-thu-thue-ho-kinh-doanh" TargetMode="External"/><Relationship Id="rId1546" Type="http://schemas.openxmlformats.org/officeDocument/2006/relationships/hyperlink" Target="https://techcombank.com/thong-tin/blog/thue-ho-kinh-doanh-2025" TargetMode="External"/><Relationship Id="rId1547" Type="http://schemas.openxmlformats.org/officeDocument/2006/relationships/hyperlink" Target="https://techcombank.com/thong-tin/blog/hoan-thue-doanh-nghiep" TargetMode="External"/><Relationship Id="rId1548" Type="http://schemas.openxmlformats.org/officeDocument/2006/relationships/hyperlink" Target="https://techcombank.com/thong-tin/blog/thanh-lap-ho-kinh-doanh-ca-the" TargetMode="External"/><Relationship Id="rId1549" Type="http://schemas.openxmlformats.org/officeDocument/2006/relationships/hyperlink" Target="https://techcombank.com/thong-tin/blog/thue-doanh-nghiep-2025" TargetMode="External"/><Relationship Id="rId959" Type="http://schemas.openxmlformats.org/officeDocument/2006/relationships/hyperlink" Target="https://techcombank.com/thong-tin/blog/tra-gop-qua-the-tin-dung" TargetMode="External"/><Relationship Id="rId954" Type="http://schemas.openxmlformats.org/officeDocument/2006/relationships/hyperlink" Target="https://techcombank.com/thong-tin/blog/lam-ho-so-tra-gop-dien-thoai" TargetMode="External"/><Relationship Id="rId953" Type="http://schemas.openxmlformats.org/officeDocument/2006/relationships/hyperlink" Target="https://techcombank.com/thong-tin/blog/the-tin-dung-noi-dia" TargetMode="External"/><Relationship Id="rId952" Type="http://schemas.openxmlformats.org/officeDocument/2006/relationships/hyperlink" Target="https://techcombank.com/thong-tin/blog/sao-ke-the-tin-dung-la-gi" TargetMode="External"/><Relationship Id="rId951" Type="http://schemas.openxmlformats.org/officeDocument/2006/relationships/hyperlink" Target="https://techcombank.com/thong-tin/blog/cic-la-gi" TargetMode="External"/><Relationship Id="rId958" Type="http://schemas.openxmlformats.org/officeDocument/2006/relationships/hyperlink" Target="https://techcombank.com/thong-tin/blog/the-tin-dung-mien-lai-55-ngay" TargetMode="External"/><Relationship Id="rId957" Type="http://schemas.openxmlformats.org/officeDocument/2006/relationships/hyperlink" Target="https://techcombank.com/thong-tin/blog/nang-han-muc-tin-dung" TargetMode="External"/><Relationship Id="rId956" Type="http://schemas.openxmlformats.org/officeDocument/2006/relationships/hyperlink" Target="https://techcombank.com/thong-tin/blog/han-muc-the-tin-dung" TargetMode="External"/><Relationship Id="rId955" Type="http://schemas.openxmlformats.org/officeDocument/2006/relationships/hyperlink" Target="https://techcombank.com/thong-tin/blog/the-tin-dung-la-gi" TargetMode="External"/><Relationship Id="rId950" Type="http://schemas.openxmlformats.org/officeDocument/2006/relationships/hyperlink" Target="https://techcombank.com/thong-tin/blog/the-tin-dung-co-ma-pin-khong" TargetMode="External"/><Relationship Id="rId1540" Type="http://schemas.openxmlformats.org/officeDocument/2006/relationships/hyperlink" Target="https://techcombank.com/thong-tin/blog/100-riel-bang-bao-nhieu-tien-viet-nam" TargetMode="External"/><Relationship Id="rId1541" Type="http://schemas.openxmlformats.org/officeDocument/2006/relationships/hyperlink" Target="https://techcombank.com/thong-tin/blog/tien-indonesia" TargetMode="External"/><Relationship Id="rId1542" Type="http://schemas.openxmlformats.org/officeDocument/2006/relationships/hyperlink" Target="https://techcombank.com/thong-tin/blog/ho-kinh-doanh-la-gi" TargetMode="External"/><Relationship Id="rId2027" Type="http://schemas.openxmlformats.org/officeDocument/2006/relationships/hyperlink" Target="https://techcombank.com/thong-tin/blog/mo-so-tiet-kiem-can-bao-nhieu-tien" TargetMode="External"/><Relationship Id="rId2028" Type="http://schemas.openxmlformats.org/officeDocument/2006/relationships/hyperlink" Target="https://techcombank.com/thong-tin/blog/tai-khoan-tiet-kiem" TargetMode="External"/><Relationship Id="rId2029" Type="http://schemas.openxmlformats.org/officeDocument/2006/relationships/hyperlink" Target="https://techcombank.com/thong-tin/blog/mat-so-tiet-kiem" TargetMode="External"/><Relationship Id="rId590" Type="http://schemas.openxmlformats.org/officeDocument/2006/relationships/hyperlink" Target="https://techcombank.com/thong-tin/blog/lo-ma-qr-ngan-hang-co-sao-khong" TargetMode="External"/><Relationship Id="rId107" Type="http://schemas.openxmlformats.org/officeDocument/2006/relationships/hyperlink" Target="https://techcombank.com/thong-tin/blog/hoan-thue-doanh-nghiep" TargetMode="External"/><Relationship Id="rId106" Type="http://schemas.openxmlformats.org/officeDocument/2006/relationships/hyperlink" Target="https://techcombank.com/thong-tin/blog/tra-cuu-no-thue-ho-kinh-doanh" TargetMode="External"/><Relationship Id="rId105" Type="http://schemas.openxmlformats.org/officeDocument/2006/relationships/hyperlink" Target="https://techcombank.com/thong-tin/blog/ke-khai-thue-doanh-nghiep" TargetMode="External"/><Relationship Id="rId589" Type="http://schemas.openxmlformats.org/officeDocument/2006/relationships/hyperlink" Target="https://techcombank.com/thong-tin/blog/the-visa-de-lam-gi" TargetMode="External"/><Relationship Id="rId104" Type="http://schemas.openxmlformats.org/officeDocument/2006/relationships/hyperlink" Target="https://techcombank.com/thong-tin/blog/quyet-toan-thue-doanh-nghiep" TargetMode="External"/><Relationship Id="rId588" Type="http://schemas.openxmlformats.org/officeDocument/2006/relationships/hyperlink" Target="https://techcombank.com/thong-tin/blog/tra-cuu-han-muc-the-tin-dung" TargetMode="External"/><Relationship Id="rId109" Type="http://schemas.openxmlformats.org/officeDocument/2006/relationships/hyperlink" Target="https://techcombank.com/thong-tin/blog/giai-dap-ve-thue-doanh-nghiep" TargetMode="External"/><Relationship Id="rId1170" Type="http://schemas.openxmlformats.org/officeDocument/2006/relationships/hyperlink" Target="https://techcombank.com/thong-tin/blog/no-xau-nhom-2" TargetMode="External"/><Relationship Id="rId108" Type="http://schemas.openxmlformats.org/officeDocument/2006/relationships/hyperlink" Target="https://techcombank.com/thong-tin/blog/cach-tinh-thue-thu-nhap-doanh-nghiep" TargetMode="External"/><Relationship Id="rId1171" Type="http://schemas.openxmlformats.org/officeDocument/2006/relationships/hyperlink" Target="https://techcombank.com/thong-tin/blog/lai-suat-vay-tin-chap" TargetMode="External"/><Relationship Id="rId583" Type="http://schemas.openxmlformats.org/officeDocument/2006/relationships/hyperlink" Target="https://techcombank.com/thong-tin/blog/qr-dong" TargetMode="External"/><Relationship Id="rId1172" Type="http://schemas.openxmlformats.org/officeDocument/2006/relationships/hyperlink" Target="https://techcombank.com/thong-tin/blog/the-ghi-no-visa-la-gi" TargetMode="External"/><Relationship Id="rId582" Type="http://schemas.openxmlformats.org/officeDocument/2006/relationships/hyperlink" Target="https://techcombank.com/thong-tin/blog/cach-tao-ma-qr-code-mien-phi" TargetMode="External"/><Relationship Id="rId1173" Type="http://schemas.openxmlformats.org/officeDocument/2006/relationships/hyperlink" Target="https://techcombank.com/thong-tin/blog/uu-dai-mua-iphone-18" TargetMode="External"/><Relationship Id="rId2020" Type="http://schemas.openxmlformats.org/officeDocument/2006/relationships/hyperlink" Target="https://techcombank.com/thong-tin/blog/no-xau-mo-the-tin-dung-duoc-khong" TargetMode="External"/><Relationship Id="rId581" Type="http://schemas.openxmlformats.org/officeDocument/2006/relationships/hyperlink" Target="https://techcombank.com/thong-tin/blog/lam-ma-qr-ngan-hang-co-mat-phi-khong" TargetMode="External"/><Relationship Id="rId1174" Type="http://schemas.openxmlformats.org/officeDocument/2006/relationships/hyperlink" Target="https://techcombank.com/thong-tin/blog/khong-su-dung-the-tin-dung-co-mat-phi-khong" TargetMode="External"/><Relationship Id="rId2021" Type="http://schemas.openxmlformats.org/officeDocument/2006/relationships/hyperlink" Target="https://techcombank.com/thong-tin/blog/rut-tien-bao-hiem-nhan-tho-khi-het-han" TargetMode="External"/><Relationship Id="rId580" Type="http://schemas.openxmlformats.org/officeDocument/2006/relationships/hyperlink" Target="https://techcombank.com/thong-tin/blog/thanh-toan-bang-ma-qr" TargetMode="External"/><Relationship Id="rId1175" Type="http://schemas.openxmlformats.org/officeDocument/2006/relationships/hyperlink" Target="https://techcombank.com/thong-tin/blog/so-the-tin-dung" TargetMode="External"/><Relationship Id="rId2022" Type="http://schemas.openxmlformats.org/officeDocument/2006/relationships/hyperlink" Target="https://techcombank.com/thong-tin/blog/mo-the-tin-dung-khong-can-chung-minh-thu-nhap" TargetMode="External"/><Relationship Id="rId103" Type="http://schemas.openxmlformats.org/officeDocument/2006/relationships/hyperlink" Target="https://techcombank.com/thong-tin/blog/tra-cuu-no-thue-hai-quan" TargetMode="External"/><Relationship Id="rId587" Type="http://schemas.openxmlformats.org/officeDocument/2006/relationships/hyperlink" Target="https://techcombank.com/thong-tin/blog/cach-lam-the-atm" TargetMode="External"/><Relationship Id="rId1176" Type="http://schemas.openxmlformats.org/officeDocument/2006/relationships/hyperlink" Target="https://techcombank.com/thong-tin/blog/han-muc-tra-gop-the-tin-dung" TargetMode="External"/><Relationship Id="rId2023" Type="http://schemas.openxmlformats.org/officeDocument/2006/relationships/hyperlink" Target="https://techcombank.com/thong-tin/blog/chung-chi-tien-gui-khac-gi-so-tiet-kiem" TargetMode="External"/><Relationship Id="rId102" Type="http://schemas.openxmlformats.org/officeDocument/2006/relationships/hyperlink" Target="https://techcombank.com/thong-tin/blog/kiem-tra-ma-so-thue-doanh-nghiep" TargetMode="External"/><Relationship Id="rId586" Type="http://schemas.openxmlformats.org/officeDocument/2006/relationships/hyperlink" Target="https://techcombank.com/thong-tin/blog/thanh-toan-ma-qr-tro-thanh-phuong-thuc-duoc-ua-chuong-va-trien-khai-manh-me" TargetMode="External"/><Relationship Id="rId1177" Type="http://schemas.openxmlformats.org/officeDocument/2006/relationships/hyperlink" Target="https://techcombank.com/thong-tin/blog/the-tin-dung-hoan-tien" TargetMode="External"/><Relationship Id="rId2024" Type="http://schemas.openxmlformats.org/officeDocument/2006/relationships/hyperlink" Target="https://techcombank.com/thong-tin/blog/chung-chi-tien-gui-co-duoc-rut-truoc-han" TargetMode="External"/><Relationship Id="rId101" Type="http://schemas.openxmlformats.org/officeDocument/2006/relationships/hyperlink" Target="https://techcombank.com/thong-tin/blog/app-chia-tien" TargetMode="External"/><Relationship Id="rId585" Type="http://schemas.openxmlformats.org/officeDocument/2006/relationships/hyperlink" Target="https://techcombank.com/thong-tin/blog/nap-tien-vao-tai-khoan-ngan-hang" TargetMode="External"/><Relationship Id="rId1178" Type="http://schemas.openxmlformats.org/officeDocument/2006/relationships/hyperlink" Target="https://techcombank.com/thong-tin/blog/sang-ngang-the-tin-dung" TargetMode="External"/><Relationship Id="rId2025" Type="http://schemas.openxmlformats.org/officeDocument/2006/relationships/hyperlink" Target="https://techcombank.com/thong-tin/blog/vay-20-trieu" TargetMode="External"/><Relationship Id="rId100" Type="http://schemas.openxmlformats.org/officeDocument/2006/relationships/hyperlink" Target="https://techcombank.com/thong-tin/blog/cach-huy-thanh-toan-tien-dien" TargetMode="External"/><Relationship Id="rId584" Type="http://schemas.openxmlformats.org/officeDocument/2006/relationships/hyperlink" Target="https://techcombank.com/thong-tin/blog/lam-the-atm-co-mat-phi-khong" TargetMode="External"/><Relationship Id="rId1179" Type="http://schemas.openxmlformats.org/officeDocument/2006/relationships/hyperlink" Target="https://techcombank.com/thong-tin/blog/tai-khoan-ngan-hang-la-gi" TargetMode="External"/><Relationship Id="rId2026" Type="http://schemas.openxmlformats.org/officeDocument/2006/relationships/hyperlink" Target="https://techcombank.com/thong-tin/blog/tien-gui-co-ky-han" TargetMode="External"/><Relationship Id="rId1169" Type="http://schemas.openxmlformats.org/officeDocument/2006/relationships/hyperlink" Target="https://techcombank.com/thong-tin/blog/so-luong-the-tin-dung-noi-dia-dang-luu-hanh-da-tang-42-so-voi-cung-ky-nam-2022" TargetMode="External"/><Relationship Id="rId2016" Type="http://schemas.openxmlformats.org/officeDocument/2006/relationships/hyperlink" Target="https://techcombank.com/thong-tin/blog/quy-trinh-tat-toan-khoan-vay-the-chap" TargetMode="External"/><Relationship Id="rId2017" Type="http://schemas.openxmlformats.org/officeDocument/2006/relationships/hyperlink" Target="https://techcombank.com/thong-tin/blog/tat-toan-chung-chi-tien-gui" TargetMode="External"/><Relationship Id="rId2018" Type="http://schemas.openxmlformats.org/officeDocument/2006/relationships/hyperlink" Target="https://techcombank.com/thong-tin/blog/mo-so-tiet-kiem-can-bao-nhieu-tien" TargetMode="External"/><Relationship Id="rId2019" Type="http://schemas.openxmlformats.org/officeDocument/2006/relationships/hyperlink" Target="https://techcombank.com/thong-tin/blog/chuyen-nhuong-chung-chi-tien-gui" TargetMode="External"/><Relationship Id="rId579" Type="http://schemas.openxmlformats.org/officeDocument/2006/relationships/hyperlink" Target="https://techcombank.com/thong-tin/blog/qr-code-doanh-nghiep" TargetMode="External"/><Relationship Id="rId578" Type="http://schemas.openxmlformats.org/officeDocument/2006/relationships/hyperlink" Target="https://techcombank.com/thong-tin/blog/cach-su-dung-tai-khoan-cong-ty" TargetMode="External"/><Relationship Id="rId577" Type="http://schemas.openxmlformats.org/officeDocument/2006/relationships/hyperlink" Target="https://techcombank.com/thong-tin/blog/so-sanh-ma-qr-va-ma-vach" TargetMode="External"/><Relationship Id="rId2490" Type="http://schemas.openxmlformats.org/officeDocument/2006/relationships/hyperlink" Target="https://techcombank.com/thong-tin/blog/ngan-hang-xanh" TargetMode="External"/><Relationship Id="rId1160" Type="http://schemas.openxmlformats.org/officeDocument/2006/relationships/hyperlink" Target="https://techcombank.com/thong-tin/blog/thoi-gian-hoan-tien-the-tin-dung" TargetMode="External"/><Relationship Id="rId2491" Type="http://schemas.openxmlformats.org/officeDocument/2006/relationships/hyperlink" Target="https://techcombank.com/thong-tin/blog/chung-chi-quy-mo-va-dong" TargetMode="External"/><Relationship Id="rId572" Type="http://schemas.openxmlformats.org/officeDocument/2006/relationships/hyperlink" Target="https://techcombank.com/thong-tin/blog/in-ma-qr-ngan-hang" TargetMode="External"/><Relationship Id="rId1161" Type="http://schemas.openxmlformats.org/officeDocument/2006/relationships/hyperlink" Target="https://techcombank.com/thong-tin/blog/du-no-tin-dung-la-gi" TargetMode="External"/><Relationship Id="rId2492" Type="http://schemas.openxmlformats.org/officeDocument/2006/relationships/hyperlink" Target="https://techcombank.com/thong-tin/blog/bi-quyet-lua-chon-trai-phieu-an-toan-cho-nha-dau-tu" TargetMode="External"/><Relationship Id="rId571" Type="http://schemas.openxmlformats.org/officeDocument/2006/relationships/hyperlink" Target="https://techcombank.com/thong-tin/blog/rut-tien-mat-tu-tai-khoan-doanh-nghiep" TargetMode="External"/><Relationship Id="rId1162" Type="http://schemas.openxmlformats.org/officeDocument/2006/relationships/hyperlink" Target="https://techcombank.com/thong-tin/blog/lai-suat-qua-han" TargetMode="External"/><Relationship Id="rId2493" Type="http://schemas.openxmlformats.org/officeDocument/2006/relationships/hyperlink" Target="https://techcombank.com/thong-tin/blog/tactical-asset-allocation" TargetMode="External"/><Relationship Id="rId570" Type="http://schemas.openxmlformats.org/officeDocument/2006/relationships/hyperlink" Target="https://techcombank.com/thong-tin/blog/ma-qr-ngan-hang-khong-hop-le" TargetMode="External"/><Relationship Id="rId1163" Type="http://schemas.openxmlformats.org/officeDocument/2006/relationships/hyperlink" Target="https://techcombank.com/thong-tin/blog/mat-the-tin-dung-co-lam-lai-duoc-khong" TargetMode="External"/><Relationship Id="rId2010" Type="http://schemas.openxmlformats.org/officeDocument/2006/relationships/hyperlink" Target="https://techcombank.com/thong-tin/blog/vay-thau-chi-bang-so-tiet-kiem" TargetMode="External"/><Relationship Id="rId2494" Type="http://schemas.openxmlformats.org/officeDocument/2006/relationships/hyperlink" Target="https://techcombank.com/thong-tin/blog/ngan-hang-so" TargetMode="External"/><Relationship Id="rId1164" Type="http://schemas.openxmlformats.org/officeDocument/2006/relationships/hyperlink" Target="https://techcombank.com/thong-tin/blog/mo-the-tin-dung-khong-can-chung-minh-thu-nhap" TargetMode="External"/><Relationship Id="rId2011" Type="http://schemas.openxmlformats.org/officeDocument/2006/relationships/hyperlink" Target="https://techcombank.com/thong-tin/blog/mat-so-tiet-kiem" TargetMode="External"/><Relationship Id="rId2495" Type="http://schemas.openxmlformats.org/officeDocument/2006/relationships/hyperlink" Target="https://techcombank.com/thong-tin/blog/dau-co-va-dau-tu" TargetMode="External"/><Relationship Id="rId576" Type="http://schemas.openxmlformats.org/officeDocument/2006/relationships/hyperlink" Target="https://techcombank.com/thong-tin/blog/ma-qr-techcombank" TargetMode="External"/><Relationship Id="rId1165" Type="http://schemas.openxmlformats.org/officeDocument/2006/relationships/hyperlink" Target="https://techcombank.com/thong-tin/blog/the-tin-dung-vip" TargetMode="External"/><Relationship Id="rId2012" Type="http://schemas.openxmlformats.org/officeDocument/2006/relationships/hyperlink" Target="https://techcombank.com/thong-tin/blog/gui-them-tien-vao-so-tiet-kiem" TargetMode="External"/><Relationship Id="rId2496" Type="http://schemas.openxmlformats.org/officeDocument/2006/relationships/hyperlink" Target="https://techcombank.com/thong-tin/blog/dau-tu-tai-chinh-ca-nhan" TargetMode="External"/><Relationship Id="rId575" Type="http://schemas.openxmlformats.org/officeDocument/2006/relationships/hyperlink" Target="https://techcombank.com/thong-tin/blog/ma-qr-lam-gia-duoc-khong" TargetMode="External"/><Relationship Id="rId1166" Type="http://schemas.openxmlformats.org/officeDocument/2006/relationships/hyperlink" Target="https://techcombank.com/thong-tin/blog/cach-sao-ke-tai-khoan-ngan-hang" TargetMode="External"/><Relationship Id="rId2013" Type="http://schemas.openxmlformats.org/officeDocument/2006/relationships/hyperlink" Target="https://techcombank.com/thong-tin/blog/so-tiet-kiem-ngan-hang" TargetMode="External"/><Relationship Id="rId2497" Type="http://schemas.openxmlformats.org/officeDocument/2006/relationships/hyperlink" Target="https://techcombank.com/thong-tin/blog/dau-tu-dai-han" TargetMode="External"/><Relationship Id="rId574" Type="http://schemas.openxmlformats.org/officeDocument/2006/relationships/hyperlink" Target="https://techcombank.com/thong-tin/blog/cdm" TargetMode="External"/><Relationship Id="rId1167" Type="http://schemas.openxmlformats.org/officeDocument/2006/relationships/hyperlink" Target="https://techcombank.com/thong-tin/blog/the-tin-dung-phu-la-gi" TargetMode="External"/><Relationship Id="rId2014" Type="http://schemas.openxmlformats.org/officeDocument/2006/relationships/hyperlink" Target="https://techcombank.com/thong-tin/blog/tat-toan" TargetMode="External"/><Relationship Id="rId2498" Type="http://schemas.openxmlformats.org/officeDocument/2006/relationships/hyperlink" Target="https://techcombank.com/thong-tin/blog/bao-hiem-tu-ky-la-gi" TargetMode="External"/><Relationship Id="rId573" Type="http://schemas.openxmlformats.org/officeDocument/2006/relationships/hyperlink" Target="https://techcombank.com/thong-tin/blog/mm-yy-la-gi" TargetMode="External"/><Relationship Id="rId1168" Type="http://schemas.openxmlformats.org/officeDocument/2006/relationships/hyperlink" Target="https://techcombank.com/thong-tin/blog/rut-tien-mat-tu-the-tin-dung" TargetMode="External"/><Relationship Id="rId2015" Type="http://schemas.openxmlformats.org/officeDocument/2006/relationships/hyperlink" Target="https://techcombank.com/thong-tin/blog/dao-han-la-gi" TargetMode="External"/><Relationship Id="rId2499" Type="http://schemas.openxmlformats.org/officeDocument/2006/relationships/hyperlink" Target="https://techcombank.com/thong-tin/blog/quan-ly-danh-muc-dau-tu" TargetMode="External"/><Relationship Id="rId2049" Type="http://schemas.openxmlformats.org/officeDocument/2006/relationships/hyperlink" Target="https://techcombank.com/thong-tin/blog/gui-tiet-kiem-tich-luy-la-gi" TargetMode="External"/><Relationship Id="rId129" Type="http://schemas.openxmlformats.org/officeDocument/2006/relationships/hyperlink" Target="https://techcombank.com/thong-tin/blog/tra-cuu-no-thue-doanh-nghiep" TargetMode="External"/><Relationship Id="rId128" Type="http://schemas.openxmlformats.org/officeDocument/2006/relationships/hyperlink" Target="https://techcombank.com/thong-tin/blog/dang-ky-thanh-lap-doanh-nghiep-online" TargetMode="External"/><Relationship Id="rId127" Type="http://schemas.openxmlformats.org/officeDocument/2006/relationships/hyperlink" Target="https://techcombank.com/thong-tin/blog/ke-khai-thue-doanh-nghiep" TargetMode="External"/><Relationship Id="rId126" Type="http://schemas.openxmlformats.org/officeDocument/2006/relationships/hyperlink" Target="https://techcombank.com/thong-tin/blog/quyet-toan-thue-doanh-nghiep" TargetMode="External"/><Relationship Id="rId1190" Type="http://schemas.openxmlformats.org/officeDocument/2006/relationships/hyperlink" Target="https://techcombank.com/thong-tin/blog/tai-sao-gui-tiet-kiem-online-lai-suat-cao-hon" TargetMode="External"/><Relationship Id="rId1191" Type="http://schemas.openxmlformats.org/officeDocument/2006/relationships/hyperlink" Target="https://techcombank.com/thong-tin/blog/chung-chi-tien-gui-co-duoc-bao-hiem-khong" TargetMode="External"/><Relationship Id="rId1192" Type="http://schemas.openxmlformats.org/officeDocument/2006/relationships/hyperlink" Target="https://techcombank.com/thong-tin/blog/nen-de-tien-trong-the-hay-gui-tiet-kiem" TargetMode="External"/><Relationship Id="rId1193" Type="http://schemas.openxmlformats.org/officeDocument/2006/relationships/hyperlink" Target="https://techcombank.com/thong-tin/blog/quan-ly-tai-chinh-cho-dan-van-phong" TargetMode="External"/><Relationship Id="rId2040" Type="http://schemas.openxmlformats.org/officeDocument/2006/relationships/hyperlink" Target="https://techcombank.com/thong-tin/blog/nen-de-tien-trong-the-hay-gui-tiet-kiem" TargetMode="External"/><Relationship Id="rId121" Type="http://schemas.openxmlformats.org/officeDocument/2006/relationships/hyperlink" Target="https://techcombank.com/thong-tin/blog/kiem-tra-ma-so-thue-doanh-nghiep" TargetMode="External"/><Relationship Id="rId1194" Type="http://schemas.openxmlformats.org/officeDocument/2006/relationships/hyperlink" Target="https://techcombank.com/thong-tin/blog/co-nen-gui-tiet-kiem-ngan-hang" TargetMode="External"/><Relationship Id="rId2041" Type="http://schemas.openxmlformats.org/officeDocument/2006/relationships/hyperlink" Target="https://techcombank.com/thong-tin/blog/co-nen-gui-tiet-kiem-ngan-hang" TargetMode="External"/><Relationship Id="rId120" Type="http://schemas.openxmlformats.org/officeDocument/2006/relationships/hyperlink" Target="https://techcombank.com/thong-tin/blog/cach-tinh-thue-thu-nhap-doanh-nghiep" TargetMode="External"/><Relationship Id="rId1195" Type="http://schemas.openxmlformats.org/officeDocument/2006/relationships/hyperlink" Target="https://techcombank.com/thong-tin/blog/lai-suat-tiet-kiem" TargetMode="External"/><Relationship Id="rId2042" Type="http://schemas.openxmlformats.org/officeDocument/2006/relationships/hyperlink" Target="https://techcombank.com/thong-tin/blog/lai-suat-tiet-kiem" TargetMode="External"/><Relationship Id="rId1196" Type="http://schemas.openxmlformats.org/officeDocument/2006/relationships/hyperlink" Target="https://techcombank.com/thong-tin/blog/chung-chi-quy-va-chung-khoan" TargetMode="External"/><Relationship Id="rId2043" Type="http://schemas.openxmlformats.org/officeDocument/2006/relationships/hyperlink" Target="https://techcombank.com/thong-tin/blog/co-nen-gui-tiet-kiem-online" TargetMode="External"/><Relationship Id="rId1197" Type="http://schemas.openxmlformats.org/officeDocument/2006/relationships/hyperlink" Target="https://techcombank.com/thong-tin/blog/co-nen-gui-tiet-kiem-online" TargetMode="External"/><Relationship Id="rId2044" Type="http://schemas.openxmlformats.org/officeDocument/2006/relationships/hyperlink" Target="https://techcombank.com/thong-tin/blog/gui-tiet-kiem-ngan-hang-van-la-lua-chon-an-toan-trong-thoi-ky-kinh-te-con-nhieu-bien-dong" TargetMode="External"/><Relationship Id="rId125" Type="http://schemas.openxmlformats.org/officeDocument/2006/relationships/hyperlink" Target="https://techcombank.com/thong-tin/blog/tim-hieu-ve-chinh-sach-thue-moi" TargetMode="External"/><Relationship Id="rId1198" Type="http://schemas.openxmlformats.org/officeDocument/2006/relationships/hyperlink" Target="https://techcombank.com/thong-tin/blog/gui-tiet-kiem-ngan-hang-van-la-lua-chon-an-toan-trong-thoi-ky-kinh-te-con-nhieu-bien-dong" TargetMode="External"/><Relationship Id="rId2045" Type="http://schemas.openxmlformats.org/officeDocument/2006/relationships/hyperlink" Target="https://techcombank.com/thong-tin/blog/cach-gui-tiet-kiem-online" TargetMode="External"/><Relationship Id="rId124" Type="http://schemas.openxmlformats.org/officeDocument/2006/relationships/hyperlink" Target="https://techcombank.com/thong-tin/blog/chuan-bi-cho-doanh-nghiep-khoi-nghiep-truoc-nhung-thay-doi-ve-thue" TargetMode="External"/><Relationship Id="rId1199" Type="http://schemas.openxmlformats.org/officeDocument/2006/relationships/hyperlink" Target="https://techcombank.com/thong-tin/blog/cach-gui-tiet-kiem-online" TargetMode="External"/><Relationship Id="rId2046" Type="http://schemas.openxmlformats.org/officeDocument/2006/relationships/hyperlink" Target="https://techcombank.com/thong-tin/blog/gui-tien-ngan-hang-co-an-toan-khong" TargetMode="External"/><Relationship Id="rId123" Type="http://schemas.openxmlformats.org/officeDocument/2006/relationships/hyperlink" Target="https://techcombank.com/thong-tin/blog/ho-so-dang-ky-thanh-lap-doanh-nghiep" TargetMode="External"/><Relationship Id="rId2047" Type="http://schemas.openxmlformats.org/officeDocument/2006/relationships/hyperlink" Target="https://techcombank.com/thong-tin/blog/nen-gui-tiet-kiem-6-thang-hay-1-nam" TargetMode="External"/><Relationship Id="rId122" Type="http://schemas.openxmlformats.org/officeDocument/2006/relationships/hyperlink" Target="https://techcombank.com/thong-tin/blog/chinh-sach-thue-moi" TargetMode="External"/><Relationship Id="rId2048" Type="http://schemas.openxmlformats.org/officeDocument/2006/relationships/hyperlink" Target="https://techcombank.com/thong-tin/blog/mo-tai-khoan-tiet-kiem-cho-con" TargetMode="External"/><Relationship Id="rId2038" Type="http://schemas.openxmlformats.org/officeDocument/2006/relationships/hyperlink" Target="https://techcombank.com/thong-tin/blog/tat-toan" TargetMode="External"/><Relationship Id="rId2039" Type="http://schemas.openxmlformats.org/officeDocument/2006/relationships/hyperlink" Target="https://techcombank.com/thong-tin/blog/dao-han-la-gi" TargetMode="External"/><Relationship Id="rId118" Type="http://schemas.openxmlformats.org/officeDocument/2006/relationships/hyperlink" Target="https://techcombank.com/thong-tin/blog/hoan-thue-doanh-nghiep" TargetMode="External"/><Relationship Id="rId117" Type="http://schemas.openxmlformats.org/officeDocument/2006/relationships/hyperlink" Target="https://techcombank.com/thong-tin/blog/huong-dan-dang-ky-thanh-lap-doanh-nghiep" TargetMode="External"/><Relationship Id="rId116" Type="http://schemas.openxmlformats.org/officeDocument/2006/relationships/hyperlink" Target="https://techcombank.com/thong-tin/blog/dieu-kien-thanh-lap-doanh-nghiep" TargetMode="External"/><Relationship Id="rId115" Type="http://schemas.openxmlformats.org/officeDocument/2006/relationships/hyperlink" Target="https://techcombank.com/thong-tin/blog/thue-doanh-nghiep-2025" TargetMode="External"/><Relationship Id="rId599" Type="http://schemas.openxmlformats.org/officeDocument/2006/relationships/hyperlink" Target="https://techcombank.com/thong-tin/blog/the-tin-dung-la-gi" TargetMode="External"/><Relationship Id="rId1180" Type="http://schemas.openxmlformats.org/officeDocument/2006/relationships/hyperlink" Target="https://techcombank.com/thong-tin/blog/chung-chi-tien-gui-khac-gi-so-tiet-kiem" TargetMode="External"/><Relationship Id="rId1181" Type="http://schemas.openxmlformats.org/officeDocument/2006/relationships/hyperlink" Target="https://techcombank.com/thong-tin/blog/chung-chi-tien-gui-co-phai-la-trai-phieu-khong" TargetMode="External"/><Relationship Id="rId119" Type="http://schemas.openxmlformats.org/officeDocument/2006/relationships/hyperlink" Target="https://techcombank.com/thong-tin/blog/dang-ky-thanh-lap-doanh-nghiep" TargetMode="External"/><Relationship Id="rId1182" Type="http://schemas.openxmlformats.org/officeDocument/2006/relationships/hyperlink" Target="https://techcombank.com/thong-tin/blog/co-nen-gui-chung-chi-tien-gui" TargetMode="External"/><Relationship Id="rId110" Type="http://schemas.openxmlformats.org/officeDocument/2006/relationships/hyperlink" Target="https://techcombank.com/thong-tin/blog/tra-cuu-no-thue-ca-nhan" TargetMode="External"/><Relationship Id="rId594" Type="http://schemas.openxmlformats.org/officeDocument/2006/relationships/hyperlink" Target="https://techcombank.com/thong-tin/blog/cach-thanh-toan-the-tin-dung" TargetMode="External"/><Relationship Id="rId1183" Type="http://schemas.openxmlformats.org/officeDocument/2006/relationships/hyperlink" Target="https://techcombank.com/thong-tin/blog/chung-chi-tien-gui-co-an-toan-khong" TargetMode="External"/><Relationship Id="rId2030" Type="http://schemas.openxmlformats.org/officeDocument/2006/relationships/hyperlink" Target="https://techcombank.com/thong-tin/blog/gui-them-tien-vao-so-tiet-kiem" TargetMode="External"/><Relationship Id="rId593" Type="http://schemas.openxmlformats.org/officeDocument/2006/relationships/hyperlink" Target="https://techcombank.com/thong-tin/blog/rut-tien-tiet-kiem-truoc-thoi-han" TargetMode="External"/><Relationship Id="rId1184" Type="http://schemas.openxmlformats.org/officeDocument/2006/relationships/hyperlink" Target="https://techcombank.com/thong-tin/blog/tien-nhan-roi-nen-lam-gi" TargetMode="External"/><Relationship Id="rId2031" Type="http://schemas.openxmlformats.org/officeDocument/2006/relationships/hyperlink" Target="https://techcombank.com/thong-tin/blog/quy-trinh-gui-tien-tiet-kiem" TargetMode="External"/><Relationship Id="rId592" Type="http://schemas.openxmlformats.org/officeDocument/2006/relationships/hyperlink" Target="https://techcombank.com/thong-tin/blog/phi-rut-tien-mat-the-tin-dung" TargetMode="External"/><Relationship Id="rId1185" Type="http://schemas.openxmlformats.org/officeDocument/2006/relationships/hyperlink" Target="https://techcombank.com/thong-tin/blog/chuyen-doi-so-ho-kinh-doanh" TargetMode="External"/><Relationship Id="rId2032" Type="http://schemas.openxmlformats.org/officeDocument/2006/relationships/hyperlink" Target="https://techcombank.com/thong-tin/blog/gui-tiet-kiem-theo-ngay" TargetMode="External"/><Relationship Id="rId591" Type="http://schemas.openxmlformats.org/officeDocument/2006/relationships/hyperlink" Target="https://techcombank.com/thong-tin/blog/lam-the-atm-bao-lau-co" TargetMode="External"/><Relationship Id="rId1186" Type="http://schemas.openxmlformats.org/officeDocument/2006/relationships/hyperlink" Target="https://techcombank.com/thong-tin/blog/quy-trinh-gui-tien-tiet-kiem" TargetMode="External"/><Relationship Id="rId2033" Type="http://schemas.openxmlformats.org/officeDocument/2006/relationships/hyperlink" Target="https://techcombank.com/thong-tin/blog/tai-khoan-thanh-toan-la-gi" TargetMode="External"/><Relationship Id="rId114" Type="http://schemas.openxmlformats.org/officeDocument/2006/relationships/hyperlink" Target="https://techcombank.com/thong-tin/blog/thue-phi-co-dinh-khi-chuyen-doi-tu-ho-kinh-doanh-len-doanh-nghiep" TargetMode="External"/><Relationship Id="rId598" Type="http://schemas.openxmlformats.org/officeDocument/2006/relationships/hyperlink" Target="https://techcombank.com/thong-tin/blog/ma-pin-the-atm" TargetMode="External"/><Relationship Id="rId1187" Type="http://schemas.openxmlformats.org/officeDocument/2006/relationships/hyperlink" Target="https://techcombank.com/thong-tin/blog/gui-tiet-kiem-theo-ngay" TargetMode="External"/><Relationship Id="rId2034" Type="http://schemas.openxmlformats.org/officeDocument/2006/relationships/hyperlink" Target="https://techcombank.com/thong-tin/blog/gui-tiet-kiem-vang" TargetMode="External"/><Relationship Id="rId113" Type="http://schemas.openxmlformats.org/officeDocument/2006/relationships/hyperlink" Target="https://techcombank.com/thong-tin/blog/hieu-hiet-ve-tuan-thu-thue-cho-cac-doanh-nghiep-khoi-nghiep" TargetMode="External"/><Relationship Id="rId597" Type="http://schemas.openxmlformats.org/officeDocument/2006/relationships/hyperlink" Target="https://techcombank.com/thong-tin/blog/cach-chuyen-khoan-bang-dien-thoai" TargetMode="External"/><Relationship Id="rId1188" Type="http://schemas.openxmlformats.org/officeDocument/2006/relationships/hyperlink" Target="https://techcombank.com/thong-tin/blog/gui-tiet-kiem-vang" TargetMode="External"/><Relationship Id="rId2035" Type="http://schemas.openxmlformats.org/officeDocument/2006/relationships/hyperlink" Target="https://techcombank.com/thong-tin/blog/nen-gui-tiet-kiem-thong-thuong-hay-tich-luy" TargetMode="External"/><Relationship Id="rId112" Type="http://schemas.openxmlformats.org/officeDocument/2006/relationships/hyperlink" Target="https://techcombank.com/thong-tin/blog/giai-dap-ve-thue-doanh-nghiep" TargetMode="External"/><Relationship Id="rId596" Type="http://schemas.openxmlformats.org/officeDocument/2006/relationships/hyperlink" Target="https://techcombank.com/thong-tin/blog/the-atm-gan-chip" TargetMode="External"/><Relationship Id="rId1189" Type="http://schemas.openxmlformats.org/officeDocument/2006/relationships/hyperlink" Target="https://techcombank.com/thong-tin/blog/nen-gui-tiet-kiem-thong-thuong-hay-tich-luy" TargetMode="External"/><Relationship Id="rId2036" Type="http://schemas.openxmlformats.org/officeDocument/2006/relationships/hyperlink" Target="https://techcombank.com/thong-tin/blog/tai-sao-gui-tiet-kiem-online-lai-suat-cao-hon" TargetMode="External"/><Relationship Id="rId111" Type="http://schemas.openxmlformats.org/officeDocument/2006/relationships/hyperlink" Target="https://techcombank.com/thong-tin/blog/thue-doanh-nghiep" TargetMode="External"/><Relationship Id="rId595" Type="http://schemas.openxmlformats.org/officeDocument/2006/relationships/hyperlink" Target="https://techcombank.com/thong-tin/blog/qr-code-phuong-thuc-thanh-toan-toi-uu-trong-ky-nguyen-so" TargetMode="External"/><Relationship Id="rId2037" Type="http://schemas.openxmlformats.org/officeDocument/2006/relationships/hyperlink" Target="https://techcombank.com/thong-tin/blog/tat-toan-so-tiet-kiem" TargetMode="External"/><Relationship Id="rId1136" Type="http://schemas.openxmlformats.org/officeDocument/2006/relationships/hyperlink" Target="https://techcombank.com/thong-tin/blog/tra-gop-shopee" TargetMode="External"/><Relationship Id="rId2467" Type="http://schemas.openxmlformats.org/officeDocument/2006/relationships/hyperlink" Target="https://techcombank.com/thong-tin/blog/lap-ke-hoach-tai-chinh-ca-nhan" TargetMode="External"/><Relationship Id="rId1137" Type="http://schemas.openxmlformats.org/officeDocument/2006/relationships/hyperlink" Target="https://techcombank.com/thong-tin/blog/thanh-toan-tien-dien-bang-the-tin-dung" TargetMode="External"/><Relationship Id="rId2468" Type="http://schemas.openxmlformats.org/officeDocument/2006/relationships/hyperlink" Target="https://techcombank.com/thong-tin/blog/chung-chi-quy-va-chung-khoan" TargetMode="External"/><Relationship Id="rId1138" Type="http://schemas.openxmlformats.org/officeDocument/2006/relationships/hyperlink" Target="https://techcombank.com/thong-tin/blog/thanh-toan-tra-gop-qua-the-tin-dung" TargetMode="External"/><Relationship Id="rId2469" Type="http://schemas.openxmlformats.org/officeDocument/2006/relationships/hyperlink" Target="https://techcombank.com/thong-tin/blog/lai-suat-chung-chi-quy" TargetMode="External"/><Relationship Id="rId1139" Type="http://schemas.openxmlformats.org/officeDocument/2006/relationships/hyperlink" Target="https://techcombank.com/thong-tin/blog/tra-gop-lazada" TargetMode="External"/><Relationship Id="rId547" Type="http://schemas.openxmlformats.org/officeDocument/2006/relationships/hyperlink" Target="https://techcombank.com/thong-tin/blog/quyet-toan-thue-thu-nhap-ca-nhan" TargetMode="External"/><Relationship Id="rId546" Type="http://schemas.openxmlformats.org/officeDocument/2006/relationships/hyperlink" Target="https://techcombank.com/thong-tin/blog/cach-tinh-thue-ho-kinh-doanh-nho-le" TargetMode="External"/><Relationship Id="rId545" Type="http://schemas.openxmlformats.org/officeDocument/2006/relationships/hyperlink" Target="https://techcombank.com/thong-tin/blog/sao-ke-luong" TargetMode="External"/><Relationship Id="rId544" Type="http://schemas.openxmlformats.org/officeDocument/2006/relationships/hyperlink" Target="https://techcombank.com/thong-tin/blog/luong-huu" TargetMode="External"/><Relationship Id="rId549" Type="http://schemas.openxmlformats.org/officeDocument/2006/relationships/hyperlink" Target="https://techcombank.com/thong-tin/blog/nhung-ho-kinh-doanh-duoc-mien-thue" TargetMode="External"/><Relationship Id="rId548" Type="http://schemas.openxmlformats.org/officeDocument/2006/relationships/hyperlink" Target="https://techcombank.com/thong-tin/blog/hoan-thue-thu-nhap-ca-nhan" TargetMode="External"/><Relationship Id="rId2460" Type="http://schemas.openxmlformats.org/officeDocument/2006/relationships/hyperlink" Target="https://techcombank.com/thong-tin/blog/vang-24k" TargetMode="External"/><Relationship Id="rId1130" Type="http://schemas.openxmlformats.org/officeDocument/2006/relationships/hyperlink" Target="https://techcombank.com/thong-tin/blog/mo-the-tin-dung-han-muc-cao" TargetMode="External"/><Relationship Id="rId2461" Type="http://schemas.openxmlformats.org/officeDocument/2006/relationships/hyperlink" Target="https://techcombank.com/thong-tin/blog/chien-luoc-dau-tu" TargetMode="External"/><Relationship Id="rId1131" Type="http://schemas.openxmlformats.org/officeDocument/2006/relationships/hyperlink" Target="https://techcombank.com/thong-tin/blog/uu-dai-the-tin-dung" TargetMode="External"/><Relationship Id="rId2462" Type="http://schemas.openxmlformats.org/officeDocument/2006/relationships/hyperlink" Target="https://techcombank.com/thong-tin/blog/khau-vi-nha-dau-tu-tpdn-thay-doi-the-nao-sau-nhung-bien-dong-vua-qua" TargetMode="External"/><Relationship Id="rId543" Type="http://schemas.openxmlformats.org/officeDocument/2006/relationships/hyperlink" Target="https://techcombank.com/thong-tin/blog/tra-cuu-no-thue-ca-nhan" TargetMode="External"/><Relationship Id="rId1132" Type="http://schemas.openxmlformats.org/officeDocument/2006/relationships/hyperlink" Target="https://techcombank.com/thong-tin/blog/3d-secure" TargetMode="External"/><Relationship Id="rId2463" Type="http://schemas.openxmlformats.org/officeDocument/2006/relationships/hyperlink" Target="https://techcombank.com/thong-tin/blog/thoi-gian-khop-lech-chung-chi-quy" TargetMode="External"/><Relationship Id="rId542" Type="http://schemas.openxmlformats.org/officeDocument/2006/relationships/hyperlink" Target="https://techcombank.com/thong-tin/blog/tien-chuyen-vao-tai-khoan-co-bi-tinh-thue-khong" TargetMode="External"/><Relationship Id="rId1133" Type="http://schemas.openxmlformats.org/officeDocument/2006/relationships/hyperlink" Target="https://techcombank.com/thong-tin/blog/lai-suat-the-tin-dung" TargetMode="External"/><Relationship Id="rId2464" Type="http://schemas.openxmlformats.org/officeDocument/2006/relationships/hyperlink" Target="https://techcombank.com/thong-tin/blog/nha-dau-tu-giao-dich-trai-phieu-truc-tuyen-tang-manh-tro-lai" TargetMode="External"/><Relationship Id="rId541" Type="http://schemas.openxmlformats.org/officeDocument/2006/relationships/hyperlink" Target="https://techcombank.com/thong-tin/blog/sms-banking" TargetMode="External"/><Relationship Id="rId1134" Type="http://schemas.openxmlformats.org/officeDocument/2006/relationships/hyperlink" Target="https://techcombank.com/thong-tin/blog/mo-the-tin-dung-co-loi-ich-gi" TargetMode="External"/><Relationship Id="rId2465" Type="http://schemas.openxmlformats.org/officeDocument/2006/relationships/hyperlink" Target="https://techcombank.com/thong-tin/blog/techcom-securities-nhung-buoc-tien-phong-tren-san-thu-cap" TargetMode="External"/><Relationship Id="rId540" Type="http://schemas.openxmlformats.org/officeDocument/2006/relationships/hyperlink" Target="https://techcombank.com/thong-tin/blog/the-ghi-no-co-chuyen-khoan-duoc-khong" TargetMode="External"/><Relationship Id="rId1135" Type="http://schemas.openxmlformats.org/officeDocument/2006/relationships/hyperlink" Target="https://techcombank.com/thong-tin/blog/the-tin-dung-ao" TargetMode="External"/><Relationship Id="rId2466" Type="http://schemas.openxmlformats.org/officeDocument/2006/relationships/hyperlink" Target="https://techcombank.com/thong-tin/blog/gia-chung-chi-quy-la-gi" TargetMode="External"/><Relationship Id="rId1125" Type="http://schemas.openxmlformats.org/officeDocument/2006/relationships/hyperlink" Target="https://techcombank.com/thong-tin/blog/sao-ke-luong" TargetMode="External"/><Relationship Id="rId2456" Type="http://schemas.openxmlformats.org/officeDocument/2006/relationships/hyperlink" Target="https://techcombank.com/thong-tin/blog/thi-truong-trai-phieu-am-tro-lai-nha-dau-tu-san-sang-cho-nhung-co-hoi-sinh-loi-moi" TargetMode="External"/><Relationship Id="rId1126" Type="http://schemas.openxmlformats.org/officeDocument/2006/relationships/hyperlink" Target="https://techcombank.com/thong-tin/blog/thanh-toan-online-bang-the-tin-dung" TargetMode="External"/><Relationship Id="rId2457" Type="http://schemas.openxmlformats.org/officeDocument/2006/relationships/hyperlink" Target="https://techcombank.com/thong-tin/blog/tinh-thanh-khoan-la-gi" TargetMode="External"/><Relationship Id="rId1127" Type="http://schemas.openxmlformats.org/officeDocument/2006/relationships/hyperlink" Target="https://techcombank.com/thong-tin/blog/uu-dai-mo-the-tin-dung" TargetMode="External"/><Relationship Id="rId2458" Type="http://schemas.openxmlformats.org/officeDocument/2006/relationships/hyperlink" Target="https://techcombank.com/thong-tin/blog/kinh-nghiem-mua-vang-tich-tru" TargetMode="External"/><Relationship Id="rId1128" Type="http://schemas.openxmlformats.org/officeDocument/2006/relationships/hyperlink" Target="https://techcombank.com/thong-tin/blog/the-tin-dung-co-chuyen-khoan-duoc-khong" TargetMode="External"/><Relationship Id="rId2459" Type="http://schemas.openxmlformats.org/officeDocument/2006/relationships/hyperlink" Target="https://techcombank.com/thong-tin/blog/npv-la-gi" TargetMode="External"/><Relationship Id="rId1129" Type="http://schemas.openxmlformats.org/officeDocument/2006/relationships/hyperlink" Target="https://techcombank.com/thong-tin/blog/the-tin-dung-techcombank-visa-eco" TargetMode="External"/><Relationship Id="rId536" Type="http://schemas.openxmlformats.org/officeDocument/2006/relationships/hyperlink" Target="https://techcombank.com/thong-tin/blog/cach-kich-hoat-the-atm" TargetMode="External"/><Relationship Id="rId535" Type="http://schemas.openxmlformats.org/officeDocument/2006/relationships/hyperlink" Target="https://techcombank.com/thong-tin/blog/rui-ro-khi-gui-tiet-kiem-ngan-hang" TargetMode="External"/><Relationship Id="rId534" Type="http://schemas.openxmlformats.org/officeDocument/2006/relationships/hyperlink" Target="https://techcombank.com/thong-tin/blog/mobile-banking-la-gi" TargetMode="External"/><Relationship Id="rId533" Type="http://schemas.openxmlformats.org/officeDocument/2006/relationships/hyperlink" Target="https://techcombank.com/thong-tin/blog/thanh-toan-tien-nuoc-online" TargetMode="External"/><Relationship Id="rId539" Type="http://schemas.openxmlformats.org/officeDocument/2006/relationships/hyperlink" Target="https://techcombank.com/thong-tin/blog/cach-huy-thanh-toan-tien-dien" TargetMode="External"/><Relationship Id="rId538" Type="http://schemas.openxmlformats.org/officeDocument/2006/relationships/hyperlink" Target="https://techcombank.com/thong-tin/blog/thanh-toan-hoa-don-tieu-dung" TargetMode="External"/><Relationship Id="rId537" Type="http://schemas.openxmlformats.org/officeDocument/2006/relationships/hyperlink" Target="https://techcombank.com/thong-tin/blog/thanh-toan-tra-sau-viettel-bang-tai-khoan-ngan-hang" TargetMode="External"/><Relationship Id="rId2450" Type="http://schemas.openxmlformats.org/officeDocument/2006/relationships/hyperlink" Target="https://techcombank.com/thong-tin/blog/thi-truong-trai-phieu-co-hoi-dau-tu-trai-phieu-vang-du-lai-suat-thap" TargetMode="External"/><Relationship Id="rId1120" Type="http://schemas.openxmlformats.org/officeDocument/2006/relationships/hyperlink" Target="https://techcombank.com/thong-tin/blog/the-tin-dung-quoc-te" TargetMode="External"/><Relationship Id="rId2451" Type="http://schemas.openxmlformats.org/officeDocument/2006/relationships/hyperlink" Target="https://techcombank.com/thong-tin/blog/y-concert" TargetMode="External"/><Relationship Id="rId532" Type="http://schemas.openxmlformats.org/officeDocument/2006/relationships/hyperlink" Target="https://techcombank.com/thong-tin/blog/cic-la-gi" TargetMode="External"/><Relationship Id="rId1121" Type="http://schemas.openxmlformats.org/officeDocument/2006/relationships/hyperlink" Target="https://techcombank.com/thong-tin/blog/phi-rut-tien-mat-the-tin-dung" TargetMode="External"/><Relationship Id="rId2452" Type="http://schemas.openxmlformats.org/officeDocument/2006/relationships/hyperlink" Target="https://techcombank.com/thong-tin/blog/softpos" TargetMode="External"/><Relationship Id="rId531" Type="http://schemas.openxmlformats.org/officeDocument/2006/relationships/hyperlink" Target="https://techcombank.com/thong-tin/blog/tai-khoan-ngan-hang-bi-khoa" TargetMode="External"/><Relationship Id="rId1122" Type="http://schemas.openxmlformats.org/officeDocument/2006/relationships/hyperlink" Target="https://techcombank.com/thong-tin/blog/vay-ngan-hang-1-ty-moi-thang-tra-bao-nhieu" TargetMode="External"/><Relationship Id="rId2453" Type="http://schemas.openxmlformats.org/officeDocument/2006/relationships/hyperlink" Target="https://techcombank.com/thong-tin/blog/due-diligence" TargetMode="External"/><Relationship Id="rId530" Type="http://schemas.openxmlformats.org/officeDocument/2006/relationships/hyperlink" Target="https://techcombank.com/thong-tin/blog/thanh-toan-tra-gop-qua-the-tin-dung" TargetMode="External"/><Relationship Id="rId1123" Type="http://schemas.openxmlformats.org/officeDocument/2006/relationships/hyperlink" Target="https://techcombank.com/thong-tin/blog/the-tin-dung-den" TargetMode="External"/><Relationship Id="rId2454" Type="http://schemas.openxmlformats.org/officeDocument/2006/relationships/hyperlink" Target="https://techcombank.com/thong-tin/blog/cach-quan-ly-tai-san" TargetMode="External"/><Relationship Id="rId1124" Type="http://schemas.openxmlformats.org/officeDocument/2006/relationships/hyperlink" Target="https://techcombank.com/thong-tin/blog/dao-han-the-tin-dung" TargetMode="External"/><Relationship Id="rId2455" Type="http://schemas.openxmlformats.org/officeDocument/2006/relationships/hyperlink" Target="https://techcombank.com/thong-tin/blog/5-trieu-mua-duoc-bao-nhieu-vang" TargetMode="External"/><Relationship Id="rId1158" Type="http://schemas.openxmlformats.org/officeDocument/2006/relationships/hyperlink" Target="https://techcombank.com/thong-tin/blog/mo-the-tin-dung-chi-can-cccd" TargetMode="External"/><Relationship Id="rId2005" Type="http://schemas.openxmlformats.org/officeDocument/2006/relationships/hyperlink" Target="https://techcombank.com/thong-tin/blog/tien-gui-co-ky-han" TargetMode="External"/><Relationship Id="rId2489" Type="http://schemas.openxmlformats.org/officeDocument/2006/relationships/hyperlink" Target="https://techcombank.com/thong-tin/blog/rut-tien-bao-hiem-nhan-tho-khi-het-han" TargetMode="External"/><Relationship Id="rId1159" Type="http://schemas.openxmlformats.org/officeDocument/2006/relationships/hyperlink" Target="https://techcombank.com/thong-tin/blog/luu-y-khi-su-dung-the-tin-dung" TargetMode="External"/><Relationship Id="rId2006" Type="http://schemas.openxmlformats.org/officeDocument/2006/relationships/hyperlink" Target="https://techcombank.com/thong-tin/blog/lai-suat-gui-tiet-kiem-usd" TargetMode="External"/><Relationship Id="rId2007" Type="http://schemas.openxmlformats.org/officeDocument/2006/relationships/hyperlink" Target="https://techcombank.com/thong-tin/blog/gui-tiet-kiem-usd" TargetMode="External"/><Relationship Id="rId2008" Type="http://schemas.openxmlformats.org/officeDocument/2006/relationships/hyperlink" Target="https://techcombank.com/thong-tin/blog/tat-toan-so-tiet-kiem" TargetMode="External"/><Relationship Id="rId2009" Type="http://schemas.openxmlformats.org/officeDocument/2006/relationships/hyperlink" Target="https://techcombank.com/thong-tin/blog/gui-tiet-kiem-online-co-rut-truoc-han-duoc-khong" TargetMode="External"/><Relationship Id="rId569" Type="http://schemas.openxmlformats.org/officeDocument/2006/relationships/hyperlink" Target="https://techcombank.com/thong-tin/blog/softpos" TargetMode="External"/><Relationship Id="rId568" Type="http://schemas.openxmlformats.org/officeDocument/2006/relationships/hyperlink" Target="https://techcombank.com/thong-tin/blog/pos" TargetMode="External"/><Relationship Id="rId567" Type="http://schemas.openxmlformats.org/officeDocument/2006/relationships/hyperlink" Target="https://techcombank.com/thong-tin/blog/tao-ma-qr-thanh-toan-cho-cua-hang" TargetMode="External"/><Relationship Id="rId566" Type="http://schemas.openxmlformats.org/officeDocument/2006/relationships/hyperlink" Target="https://techcombank.com/thong-tin/blog/cach-tao-ma-qr" TargetMode="External"/><Relationship Id="rId2480" Type="http://schemas.openxmlformats.org/officeDocument/2006/relationships/hyperlink" Target="https://techcombank.com/thong-tin/blog/chon-kenh-dau-tu-an-toan-trong-boi-canh-thi-truong-bien-dong" TargetMode="External"/><Relationship Id="rId561" Type="http://schemas.openxmlformats.org/officeDocument/2006/relationships/hyperlink" Target="https://techcombank.com/thong-tin/blog/the-atm-khong-rut-duoc-tien" TargetMode="External"/><Relationship Id="rId1150" Type="http://schemas.openxmlformats.org/officeDocument/2006/relationships/hyperlink" Target="https://techcombank.com/thong-tin/blog/vay-200-trieu" TargetMode="External"/><Relationship Id="rId2481" Type="http://schemas.openxmlformats.org/officeDocument/2006/relationships/hyperlink" Target="https://techcombank.com/thong-tin/blog/nghich-ly-nha-dau-tu-che-trai-phieu-lai-suat-cao-ua-ma-an-toan-du-lai-suat-thap-hon-05-1" TargetMode="External"/><Relationship Id="rId560" Type="http://schemas.openxmlformats.org/officeDocument/2006/relationships/hyperlink" Target="https://techcombank.com/thong-tin/blog/cach-rut-tien-atm" TargetMode="External"/><Relationship Id="rId1151" Type="http://schemas.openxmlformats.org/officeDocument/2006/relationships/hyperlink" Target="https://techcombank.com/thong-tin/blog/vay-tin-chap-theo-luong" TargetMode="External"/><Relationship Id="rId2482" Type="http://schemas.openxmlformats.org/officeDocument/2006/relationships/hyperlink" Target="https://techcombank.com/thong-tin/blog/anh-sang-cuoi-duong-ham-xuat-hien-trai-phieu-doanh-nghiep-tot-va-an-toan-se-duoc-nha-dau-tu-chon" TargetMode="External"/><Relationship Id="rId1152" Type="http://schemas.openxmlformats.org/officeDocument/2006/relationships/hyperlink" Target="https://techcombank.com/thong-tin/blog/tra-gop-qua-the-tin-dung" TargetMode="External"/><Relationship Id="rId2483" Type="http://schemas.openxmlformats.org/officeDocument/2006/relationships/hyperlink" Target="https://techcombank.com/thong-tin/blog/vang-giam" TargetMode="External"/><Relationship Id="rId1153" Type="http://schemas.openxmlformats.org/officeDocument/2006/relationships/hyperlink" Target="https://techcombank.com/thong-tin/blog/lam-the-tin-dung-co-mat-phi-khong" TargetMode="External"/><Relationship Id="rId2000" Type="http://schemas.openxmlformats.org/officeDocument/2006/relationships/hyperlink" Target="https://techcombank.com/thong-tin/blog/lai-suat-vay-tin-chap" TargetMode="External"/><Relationship Id="rId2484" Type="http://schemas.openxmlformats.org/officeDocument/2006/relationships/hyperlink" Target="https://techcombank.com/thong-tin/blog/cac-chung-chi-quy-o-viet-nam" TargetMode="External"/><Relationship Id="rId565" Type="http://schemas.openxmlformats.org/officeDocument/2006/relationships/hyperlink" Target="https://techcombank.com/thong-tin/blog/gui-ma-qr-ngan-hang" TargetMode="External"/><Relationship Id="rId1154" Type="http://schemas.openxmlformats.org/officeDocument/2006/relationships/hyperlink" Target="https://techcombank.com/thong-tin/blog/kich-hoat-the-tin-dung-techcombank" TargetMode="External"/><Relationship Id="rId2001" Type="http://schemas.openxmlformats.org/officeDocument/2006/relationships/hyperlink" Target="https://techcombank.com/thong-tin/blog/cach-tiet-kiem-tien-sinh-loi" TargetMode="External"/><Relationship Id="rId2485" Type="http://schemas.openxmlformats.org/officeDocument/2006/relationships/hyperlink" Target="https://techcombank.com/thong-tin/blog/bang-gia-chung-chi-quy" TargetMode="External"/><Relationship Id="rId564" Type="http://schemas.openxmlformats.org/officeDocument/2006/relationships/hyperlink" Target="https://techcombank.com/thong-tin/blog/quet-ma-qr-techcombank" TargetMode="External"/><Relationship Id="rId1155" Type="http://schemas.openxmlformats.org/officeDocument/2006/relationships/hyperlink" Target="https://techcombank.com/thong-tin/blog/the-tin-dung-bi-khoa" TargetMode="External"/><Relationship Id="rId2002" Type="http://schemas.openxmlformats.org/officeDocument/2006/relationships/hyperlink" Target="https://techcombank.com/thong-tin/blog/co-50-trieu-nen-mua-vang-hay-gui-tiet-kiem" TargetMode="External"/><Relationship Id="rId2486" Type="http://schemas.openxmlformats.org/officeDocument/2006/relationships/hyperlink" Target="https://techcombank.com/thong-tin/blog/chung-chi-quy-dong" TargetMode="External"/><Relationship Id="rId563" Type="http://schemas.openxmlformats.org/officeDocument/2006/relationships/hyperlink" Target="https://techcombank.com/thong-tin/blog/cay-atm-gan-day" TargetMode="External"/><Relationship Id="rId1156" Type="http://schemas.openxmlformats.org/officeDocument/2006/relationships/hyperlink" Target="https://techcombank.com/thong-tin/blog/no-xau-mo-the-tin-dung-duoc-khong" TargetMode="External"/><Relationship Id="rId2003" Type="http://schemas.openxmlformats.org/officeDocument/2006/relationships/hyperlink" Target="https://techcombank.com/thong-tin/blog/vay-20-trieu" TargetMode="External"/><Relationship Id="rId2487" Type="http://schemas.openxmlformats.org/officeDocument/2006/relationships/hyperlink" Target="https://techcombank.com/thong-tin/blog/xu-huong-dau-tu-trai-phieu-ky-han-duoi-mot-nam-lua-chon-an-toan-khi-thi-truong-bien-dong" TargetMode="External"/><Relationship Id="rId562" Type="http://schemas.openxmlformats.org/officeDocument/2006/relationships/hyperlink" Target="https://techcombank.com/thong-tin/blog/bi-nuot-the-atm-phai-lam-sao" TargetMode="External"/><Relationship Id="rId1157" Type="http://schemas.openxmlformats.org/officeDocument/2006/relationships/hyperlink" Target="https://techcombank.com/thong-tin/blog/cach-tinh-lai-vay-ngan-hang" TargetMode="External"/><Relationship Id="rId2004" Type="http://schemas.openxmlformats.org/officeDocument/2006/relationships/hyperlink" Target="https://techcombank.com/thong-tin/blog/vay-tin-chap-la-gi" TargetMode="External"/><Relationship Id="rId2488" Type="http://schemas.openxmlformats.org/officeDocument/2006/relationships/hyperlink" Target="https://techcombank.com/thong-tin/blog/bao-hiem-sinh-ky-la-gi" TargetMode="External"/><Relationship Id="rId1147" Type="http://schemas.openxmlformats.org/officeDocument/2006/relationships/hyperlink" Target="https://techcombank.com/thong-tin/blog/cach-su-dung-the-tin-dung" TargetMode="External"/><Relationship Id="rId2478" Type="http://schemas.openxmlformats.org/officeDocument/2006/relationships/hyperlink" Target="https://techcombank.com/thong-tin/blog/tat-toan-chung-chi-tien-gui" TargetMode="External"/><Relationship Id="rId1148" Type="http://schemas.openxmlformats.org/officeDocument/2006/relationships/hyperlink" Target="https://techcombank.com/thong-tin/blog/han-muc-the-tin-dung" TargetMode="External"/><Relationship Id="rId2479" Type="http://schemas.openxmlformats.org/officeDocument/2006/relationships/hyperlink" Target="https://techcombank.com/thong-tin/blog/bao-hiem-lien-ket-dau-tu" TargetMode="External"/><Relationship Id="rId1149" Type="http://schemas.openxmlformats.org/officeDocument/2006/relationships/hyperlink" Target="https://techcombank.com/thong-tin/blog/nang-han-muc-tin-dung" TargetMode="External"/><Relationship Id="rId558" Type="http://schemas.openxmlformats.org/officeDocument/2006/relationships/hyperlink" Target="https://techcombank.com/thong-tin/blog/hoc-cach-tiet-kiem-tien-luong" TargetMode="External"/><Relationship Id="rId557" Type="http://schemas.openxmlformats.org/officeDocument/2006/relationships/hyperlink" Target="https://techcombank.com/thong-tin/blog/chi-tra-luong-huu" TargetMode="External"/><Relationship Id="rId556" Type="http://schemas.openxmlformats.org/officeDocument/2006/relationships/hyperlink" Target="https://techcombank.com/thong-tin/blog/kiem-tra-thue-thu-nhap-ca-nhan" TargetMode="External"/><Relationship Id="rId555" Type="http://schemas.openxmlformats.org/officeDocument/2006/relationships/hyperlink" Target="https://techcombank.com/thong-tin/blog/vay-the-chap-qua-luong" TargetMode="External"/><Relationship Id="rId559" Type="http://schemas.openxmlformats.org/officeDocument/2006/relationships/hyperlink" Target="https://techcombank.com/thong-tin/blog/rut-tien-bang-ma-qr-khac-ngan-hang-duoc-khong" TargetMode="External"/><Relationship Id="rId550" Type="http://schemas.openxmlformats.org/officeDocument/2006/relationships/hyperlink" Target="https://techcombank.com/thong-tin/blog/app-tra-luong" TargetMode="External"/><Relationship Id="rId2470" Type="http://schemas.openxmlformats.org/officeDocument/2006/relationships/hyperlink" Target="https://techcombank.com/thong-tin/blog/gui-tiet-kiem-ngan-hang-van-la-lua-chon-an-toan-trong-thoi-ky-kinh-te-con-nhieu-bien-dong" TargetMode="External"/><Relationship Id="rId1140" Type="http://schemas.openxmlformats.org/officeDocument/2006/relationships/hyperlink" Target="https://techcombank.com/thong-tin/blog/lam-the-tin-dung" TargetMode="External"/><Relationship Id="rId2471" Type="http://schemas.openxmlformats.org/officeDocument/2006/relationships/hyperlink" Target="https://techcombank.com/thong-tin/blog/co-nen-gui-chung-chi-tien-gui" TargetMode="External"/><Relationship Id="rId1141" Type="http://schemas.openxmlformats.org/officeDocument/2006/relationships/hyperlink" Target="https://techcombank.com/thong-tin/blog/the-tin-dung-co-ma-pin-khong" TargetMode="External"/><Relationship Id="rId2472" Type="http://schemas.openxmlformats.org/officeDocument/2006/relationships/hyperlink" Target="https://techcombank.com/thong-tin/blog/dau-tu-trai-phieu-doanh-nghiep-dung-ham-lai-suat-cao" TargetMode="External"/><Relationship Id="rId1142" Type="http://schemas.openxmlformats.org/officeDocument/2006/relationships/hyperlink" Target="https://techcombank.com/thong-tin/blog/cic-la-gi" TargetMode="External"/><Relationship Id="rId2473" Type="http://schemas.openxmlformats.org/officeDocument/2006/relationships/hyperlink" Target="https://techcombank.com/thong-tin/blog/phan-mem-lap-ke-hoach-tai-chinh-ca-nhan" TargetMode="External"/><Relationship Id="rId554" Type="http://schemas.openxmlformats.org/officeDocument/2006/relationships/hyperlink" Target="https://techcombank.com/thong-tin/blog/cach-tinh-thue-thu-nhap-ca-nhan-2025" TargetMode="External"/><Relationship Id="rId1143" Type="http://schemas.openxmlformats.org/officeDocument/2006/relationships/hyperlink" Target="https://techcombank.com/thong-tin/blog/the-tin-dung-noi-dia" TargetMode="External"/><Relationship Id="rId2474" Type="http://schemas.openxmlformats.org/officeDocument/2006/relationships/hyperlink" Target="https://techcombank.com/thong-tin/blog/dau-tu-ngan-han" TargetMode="External"/><Relationship Id="rId553" Type="http://schemas.openxmlformats.org/officeDocument/2006/relationships/hyperlink" Target="https://techcombank.com/thong-tin/blog/dang-ky-ma-so-thue-ca-nhan" TargetMode="External"/><Relationship Id="rId1144" Type="http://schemas.openxmlformats.org/officeDocument/2006/relationships/hyperlink" Target="https://techcombank.com/thong-tin/blog/lam-ho-so-tra-gop-dien-thoai" TargetMode="External"/><Relationship Id="rId2475" Type="http://schemas.openxmlformats.org/officeDocument/2006/relationships/hyperlink" Target="https://techcombank.com/thong-tin/blog/danh-muc-dau-tu" TargetMode="External"/><Relationship Id="rId552" Type="http://schemas.openxmlformats.org/officeDocument/2006/relationships/hyperlink" Target="https://techcombank.com/thong-tin/blog/chinh-sach-tang-luong-huu" TargetMode="External"/><Relationship Id="rId1145" Type="http://schemas.openxmlformats.org/officeDocument/2006/relationships/hyperlink" Target="https://techcombank.com/thong-tin/blog/lai-suat-ngan-hang-cho-vay-xay-nha" TargetMode="External"/><Relationship Id="rId2476" Type="http://schemas.openxmlformats.org/officeDocument/2006/relationships/hyperlink" Target="https://techcombank.com/thong-tin/blog/gui-tiet-kiem-lay-lai-hang-thang" TargetMode="External"/><Relationship Id="rId551" Type="http://schemas.openxmlformats.org/officeDocument/2006/relationships/hyperlink" Target="https://techcombank.com/thong-tin/blog/ho-kinh-doanh-dong-thue-nhu-nao" TargetMode="External"/><Relationship Id="rId1146" Type="http://schemas.openxmlformats.org/officeDocument/2006/relationships/hyperlink" Target="https://techcombank.com/thong-tin/blog/the-tin-dung-la-gi" TargetMode="External"/><Relationship Id="rId2477" Type="http://schemas.openxmlformats.org/officeDocument/2006/relationships/hyperlink" Target="https://techcombank.com/thong-tin/blog/tich-luy-tai-san" TargetMode="External"/><Relationship Id="rId2090" Type="http://schemas.openxmlformats.org/officeDocument/2006/relationships/hyperlink" Target="https://techcombank.com/thong-tin/blog/cach-tiet-kiem-tien-cua-nguoi-nhat" TargetMode="External"/><Relationship Id="rId2091" Type="http://schemas.openxmlformats.org/officeDocument/2006/relationships/hyperlink" Target="https://techcombank.com/thong-tin/blog/sai-lam-ve-tai-chinh-ca-nhan" TargetMode="External"/><Relationship Id="rId2092" Type="http://schemas.openxmlformats.org/officeDocument/2006/relationships/hyperlink" Target="https://techcombank.com/thong-tin/blog/lam-phat-la-gi" TargetMode="External"/><Relationship Id="rId2093" Type="http://schemas.openxmlformats.org/officeDocument/2006/relationships/hyperlink" Target="https://techcombank.com/thong-tin/blog/cach-tiet-kiem-tien-hieu-qua-cho-gia-dinh" TargetMode="External"/><Relationship Id="rId2094" Type="http://schemas.openxmlformats.org/officeDocument/2006/relationships/hyperlink" Target="https://techcombank.com/thong-tin/blog/dau-chan-carbon" TargetMode="External"/><Relationship Id="rId2095" Type="http://schemas.openxmlformats.org/officeDocument/2006/relationships/hyperlink" Target="https://techcombank.com/thong-tin/blog/mo-tai-khoan-ngan-hang-cho-tre-em" TargetMode="External"/><Relationship Id="rId2096" Type="http://schemas.openxmlformats.org/officeDocument/2006/relationships/hyperlink" Target="https://techcombank.com/thong-tin/blog/app-mua-truoc-tra-sau" TargetMode="External"/><Relationship Id="rId2097" Type="http://schemas.openxmlformats.org/officeDocument/2006/relationships/hyperlink" Target="https://techcombank.com/thong-tin/blog/phan-mem-quan-ly-tai-chinh-doanh-nghiep" TargetMode="External"/><Relationship Id="rId2098" Type="http://schemas.openxmlformats.org/officeDocument/2006/relationships/hyperlink" Target="https://techcombank.com/thong-tin/blog/quan-ly-tai-chinh-cho-dan-van-phong" TargetMode="External"/><Relationship Id="rId2099" Type="http://schemas.openxmlformats.org/officeDocument/2006/relationships/hyperlink" Target="https://techcombank.com/thong-tin/blog/lap-ke-hoach-tai-chinh-ca-nhan" TargetMode="External"/><Relationship Id="rId2060" Type="http://schemas.openxmlformats.org/officeDocument/2006/relationships/hyperlink" Target="https://techcombank.com/thong-tin/blog/mo-the-tin-dung-khong-can-chung-minh-thu-nhap" TargetMode="External"/><Relationship Id="rId2061" Type="http://schemas.openxmlformats.org/officeDocument/2006/relationships/hyperlink" Target="https://techcombank.com/thong-tin/blog/gui-tiet-kiem-online-quay-vong-ca-goc-va-lai" TargetMode="External"/><Relationship Id="rId2062" Type="http://schemas.openxmlformats.org/officeDocument/2006/relationships/hyperlink" Target="https://techcombank.com/thong-tin/blog/chung-chi-tien-gui-khac-gi-so-tiet-kiem" TargetMode="External"/><Relationship Id="rId2063" Type="http://schemas.openxmlformats.org/officeDocument/2006/relationships/hyperlink" Target="https://techcombank.com/thong-tin/blog/so-sanh-gui-tiet-kiem-online-va-tai-quay" TargetMode="External"/><Relationship Id="rId2064" Type="http://schemas.openxmlformats.org/officeDocument/2006/relationships/hyperlink" Target="https://techcombank.com/thong-tin/blog/cach-tiet-kiem-tien-sinh-loi" TargetMode="External"/><Relationship Id="rId2065" Type="http://schemas.openxmlformats.org/officeDocument/2006/relationships/hyperlink" Target="https://techcombank.com/thong-tin/blog/co-50-trieu-nen-mua-vang-hay-gui-tiet-kiem" TargetMode="External"/><Relationship Id="rId2066" Type="http://schemas.openxmlformats.org/officeDocument/2006/relationships/hyperlink" Target="https://techcombank.com/thong-tin/blog/lai-suat-gui-tiet-kiem-usd" TargetMode="External"/><Relationship Id="rId2067" Type="http://schemas.openxmlformats.org/officeDocument/2006/relationships/hyperlink" Target="https://techcombank.com/thong-tin/blog/gui-tiet-kiem-usd" TargetMode="External"/><Relationship Id="rId2068" Type="http://schemas.openxmlformats.org/officeDocument/2006/relationships/hyperlink" Target="https://techcombank.com/thong-tin/blog/cach-tiet-kiem-tien-theo-tuan" TargetMode="External"/><Relationship Id="rId2069" Type="http://schemas.openxmlformats.org/officeDocument/2006/relationships/hyperlink" Target="https://techcombank.com/thong-tin/blog/tiet-kiem-tien-moi-ngay" TargetMode="External"/><Relationship Id="rId2050" Type="http://schemas.openxmlformats.org/officeDocument/2006/relationships/hyperlink" Target="https://techcombank.com/thong-tin/blog/gui-tiet-kiem-lay-lai-hang-thang" TargetMode="External"/><Relationship Id="rId2051" Type="http://schemas.openxmlformats.org/officeDocument/2006/relationships/hyperlink" Target="https://techcombank.com/thong-tin/blog/rui-ro-khi-gui-tiet-kiem-online" TargetMode="External"/><Relationship Id="rId495" Type="http://schemas.openxmlformats.org/officeDocument/2006/relationships/hyperlink" Target="https://techcombank.com/thong-tin/blog/quyet-toan-thue-thu-nhap-ca-nhan" TargetMode="External"/><Relationship Id="rId2052" Type="http://schemas.openxmlformats.org/officeDocument/2006/relationships/hyperlink" Target="https://techcombank.com/thong-tin/blog/cach-tinh-lai-suat-tien-gui-tiet-kiem" TargetMode="External"/><Relationship Id="rId494" Type="http://schemas.openxmlformats.org/officeDocument/2006/relationships/hyperlink" Target="https://techcombank.com/thong-tin/blog/hoan-thue-thu-nhap-ca-nhan" TargetMode="External"/><Relationship Id="rId2053" Type="http://schemas.openxmlformats.org/officeDocument/2006/relationships/hyperlink" Target="https://techcombank.com/thong-tin/blog/gui-tiet-kiem-ngoai-te" TargetMode="External"/><Relationship Id="rId493" Type="http://schemas.openxmlformats.org/officeDocument/2006/relationships/hyperlink" Target="https://techcombank.com/thong-tin/blog/lien-ket-tai-khoan-ngan-hang-voi-etax-mobile" TargetMode="External"/><Relationship Id="rId2054" Type="http://schemas.openxmlformats.org/officeDocument/2006/relationships/hyperlink" Target="https://techcombank.com/thong-tin/blog/rui-ro-khi-gui-tiet-kiem-ngan-hang" TargetMode="External"/><Relationship Id="rId492" Type="http://schemas.openxmlformats.org/officeDocument/2006/relationships/hyperlink" Target="https://techcombank.com/thong-tin/blog/dang-ky-ma-so-thue-ca-nhan" TargetMode="External"/><Relationship Id="rId2055" Type="http://schemas.openxmlformats.org/officeDocument/2006/relationships/hyperlink" Target="https://techcombank.com/thong-tin/blog/gui-tiet-kiem-hang-thang" TargetMode="External"/><Relationship Id="rId499" Type="http://schemas.openxmlformats.org/officeDocument/2006/relationships/hyperlink" Target="https://techcombank.com/thong-tin/blog/kiem-tra-thue-ho-kinh-doanh" TargetMode="External"/><Relationship Id="rId2056" Type="http://schemas.openxmlformats.org/officeDocument/2006/relationships/hyperlink" Target="https://techcombank.com/thong-tin/blog/gui-tiet-kiem-online-bi-mat-tien" TargetMode="External"/><Relationship Id="rId498" Type="http://schemas.openxmlformats.org/officeDocument/2006/relationships/hyperlink" Target="https://techcombank.com/thong-tin/blog/tra-cuu-no-thue-ho-kinh-doanh" TargetMode="External"/><Relationship Id="rId2057" Type="http://schemas.openxmlformats.org/officeDocument/2006/relationships/hyperlink" Target="https://techcombank.com/thong-tin/blog/kinh-nghiem-gui-tiet-kiem-online" TargetMode="External"/><Relationship Id="rId497" Type="http://schemas.openxmlformats.org/officeDocument/2006/relationships/hyperlink" Target="https://techcombank.com/thong-tin/blog/tra-cuu-no-thue-hai-quan" TargetMode="External"/><Relationship Id="rId2058" Type="http://schemas.openxmlformats.org/officeDocument/2006/relationships/hyperlink" Target="https://techcombank.com/thong-tin/blog/vay-thau-chi-bang-so-tiet-kiem" TargetMode="External"/><Relationship Id="rId496" Type="http://schemas.openxmlformats.org/officeDocument/2006/relationships/hyperlink" Target="https://techcombank.com/thong-tin/blog/cach-tinh-thue-ho-kinh-doanh-nho-le" TargetMode="External"/><Relationship Id="rId2059" Type="http://schemas.openxmlformats.org/officeDocument/2006/relationships/hyperlink" Target="https://techcombank.com/thong-tin/blog/gui-tiet-kiem-online-co-rut-truoc-han-duoc-khong" TargetMode="External"/><Relationship Id="rId2080" Type="http://schemas.openxmlformats.org/officeDocument/2006/relationships/hyperlink" Target="https://techcombank.com/thong-tin/blog/thue-phi-co-dinh-khi-chuyen-doi-tu-ho-kinh-doanh-len-doanh-nghiep" TargetMode="External"/><Relationship Id="rId2081" Type="http://schemas.openxmlformats.org/officeDocument/2006/relationships/hyperlink" Target="https://techcombank.com/thong-tin/blog/ngan-hang-so-cho-doanh-nghiep" TargetMode="External"/><Relationship Id="rId2082" Type="http://schemas.openxmlformats.org/officeDocument/2006/relationships/hyperlink" Target="https://techcombank.com/thong-tin/blog/chinh-sach-tang-luong-huu" TargetMode="External"/><Relationship Id="rId2083" Type="http://schemas.openxmlformats.org/officeDocument/2006/relationships/hyperlink" Target="https://techcombank.com/thong-tin/blog/tinh-thanh-khoan-la-gi" TargetMode="External"/><Relationship Id="rId2084" Type="http://schemas.openxmlformats.org/officeDocument/2006/relationships/hyperlink" Target="https://techcombank.com/thong-tin/blog/loi-ich-cua-ngan-hang-so-voi-sme" TargetMode="External"/><Relationship Id="rId2085" Type="http://schemas.openxmlformats.org/officeDocument/2006/relationships/hyperlink" Target="https://techcombank.com/thong-tin/blog/npv-la-gi" TargetMode="External"/><Relationship Id="rId2086" Type="http://schemas.openxmlformats.org/officeDocument/2006/relationships/hyperlink" Target="https://techcombank.com/thong-tin/blog/quan-ly-tai-chinh-doanh-nghiep-la-gi" TargetMode="External"/><Relationship Id="rId2087" Type="http://schemas.openxmlformats.org/officeDocument/2006/relationships/hyperlink" Target="https://techcombank.com/thong-tin/blog/quan-ly-tai-chinh-doanh-nghiep-nho" TargetMode="External"/><Relationship Id="rId2088" Type="http://schemas.openxmlformats.org/officeDocument/2006/relationships/hyperlink" Target="https://techcombank.com/thong-tin/blog/uu-dai-the-tin-dung-techcombank-signature" TargetMode="External"/><Relationship Id="rId2089" Type="http://schemas.openxmlformats.org/officeDocument/2006/relationships/hyperlink" Target="https://techcombank.com/thong-tin/blog/tai-san-va-tieu-san-la-gi" TargetMode="External"/><Relationship Id="rId2070" Type="http://schemas.openxmlformats.org/officeDocument/2006/relationships/hyperlink" Target="https://techcombank.com/thong-tin/blog/hoc-cach-tiet-kiem-tien-luong" TargetMode="External"/><Relationship Id="rId2071" Type="http://schemas.openxmlformats.org/officeDocument/2006/relationships/hyperlink" Target="https://techcombank.com/thong-tin/blog/loi-ich-cua-viec-tiet-kiem-tien" TargetMode="External"/><Relationship Id="rId2072" Type="http://schemas.openxmlformats.org/officeDocument/2006/relationships/hyperlink" Target="https://techcombank.com/thong-tin/blog/the-nao-la-tiet-kiem" TargetMode="External"/><Relationship Id="rId2073" Type="http://schemas.openxmlformats.org/officeDocument/2006/relationships/hyperlink" Target="https://techcombank.com/thong-tin/blog/mo-tai-khoan-doanh-nghiep" TargetMode="External"/><Relationship Id="rId2074" Type="http://schemas.openxmlformats.org/officeDocument/2006/relationships/hyperlink" Target="https://techcombank.com/thong-tin/blog/vi-dien-tu" TargetMode="External"/><Relationship Id="rId2075" Type="http://schemas.openxmlformats.org/officeDocument/2006/relationships/hyperlink" Target="https://techcombank.com/thong-tin/blog/ke-hoach-tai-chinh" TargetMode="External"/><Relationship Id="rId2076" Type="http://schemas.openxmlformats.org/officeDocument/2006/relationships/hyperlink" Target="https://techcombank.com/thong-tin/blog/ma-mcc" TargetMode="External"/><Relationship Id="rId2077" Type="http://schemas.openxmlformats.org/officeDocument/2006/relationships/hyperlink" Target="https://techcombank.com/thong-tin/blog/chinh-sach-thue-moi" TargetMode="External"/><Relationship Id="rId2078" Type="http://schemas.openxmlformats.org/officeDocument/2006/relationships/hyperlink" Target="https://techcombank.com/thong-tin/blog/ghi-chep-chi-tieu" TargetMode="External"/><Relationship Id="rId2079" Type="http://schemas.openxmlformats.org/officeDocument/2006/relationships/hyperlink" Target="https://techcombank.com/thong-tin/blog/vi-tra-sau" TargetMode="External"/><Relationship Id="rId1610" Type="http://schemas.openxmlformats.org/officeDocument/2006/relationships/hyperlink" Target="https://techcombank.com/thong-tin/blog/top-phan-mem-ban-hang" TargetMode="External"/><Relationship Id="rId1611" Type="http://schemas.openxmlformats.org/officeDocument/2006/relationships/hyperlink" Target="https://techcombank.com/thong-tin/blog/dieu-kien-vay-von-ngan-hang" TargetMode="External"/><Relationship Id="rId1612" Type="http://schemas.openxmlformats.org/officeDocument/2006/relationships/hyperlink" Target="https://techcombank.com/thong-tin/blog/phat-cham-dang-ky-thue-ho-kinh-doanh" TargetMode="External"/><Relationship Id="rId1613" Type="http://schemas.openxmlformats.org/officeDocument/2006/relationships/hyperlink" Target="https://techcombank.com/thong-tin/blog/ho-kinh-doanh-ca-the" TargetMode="External"/><Relationship Id="rId1614" Type="http://schemas.openxmlformats.org/officeDocument/2006/relationships/hyperlink" Target="https://techcombank.com/thong-tin/blog/phan-mem-xuat-hoa-don-dien-tu" TargetMode="External"/><Relationship Id="rId1615" Type="http://schemas.openxmlformats.org/officeDocument/2006/relationships/hyperlink" Target="https://techcombank.com/thong-tin/blog/tra-cuu-no-thue-doanh-nghiep" TargetMode="External"/><Relationship Id="rId1616" Type="http://schemas.openxmlformats.org/officeDocument/2006/relationships/hyperlink" Target="https://techcombank.com/thong-tin/blog/nop-thue-hai-quan" TargetMode="External"/><Relationship Id="rId907" Type="http://schemas.openxmlformats.org/officeDocument/2006/relationships/hyperlink" Target="https://techcombank.com/thong-tin/blog/uu-dai-mo-the-tin-dung" TargetMode="External"/><Relationship Id="rId1617" Type="http://schemas.openxmlformats.org/officeDocument/2006/relationships/hyperlink" Target="https://techcombank.com/thong-tin/blog/tien-chuyen-vao-tai-khoan-co-bi-tinh-thue-khong" TargetMode="External"/><Relationship Id="rId906" Type="http://schemas.openxmlformats.org/officeDocument/2006/relationships/hyperlink" Target="https://techcombank.com/thong-tin/blog/cashback-the-thanh-toan" TargetMode="External"/><Relationship Id="rId1618" Type="http://schemas.openxmlformats.org/officeDocument/2006/relationships/hyperlink" Target="https://techcombank.com/thong-tin/blog/cach-tinh-thue-thu-nhap-ca-nhan-2025" TargetMode="External"/><Relationship Id="rId905" Type="http://schemas.openxmlformats.org/officeDocument/2006/relationships/hyperlink" Target="https://techcombank.com/thong-tin/blog/thanh-toan-tien-dien-bang-the-tin-dung" TargetMode="External"/><Relationship Id="rId1619" Type="http://schemas.openxmlformats.org/officeDocument/2006/relationships/hyperlink" Target="https://techcombank.com/thong-tin/blog/cach-lam-the-ngan-hang-chay-quang-cao-facebook" TargetMode="External"/><Relationship Id="rId904" Type="http://schemas.openxmlformats.org/officeDocument/2006/relationships/hyperlink" Target="https://techcombank.com/thong-tin/blog/tai-khoan-ngan-hang-la-gi" TargetMode="External"/><Relationship Id="rId909" Type="http://schemas.openxmlformats.org/officeDocument/2006/relationships/hyperlink" Target="https://techcombank.com/thong-tin/blog/cach-su-dung-the-tin-dung" TargetMode="External"/><Relationship Id="rId908" Type="http://schemas.openxmlformats.org/officeDocument/2006/relationships/hyperlink" Target="https://techcombank.com/thong-tin/blog/the-tin-dung-mien-phi-thuong-nien" TargetMode="External"/><Relationship Id="rId903" Type="http://schemas.openxmlformats.org/officeDocument/2006/relationships/hyperlink" Target="https://techcombank.com/thong-tin/blog/sang-ngang-the-tin-dung" TargetMode="External"/><Relationship Id="rId902" Type="http://schemas.openxmlformats.org/officeDocument/2006/relationships/hyperlink" Target="https://techcombank.com/thong-tin/blog/the-tin-dung-hoan-tien" TargetMode="External"/><Relationship Id="rId901" Type="http://schemas.openxmlformats.org/officeDocument/2006/relationships/hyperlink" Target="https://techcombank.com/thong-tin/blog/han-muc-tra-gop-the-tin-dung" TargetMode="External"/><Relationship Id="rId900" Type="http://schemas.openxmlformats.org/officeDocument/2006/relationships/hyperlink" Target="https://techcombank.com/thong-tin/blog/so-the-tin-dung" TargetMode="External"/><Relationship Id="rId1600" Type="http://schemas.openxmlformats.org/officeDocument/2006/relationships/hyperlink" Target="https://techcombank.com/thong-tin/blog/one-stop-shop" TargetMode="External"/><Relationship Id="rId1601" Type="http://schemas.openxmlformats.org/officeDocument/2006/relationships/hyperlink" Target="https://techcombank.com/thong-tin/blog/thue-phi-co-dinh-khi-chuyen-doi-tu-ho-kinh-doanh-len-doanh-nghiep" TargetMode="External"/><Relationship Id="rId1602" Type="http://schemas.openxmlformats.org/officeDocument/2006/relationships/hyperlink" Target="https://techcombank.com/thong-tin/blog/tim-hieu-ve-chinh-sach-thue-moi" TargetMode="External"/><Relationship Id="rId1603" Type="http://schemas.openxmlformats.org/officeDocument/2006/relationships/hyperlink" Target="https://techcombank.com/thong-tin/blog/may-tinh-tien" TargetMode="External"/><Relationship Id="rId1604" Type="http://schemas.openxmlformats.org/officeDocument/2006/relationships/hyperlink" Target="https://techcombank.com/thong-tin/blog/thue-thu-nhap-doanh-nghiep" TargetMode="External"/><Relationship Id="rId1605" Type="http://schemas.openxmlformats.org/officeDocument/2006/relationships/hyperlink" Target="https://techcombank.com/thong-tin/blog/doanh-nghiep-moi-thanh-lap-duoc-uu-dai-gi" TargetMode="External"/><Relationship Id="rId1606" Type="http://schemas.openxmlformats.org/officeDocument/2006/relationships/hyperlink" Target="https://techcombank.com/thong-tin/blog/quyet-toan-thue-doanh-nghiep" TargetMode="External"/><Relationship Id="rId1607" Type="http://schemas.openxmlformats.org/officeDocument/2006/relationships/hyperlink" Target="https://techcombank.com/thong-tin/blog/dang-ky-ma-so-thue-ca-nhan" TargetMode="External"/><Relationship Id="rId1608" Type="http://schemas.openxmlformats.org/officeDocument/2006/relationships/hyperlink" Target="https://techcombank.com/thong-tin/blog/ke-khai-thue-doanh-nghiep" TargetMode="External"/><Relationship Id="rId1609" Type="http://schemas.openxmlformats.org/officeDocument/2006/relationships/hyperlink" Target="https://techcombank.com/thong-tin/blog/kinh-nghiem-chuyen-doi-tu-ho-kinh-doanh-len-doanh-nghiep" TargetMode="External"/><Relationship Id="rId1631" Type="http://schemas.openxmlformats.org/officeDocument/2006/relationships/hyperlink" Target="https://techcombank.com/thong-tin/blog/merchant-la-gi" TargetMode="External"/><Relationship Id="rId1632" Type="http://schemas.openxmlformats.org/officeDocument/2006/relationships/hyperlink" Target="https://techcombank.com/thong-tin/blog/huong-dan-dang-ky-thanh-lap-doanh-nghiep" TargetMode="External"/><Relationship Id="rId1633" Type="http://schemas.openxmlformats.org/officeDocument/2006/relationships/hyperlink" Target="https://techcombank.com/thong-tin/blog/khoi-nghiep-truoc-chinh-sach-thue-moi" TargetMode="External"/><Relationship Id="rId1634" Type="http://schemas.openxmlformats.org/officeDocument/2006/relationships/hyperlink" Target="https://techcombank.com/thong-tin/blog/mo-tai-khoan-ho-kinh-doanh" TargetMode="External"/><Relationship Id="rId1635" Type="http://schemas.openxmlformats.org/officeDocument/2006/relationships/hyperlink" Target="https://techcombank.com/thong-tin/blog/quan-ly-chuoi-cua-hang" TargetMode="External"/><Relationship Id="rId1636" Type="http://schemas.openxmlformats.org/officeDocument/2006/relationships/hyperlink" Target="https://techcombank.com/thong-tin/blog/kiem-tra-thue-ho-kinh-doanh" TargetMode="External"/><Relationship Id="rId1637" Type="http://schemas.openxmlformats.org/officeDocument/2006/relationships/hyperlink" Target="https://techcombank.com/thong-tin/blog/giai-phap-quan-ly-chuoi-cua-hang" TargetMode="External"/><Relationship Id="rId1638" Type="http://schemas.openxmlformats.org/officeDocument/2006/relationships/hyperlink" Target="https://techcombank.com/thong-tin/blog/cach-dang-ky-ma-so-thue-ho-kinh-doanh-online" TargetMode="External"/><Relationship Id="rId929" Type="http://schemas.openxmlformats.org/officeDocument/2006/relationships/hyperlink" Target="https://techcombank.com/thong-tin/blog/qua-han-thanh-toan-the-tin-dung-1-ngay" TargetMode="External"/><Relationship Id="rId1639" Type="http://schemas.openxmlformats.org/officeDocument/2006/relationships/hyperlink" Target="https://techcombank.com/thong-tin/blog/tra-cuu-ma-so-thue-ho-kinh-doanh" TargetMode="External"/><Relationship Id="rId928" Type="http://schemas.openxmlformats.org/officeDocument/2006/relationships/hyperlink" Target="https://techcombank.com/thong-tin/blog/the-tin-dung-quoc-te" TargetMode="External"/><Relationship Id="rId927" Type="http://schemas.openxmlformats.org/officeDocument/2006/relationships/hyperlink" Target="https://techcombank.com/thong-tin/blog/ma-buu-chinh-the-tin-dung" TargetMode="External"/><Relationship Id="rId926" Type="http://schemas.openxmlformats.org/officeDocument/2006/relationships/hyperlink" Target="https://techcombank.com/thong-tin/blog/co-nen-dung-the-tin-dung-khong" TargetMode="External"/><Relationship Id="rId921" Type="http://schemas.openxmlformats.org/officeDocument/2006/relationships/hyperlink" Target="https://techcombank.com/thong-tin/blog/mua-truoc-tra-sau" TargetMode="External"/><Relationship Id="rId920" Type="http://schemas.openxmlformats.org/officeDocument/2006/relationships/hyperlink" Target="https://techcombank.com/thong-tin/blog/the-visa-co-can-mat-khau-khong" TargetMode="External"/><Relationship Id="rId925" Type="http://schemas.openxmlformats.org/officeDocument/2006/relationships/hyperlink" Target="https://techcombank.com/thong-tin/blog/cach-huy-the-tin-dung" TargetMode="External"/><Relationship Id="rId924" Type="http://schemas.openxmlformats.org/officeDocument/2006/relationships/hyperlink" Target="https://techcombank.com/thong-tin/blog/the-tin-dung-het-han" TargetMode="External"/><Relationship Id="rId923" Type="http://schemas.openxmlformats.org/officeDocument/2006/relationships/hyperlink" Target="https://techcombank.com/thong-tin/blog/the-ghi-no-va-the-tin-dung" TargetMode="External"/><Relationship Id="rId922" Type="http://schemas.openxmlformats.org/officeDocument/2006/relationships/hyperlink" Target="https://techcombank.com/thong-tin/blog/tra-cuu-han-muc-the-tin-dung" TargetMode="External"/><Relationship Id="rId1630" Type="http://schemas.openxmlformats.org/officeDocument/2006/relationships/hyperlink" Target="https://techcombank.com/thong-tin/blog/cac-loai-hinh-doanh-nghiep" TargetMode="External"/><Relationship Id="rId1620" Type="http://schemas.openxmlformats.org/officeDocument/2006/relationships/hyperlink" Target="https://techcombank.com/thong-tin/blog/thue-thu-nhap-ca-nhan" TargetMode="External"/><Relationship Id="rId1621" Type="http://schemas.openxmlformats.org/officeDocument/2006/relationships/hyperlink" Target="https://techcombank.com/thong-tin/blog/ho-kinh-doanh-can-gi-o-tai-khoan-ngan-hang" TargetMode="External"/><Relationship Id="rId1622" Type="http://schemas.openxmlformats.org/officeDocument/2006/relationships/hyperlink" Target="https://techcombank.com/thong-tin/blog/kiem-tra-thue-thu-nhap-ca-nhan" TargetMode="External"/><Relationship Id="rId1623" Type="http://schemas.openxmlformats.org/officeDocument/2006/relationships/hyperlink" Target="https://techcombank.com/thong-tin/blog/thue-vat-la-gi" TargetMode="External"/><Relationship Id="rId1624" Type="http://schemas.openxmlformats.org/officeDocument/2006/relationships/hyperlink" Target="https://techcombank.com/thong-tin/blog/nop-thue-dat-qua-ngan-hang" TargetMode="External"/><Relationship Id="rId1625" Type="http://schemas.openxmlformats.org/officeDocument/2006/relationships/hyperlink" Target="https://techcombank.com/thong-tin/blog/chuyen-nhuong-chung-chi-tien-gui" TargetMode="External"/><Relationship Id="rId1626" Type="http://schemas.openxmlformats.org/officeDocument/2006/relationships/hyperlink" Target="https://techcombank.com/thong-tin/blog/cach-nop-thue-dien-tu" TargetMode="External"/><Relationship Id="rId1627" Type="http://schemas.openxmlformats.org/officeDocument/2006/relationships/hyperlink" Target="https://techcombank.com/thong-tin/blog/nhuong-quyen-la-gi" TargetMode="External"/><Relationship Id="rId918" Type="http://schemas.openxmlformats.org/officeDocument/2006/relationships/hyperlink" Target="https://techcombank.com/thong-tin/blog/cach-lam-the-ngan-hang-chay-quang-cao-facebook" TargetMode="External"/><Relationship Id="rId1628" Type="http://schemas.openxmlformats.org/officeDocument/2006/relationships/hyperlink" Target="https://techcombank.com/thong-tin/blog/kinh-doanh-online" TargetMode="External"/><Relationship Id="rId917" Type="http://schemas.openxmlformats.org/officeDocument/2006/relationships/hyperlink" Target="https://techcombank.com/thong-tin/blog/the-tin-dung-nao-nhieu-uu-dai-nhat" TargetMode="External"/><Relationship Id="rId1629" Type="http://schemas.openxmlformats.org/officeDocument/2006/relationships/hyperlink" Target="https://techcombank.com/thong-tin/blog/one-stop-shop" TargetMode="External"/><Relationship Id="rId916" Type="http://schemas.openxmlformats.org/officeDocument/2006/relationships/hyperlink" Target="https://techcombank.com/thong-tin/blog/so-cvv-la-gi" TargetMode="External"/><Relationship Id="rId915" Type="http://schemas.openxmlformats.org/officeDocument/2006/relationships/hyperlink" Target="https://techcombank.com/thong-tin/blog/mat-the-tin-dung-co-bi-mat-tien-khong" TargetMode="External"/><Relationship Id="rId919" Type="http://schemas.openxmlformats.org/officeDocument/2006/relationships/hyperlink" Target="https://techcombank.com/thong-tin/blog/mua-iphone-17" TargetMode="External"/><Relationship Id="rId910" Type="http://schemas.openxmlformats.org/officeDocument/2006/relationships/hyperlink" Target="https://techcombank.com/thong-tin/blog/tai-khoan-doanh-nghiep-co-the-khong" TargetMode="External"/><Relationship Id="rId914" Type="http://schemas.openxmlformats.org/officeDocument/2006/relationships/hyperlink" Target="https://techcombank.com/thong-tin/blog/uu-dai-mua-ve-may-bay-bang-the-tin-dung" TargetMode="External"/><Relationship Id="rId913" Type="http://schemas.openxmlformats.org/officeDocument/2006/relationships/hyperlink" Target="https://techcombank.com/thong-tin/blog/cac-loai-the-tin-dung" TargetMode="External"/><Relationship Id="rId912" Type="http://schemas.openxmlformats.org/officeDocument/2006/relationships/hyperlink" Target="https://techcombank.com/thong-tin/blog/uu-dai-the-tin-dung-techcombank-signature" TargetMode="External"/><Relationship Id="rId911" Type="http://schemas.openxmlformats.org/officeDocument/2006/relationships/hyperlink" Target="https://techcombank.com/thong-tin/blog/mm-yy-la-gi" TargetMode="External"/><Relationship Id="rId1213" Type="http://schemas.openxmlformats.org/officeDocument/2006/relationships/hyperlink" Target="https://techcombank.com/thong-tin/blog/rui-ro-khi-gui-tiet-kiem-ngan-hang" TargetMode="External"/><Relationship Id="rId1697" Type="http://schemas.openxmlformats.org/officeDocument/2006/relationships/hyperlink" Target="https://techcombank.com/thong-tin/blog/thay-doi-dia-chi-ho-kinh-doanh" TargetMode="External"/><Relationship Id="rId1214" Type="http://schemas.openxmlformats.org/officeDocument/2006/relationships/hyperlink" Target="https://techcombank.com/thong-tin/blog/gui-tiet-kiem-hang-thang" TargetMode="External"/><Relationship Id="rId1698" Type="http://schemas.openxmlformats.org/officeDocument/2006/relationships/hyperlink" Target="https://techcombank.com/thong-tin/blog/nhung-ho-kinh-doanh-duoc-mien-thue" TargetMode="External"/><Relationship Id="rId1215" Type="http://schemas.openxmlformats.org/officeDocument/2006/relationships/hyperlink" Target="https://techcombank.com/thong-tin/blog/cach-tinh-loi-nhuan-chung-chi-tien-gui" TargetMode="External"/><Relationship Id="rId1699" Type="http://schemas.openxmlformats.org/officeDocument/2006/relationships/hyperlink" Target="https://techcombank.com/thong-tin/blog/luu-y-khi-chuyen-doi-tu-ho-kinh-doanh-len-doanh-nghiep" TargetMode="External"/><Relationship Id="rId1216" Type="http://schemas.openxmlformats.org/officeDocument/2006/relationships/hyperlink" Target="https://techcombank.com/thong-tin/blog/gui-tiet-kiem-online-bi-mat-tien" TargetMode="External"/><Relationship Id="rId1217" Type="http://schemas.openxmlformats.org/officeDocument/2006/relationships/hyperlink" Target="https://techcombank.com/thong-tin/blog/kinh-nghiem-gui-tiet-kiem-online" TargetMode="External"/><Relationship Id="rId1218" Type="http://schemas.openxmlformats.org/officeDocument/2006/relationships/hyperlink" Target="https://techcombank.com/thong-tin/blog/gui-tiet-kiem-online-co-rut-truoc-han-duoc-khong" TargetMode="External"/><Relationship Id="rId1219" Type="http://schemas.openxmlformats.org/officeDocument/2006/relationships/hyperlink" Target="https://techcombank.com/thong-tin/blog/lai-suat-chung-chi-tien-gui-cac-ngan-hang" TargetMode="External"/><Relationship Id="rId866" Type="http://schemas.openxmlformats.org/officeDocument/2006/relationships/hyperlink" Target="https://techcombank.com/thong-tin/blog/tra-gop-shopee" TargetMode="External"/><Relationship Id="rId865" Type="http://schemas.openxmlformats.org/officeDocument/2006/relationships/hyperlink" Target="https://techcombank.com/thong-tin/blog/thanh-toan-toi-thieu-the-tin-dung" TargetMode="External"/><Relationship Id="rId864" Type="http://schemas.openxmlformats.org/officeDocument/2006/relationships/hyperlink" Target="https://techcombank.com/thong-tin/blog/the-tin-dung-ao" TargetMode="External"/><Relationship Id="rId863" Type="http://schemas.openxmlformats.org/officeDocument/2006/relationships/hyperlink" Target="https://techcombank.com/thong-tin/blog/lai-suat-the-tin-dung" TargetMode="External"/><Relationship Id="rId869" Type="http://schemas.openxmlformats.org/officeDocument/2006/relationships/hyperlink" Target="https://techcombank.com/thong-tin/blog/tra-gop-lazada" TargetMode="External"/><Relationship Id="rId868" Type="http://schemas.openxmlformats.org/officeDocument/2006/relationships/hyperlink" Target="https://techcombank.com/thong-tin/blog/thanh-toan-tra-gop-qua-the-tin-dung" TargetMode="External"/><Relationship Id="rId867" Type="http://schemas.openxmlformats.org/officeDocument/2006/relationships/hyperlink" Target="https://techcombank.com/thong-tin/blog/thanh-toan-tien-dien-bang-the-tin-dung" TargetMode="External"/><Relationship Id="rId1690" Type="http://schemas.openxmlformats.org/officeDocument/2006/relationships/hyperlink" Target="https://techcombank.com/thong-tin/blog/thu-tuc-vay-von-kinh-doanh-nho" TargetMode="External"/><Relationship Id="rId1691" Type="http://schemas.openxmlformats.org/officeDocument/2006/relationships/hyperlink" Target="https://techcombank.com/thong-tin/blog/truy-thu-thue-ho-kinh-doanh" TargetMode="External"/><Relationship Id="rId1692" Type="http://schemas.openxmlformats.org/officeDocument/2006/relationships/hyperlink" Target="https://techcombank.com/thong-tin/blog/kiem-tra-thue-ho-kinh-doanh" TargetMode="External"/><Relationship Id="rId862" Type="http://schemas.openxmlformats.org/officeDocument/2006/relationships/hyperlink" Target="https://techcombank.com/thong-tin/blog/3d-secure" TargetMode="External"/><Relationship Id="rId1693" Type="http://schemas.openxmlformats.org/officeDocument/2006/relationships/hyperlink" Target="https://techcombank.com/thong-tin/blog/cac-sai-lam-pho-bien-khi-chuyen-doi-ho-kinh-doanh-len-sme" TargetMode="External"/><Relationship Id="rId861" Type="http://schemas.openxmlformats.org/officeDocument/2006/relationships/hyperlink" Target="https://techcombank.com/thong-tin/blog/mo-the-tin-dung-han-muc-cao" TargetMode="External"/><Relationship Id="rId1210" Type="http://schemas.openxmlformats.org/officeDocument/2006/relationships/hyperlink" Target="https://techcombank.com/thong-tin/blog/chon-kenh-dau-tu-an-toan-trong-boi-canh-thi-truong-bien-dong" TargetMode="External"/><Relationship Id="rId1694" Type="http://schemas.openxmlformats.org/officeDocument/2006/relationships/hyperlink" Target="https://techcombank.com/thong-tin/blog/giay-phep-kinh-doanh" TargetMode="External"/><Relationship Id="rId860" Type="http://schemas.openxmlformats.org/officeDocument/2006/relationships/hyperlink" Target="https://techcombank.com/thong-tin/blog/the-tin-dung-techcombank-visa-eco" TargetMode="External"/><Relationship Id="rId1211" Type="http://schemas.openxmlformats.org/officeDocument/2006/relationships/hyperlink" Target="https://techcombank.com/thong-tin/blog/chuyen-nhuong-chung-chi-tien-gui" TargetMode="External"/><Relationship Id="rId1695" Type="http://schemas.openxmlformats.org/officeDocument/2006/relationships/hyperlink" Target="https://techcombank.com/thong-tin/blog/chuyen-doi-hoa-don-dien-tu" TargetMode="External"/><Relationship Id="rId1212" Type="http://schemas.openxmlformats.org/officeDocument/2006/relationships/hyperlink" Target="https://techcombank.com/thong-tin/blog/gui-tiet-kiem-ngoai-te" TargetMode="External"/><Relationship Id="rId1696" Type="http://schemas.openxmlformats.org/officeDocument/2006/relationships/hyperlink" Target="https://techcombank.com/thong-tin/blog/dang-ky-kinh-doanh-la-gi" TargetMode="External"/><Relationship Id="rId1202" Type="http://schemas.openxmlformats.org/officeDocument/2006/relationships/hyperlink" Target="https://techcombank.com/thong-tin/blog/nen-gui-tiet-kiem-6-thang-hay-1-nam" TargetMode="External"/><Relationship Id="rId1686" Type="http://schemas.openxmlformats.org/officeDocument/2006/relationships/hyperlink" Target="https://techcombank.com/thong-tin/blog/nen-thanh-lap-ho-kinh-doanh-ke-khai-hay-doanh-nghiep" TargetMode="External"/><Relationship Id="rId1203" Type="http://schemas.openxmlformats.org/officeDocument/2006/relationships/hyperlink" Target="https://techcombank.com/thong-tin/blog/dau-tu-ngan-han" TargetMode="External"/><Relationship Id="rId1687" Type="http://schemas.openxmlformats.org/officeDocument/2006/relationships/hyperlink" Target="https://techcombank.com/thong-tin/blog/vay-tin-chap-ho-kinh-doanh" TargetMode="External"/><Relationship Id="rId1204" Type="http://schemas.openxmlformats.org/officeDocument/2006/relationships/hyperlink" Target="https://techcombank.com/thong-tin/blog/ho-kinh-doanh-can-gi-o-tai-khoan-ngan-hang" TargetMode="External"/><Relationship Id="rId1688" Type="http://schemas.openxmlformats.org/officeDocument/2006/relationships/hyperlink" Target="https://techcombank.com/thong-tin/blog/tra-cuu-no-thue-ho-kinh-doanh" TargetMode="External"/><Relationship Id="rId1205" Type="http://schemas.openxmlformats.org/officeDocument/2006/relationships/hyperlink" Target="https://techcombank.com/thong-tin/blog/gui-tiet-kiem-tich-luy-la-gi" TargetMode="External"/><Relationship Id="rId1689" Type="http://schemas.openxmlformats.org/officeDocument/2006/relationships/hyperlink" Target="https://techcombank.com/thong-tin/blog/lien-ket-tai-khoan-ngan-hang-voi-etax-mobile" TargetMode="External"/><Relationship Id="rId1206" Type="http://schemas.openxmlformats.org/officeDocument/2006/relationships/hyperlink" Target="https://techcombank.com/thong-tin/blog/gui-tiet-kiem-lay-lai-hang-thang" TargetMode="External"/><Relationship Id="rId1207" Type="http://schemas.openxmlformats.org/officeDocument/2006/relationships/hyperlink" Target="https://techcombank.com/thong-tin/blog/rui-ro-khi-gui-tiet-kiem-online" TargetMode="External"/><Relationship Id="rId1208" Type="http://schemas.openxmlformats.org/officeDocument/2006/relationships/hyperlink" Target="https://techcombank.com/thong-tin/blog/tat-toan-chung-chi-tien-gui" TargetMode="External"/><Relationship Id="rId1209" Type="http://schemas.openxmlformats.org/officeDocument/2006/relationships/hyperlink" Target="https://techcombank.com/thong-tin/blog/cach-tinh-lai-suat-tien-gui-tiet-kiem" TargetMode="External"/><Relationship Id="rId855" Type="http://schemas.openxmlformats.org/officeDocument/2006/relationships/hyperlink" Target="https://techcombank.com/thong-tin/blog/the-tin-dung-den" TargetMode="External"/><Relationship Id="rId854" Type="http://schemas.openxmlformats.org/officeDocument/2006/relationships/hyperlink" Target="https://techcombank.com/thong-tin/blog/cach-thanh-toan-the-tin-dung" TargetMode="External"/><Relationship Id="rId853" Type="http://schemas.openxmlformats.org/officeDocument/2006/relationships/hyperlink" Target="https://techcombank.com/thong-tin/blog/vay-ngan-hang-1-ty-moi-thang-tra-bao-nhieu" TargetMode="External"/><Relationship Id="rId852" Type="http://schemas.openxmlformats.org/officeDocument/2006/relationships/hyperlink" Target="https://techcombank.com/thong-tin/blog/tiet-kiem-khi-di-du-lich" TargetMode="External"/><Relationship Id="rId859" Type="http://schemas.openxmlformats.org/officeDocument/2006/relationships/hyperlink" Target="https://techcombank.com/thong-tin/blog/the-tin-dung-co-chuyen-khoan-duoc-khong" TargetMode="External"/><Relationship Id="rId858" Type="http://schemas.openxmlformats.org/officeDocument/2006/relationships/hyperlink" Target="https://techcombank.com/thong-tin/blog/uu-dai-mo-the-tin-dung" TargetMode="External"/><Relationship Id="rId857" Type="http://schemas.openxmlformats.org/officeDocument/2006/relationships/hyperlink" Target="https://techcombank.com/thong-tin/blog/thanh-toan-online-bang-the-tin-dung" TargetMode="External"/><Relationship Id="rId856" Type="http://schemas.openxmlformats.org/officeDocument/2006/relationships/hyperlink" Target="https://techcombank.com/thong-tin/blog/dao-han-the-tin-dung" TargetMode="External"/><Relationship Id="rId1680" Type="http://schemas.openxmlformats.org/officeDocument/2006/relationships/hyperlink" Target="https://techcombank.com/thong-tin/blog/cach-tinh-thue-ho-kinh-doanh-nho-le" TargetMode="External"/><Relationship Id="rId1681" Type="http://schemas.openxmlformats.org/officeDocument/2006/relationships/hyperlink" Target="https://techcombank.com/thong-tin/blog/loi-ich-khi-ho-kinh-doanh-chuyen-len-doanh-nghiep" TargetMode="External"/><Relationship Id="rId851" Type="http://schemas.openxmlformats.org/officeDocument/2006/relationships/hyperlink" Target="https://techcombank.com/thong-tin/blog/phi-rut-tien-mat-the-tin-dung" TargetMode="External"/><Relationship Id="rId1682" Type="http://schemas.openxmlformats.org/officeDocument/2006/relationships/hyperlink" Target="https://techcombank.com/thong-tin/blog/tiem-nang-chuyen-doi-tu-ho-kinh-doanh-len-doanh-nghiep-sme" TargetMode="External"/><Relationship Id="rId850" Type="http://schemas.openxmlformats.org/officeDocument/2006/relationships/hyperlink" Target="https://techcombank.com/thong-tin/blog/qua-han-thanh-toan-the-tin-dung-1-ngay" TargetMode="External"/><Relationship Id="rId1683" Type="http://schemas.openxmlformats.org/officeDocument/2006/relationships/hyperlink" Target="https://techcombank.com/thong-tin/blog/lai-suat-vay-kinh-doanh" TargetMode="External"/><Relationship Id="rId1200" Type="http://schemas.openxmlformats.org/officeDocument/2006/relationships/hyperlink" Target="https://techcombank.com/thong-tin/blog/gui-tien-ngan-hang-co-an-toan-khong" TargetMode="External"/><Relationship Id="rId1684" Type="http://schemas.openxmlformats.org/officeDocument/2006/relationships/hyperlink" Target="https://techcombank.com/thong-tin/blog/chuyen-doi-ho-kinh-doanh-len-doanh-nghiep" TargetMode="External"/><Relationship Id="rId1201" Type="http://schemas.openxmlformats.org/officeDocument/2006/relationships/hyperlink" Target="https://techcombank.com/thong-tin/blog/dau-tu-trai-phieu-doanh-nghiep-dung-ham-lai-suat-cao" TargetMode="External"/><Relationship Id="rId1685" Type="http://schemas.openxmlformats.org/officeDocument/2006/relationships/hyperlink" Target="https://techcombank.com/thong-tin/blog/thanh-toan-khong-dung-tien-mat" TargetMode="External"/><Relationship Id="rId1235" Type="http://schemas.openxmlformats.org/officeDocument/2006/relationships/hyperlink" Target="https://techcombank.com/thong-tin/blog/co-nen-gui-chung-chi-tien-gui" TargetMode="External"/><Relationship Id="rId1236" Type="http://schemas.openxmlformats.org/officeDocument/2006/relationships/hyperlink" Target="https://techcombank.com/thong-tin/blog/dau-tu-trai-phieu-doanh-nghiep-dung-ham-lai-suat-cao" TargetMode="External"/><Relationship Id="rId1237" Type="http://schemas.openxmlformats.org/officeDocument/2006/relationships/hyperlink" Target="https://techcombank.com/thong-tin/blog/cach-tinh-lai-suat-tien-gui-tiet-kiem" TargetMode="External"/><Relationship Id="rId1238" Type="http://schemas.openxmlformats.org/officeDocument/2006/relationships/hyperlink" Target="https://techcombank.com/thong-tin/blog/chon-kenh-dau-tu-an-toan-trong-boi-canh-thi-truong-bien-dong" TargetMode="External"/><Relationship Id="rId1239" Type="http://schemas.openxmlformats.org/officeDocument/2006/relationships/hyperlink" Target="https://techcombank.com/thong-tin/blog/chung-chi-tien-gui-khac-gi-so-tiet-kiem" TargetMode="External"/><Relationship Id="rId409" Type="http://schemas.openxmlformats.org/officeDocument/2006/relationships/hyperlink" Target="https://techcombank.com/thong-tin/blog/mm-yy-la-gi" TargetMode="External"/><Relationship Id="rId404" Type="http://schemas.openxmlformats.org/officeDocument/2006/relationships/hyperlink" Target="https://techcombank.com/thong-tin/blog/cdm" TargetMode="External"/><Relationship Id="rId888" Type="http://schemas.openxmlformats.org/officeDocument/2006/relationships/hyperlink" Target="https://techcombank.com/thong-tin/blog/mo-the-tin-dung-chi-can-cccd" TargetMode="External"/><Relationship Id="rId403" Type="http://schemas.openxmlformats.org/officeDocument/2006/relationships/hyperlink" Target="https://techcombank.com/thong-tin/blog/thanh-toan-hoc-phi-online" TargetMode="External"/><Relationship Id="rId887" Type="http://schemas.openxmlformats.org/officeDocument/2006/relationships/hyperlink" Target="https://techcombank.com/thong-tin/blog/no-the-tin-dung-qua-han" TargetMode="External"/><Relationship Id="rId402" Type="http://schemas.openxmlformats.org/officeDocument/2006/relationships/hyperlink" Target="https://techcombank.com/thong-tin/blog/cac-loai-hinh-bao-hiem-nhan-tho" TargetMode="External"/><Relationship Id="rId886" Type="http://schemas.openxmlformats.org/officeDocument/2006/relationships/hyperlink" Target="https://techcombank.com/thong-tin/blog/no-xau-mo-the-tin-dung-duoc-khong" TargetMode="External"/><Relationship Id="rId401" Type="http://schemas.openxmlformats.org/officeDocument/2006/relationships/hyperlink" Target="https://techcombank.com/thong-tin/blog/hoc-sinh-sinh-vien-nen-lam-the-ngan-hang-nao" TargetMode="External"/><Relationship Id="rId885" Type="http://schemas.openxmlformats.org/officeDocument/2006/relationships/hyperlink" Target="https://techcombank.com/thong-tin/blog/the-tin-dung-bi-khoa" TargetMode="External"/><Relationship Id="rId408" Type="http://schemas.openxmlformats.org/officeDocument/2006/relationships/hyperlink" Target="https://techcombank.com/thong-tin/blog/cay-atm-gan-day" TargetMode="External"/><Relationship Id="rId407" Type="http://schemas.openxmlformats.org/officeDocument/2006/relationships/hyperlink" Target="https://techcombank.com/thong-tin/blog/nop-tien-mat-vao-tai-khoan-cong-ty" TargetMode="External"/><Relationship Id="rId406" Type="http://schemas.openxmlformats.org/officeDocument/2006/relationships/hyperlink" Target="https://techcombank.com/thong-tin/blog/tai-khoan-ngan-hang-con-0-dong-co-sao-khong" TargetMode="External"/><Relationship Id="rId405" Type="http://schemas.openxmlformats.org/officeDocument/2006/relationships/hyperlink" Target="https://techcombank.com/thong-tin/blog/cach-nap-tien-vao-the-ghi-no" TargetMode="External"/><Relationship Id="rId889" Type="http://schemas.openxmlformats.org/officeDocument/2006/relationships/hyperlink" Target="https://techcombank.com/thong-tin/blog/luu-y-khi-su-dung-the-tin-dung" TargetMode="External"/><Relationship Id="rId880" Type="http://schemas.openxmlformats.org/officeDocument/2006/relationships/hyperlink" Target="https://techcombank.com/thong-tin/blog/nang-han-muc-tin-dung" TargetMode="External"/><Relationship Id="rId1230" Type="http://schemas.openxmlformats.org/officeDocument/2006/relationships/hyperlink" Target="https://techcombank.com/thong-tin/blog/chung-chi-tien-gui-co-duoc-rut-truoc-han" TargetMode="External"/><Relationship Id="rId400" Type="http://schemas.openxmlformats.org/officeDocument/2006/relationships/hyperlink" Target="https://techcombank.com/thong-tin/blog/bao-hiem-nhan-tho-la-gi" TargetMode="External"/><Relationship Id="rId884" Type="http://schemas.openxmlformats.org/officeDocument/2006/relationships/hyperlink" Target="https://techcombank.com/thong-tin/blog/kich-hoat-the-tin-dung-techcombank" TargetMode="External"/><Relationship Id="rId1231" Type="http://schemas.openxmlformats.org/officeDocument/2006/relationships/hyperlink" Target="https://techcombank.com/thong-tin/blog/chuyen-nhuong-chung-chi-tien-gui" TargetMode="External"/><Relationship Id="rId883" Type="http://schemas.openxmlformats.org/officeDocument/2006/relationships/hyperlink" Target="https://techcombank.com/thong-tin/blog/lam-the-tin-dung-co-mat-phi-khong" TargetMode="External"/><Relationship Id="rId1232" Type="http://schemas.openxmlformats.org/officeDocument/2006/relationships/hyperlink" Target="https://techcombank.com/thong-tin/blog/chung-chi-tien-gui-co-duoc-bao-hiem-khong" TargetMode="External"/><Relationship Id="rId882" Type="http://schemas.openxmlformats.org/officeDocument/2006/relationships/hyperlink" Target="https://techcombank.com/thong-tin/blog/tra-gop-qua-the-tin-dung" TargetMode="External"/><Relationship Id="rId1233" Type="http://schemas.openxmlformats.org/officeDocument/2006/relationships/hyperlink" Target="https://techcombank.com/thong-tin/blog/chung-chi-tien-gui-la-gi" TargetMode="External"/><Relationship Id="rId881" Type="http://schemas.openxmlformats.org/officeDocument/2006/relationships/hyperlink" Target="https://techcombank.com/thong-tin/blog/the-tin-dung-mien-lai-55-ngay" TargetMode="External"/><Relationship Id="rId1234" Type="http://schemas.openxmlformats.org/officeDocument/2006/relationships/hyperlink" Target="https://techcombank.com/thong-tin/blog/lai-suat-tiet-kiem" TargetMode="External"/><Relationship Id="rId1224" Type="http://schemas.openxmlformats.org/officeDocument/2006/relationships/hyperlink" Target="https://techcombank.com/thong-tin/blog/cach-tiet-kiem-tien-sinh-loi" TargetMode="External"/><Relationship Id="rId1225" Type="http://schemas.openxmlformats.org/officeDocument/2006/relationships/hyperlink" Target="https://techcombank.com/thong-tin/blog/co-50-trieu-nen-mua-vang-hay-gui-tiet-kiem" TargetMode="External"/><Relationship Id="rId1226" Type="http://schemas.openxmlformats.org/officeDocument/2006/relationships/hyperlink" Target="https://techcombank.com/thong-tin/blog/lai-suat-gui-tiet-kiem-usd" TargetMode="External"/><Relationship Id="rId1227" Type="http://schemas.openxmlformats.org/officeDocument/2006/relationships/hyperlink" Target="https://techcombank.com/thong-tin/blog/gui-tiet-kiem-usd" TargetMode="External"/><Relationship Id="rId1228" Type="http://schemas.openxmlformats.org/officeDocument/2006/relationships/hyperlink" Target="https://techcombank.com/thong-tin/blog/cach-tinh-loi-nhuan-chung-chi-tien-gui" TargetMode="External"/><Relationship Id="rId1229" Type="http://schemas.openxmlformats.org/officeDocument/2006/relationships/hyperlink" Target="https://techcombank.com/thong-tin/blog/tat-toan-chung-chi-tien-gui" TargetMode="External"/><Relationship Id="rId877" Type="http://schemas.openxmlformats.org/officeDocument/2006/relationships/hyperlink" Target="https://techcombank.com/thong-tin/blog/cach-su-dung-the-tin-dung" TargetMode="External"/><Relationship Id="rId876" Type="http://schemas.openxmlformats.org/officeDocument/2006/relationships/hyperlink" Target="https://techcombank.com/thong-tin/blog/the-tin-dung-la-gi" TargetMode="External"/><Relationship Id="rId875" Type="http://schemas.openxmlformats.org/officeDocument/2006/relationships/hyperlink" Target="https://techcombank.com/thong-tin/blog/lam-ho-so-tra-gop-dien-thoai" TargetMode="External"/><Relationship Id="rId874" Type="http://schemas.openxmlformats.org/officeDocument/2006/relationships/hyperlink" Target="https://techcombank.com/thong-tin/blog/the-tin-dung-noi-dia" TargetMode="External"/><Relationship Id="rId879" Type="http://schemas.openxmlformats.org/officeDocument/2006/relationships/hyperlink" Target="https://techcombank.com/thong-tin/blog/han-muc-the-tin-dung" TargetMode="External"/><Relationship Id="rId878" Type="http://schemas.openxmlformats.org/officeDocument/2006/relationships/hyperlink" Target="https://techcombank.com/thong-tin/blog/cashback-the-thanh-toan" TargetMode="External"/><Relationship Id="rId873" Type="http://schemas.openxmlformats.org/officeDocument/2006/relationships/hyperlink" Target="https://techcombank.com/thong-tin/blog/sao-ke-the-tin-dung-la-gi" TargetMode="External"/><Relationship Id="rId1220" Type="http://schemas.openxmlformats.org/officeDocument/2006/relationships/hyperlink" Target="https://techcombank.com/thong-tin/blog/gui-tiet-kiem-online-quay-vong-ca-goc-va-lai" TargetMode="External"/><Relationship Id="rId872" Type="http://schemas.openxmlformats.org/officeDocument/2006/relationships/hyperlink" Target="https://techcombank.com/thong-tin/blog/cic-la-gi" TargetMode="External"/><Relationship Id="rId1221" Type="http://schemas.openxmlformats.org/officeDocument/2006/relationships/hyperlink" Target="https://techcombank.com/thong-tin/blog/dau-tu-dai-han" TargetMode="External"/><Relationship Id="rId871" Type="http://schemas.openxmlformats.org/officeDocument/2006/relationships/hyperlink" Target="https://techcombank.com/thong-tin/blog/the-tin-dung-co-ma-pin-khong" TargetMode="External"/><Relationship Id="rId1222" Type="http://schemas.openxmlformats.org/officeDocument/2006/relationships/hyperlink" Target="https://techcombank.com/thong-tin/blog/so-sanh-gui-tiet-kiem-online-va-tai-quay" TargetMode="External"/><Relationship Id="rId870" Type="http://schemas.openxmlformats.org/officeDocument/2006/relationships/hyperlink" Target="https://techcombank.com/thong-tin/blog/lam-the-tin-dung" TargetMode="External"/><Relationship Id="rId1223" Type="http://schemas.openxmlformats.org/officeDocument/2006/relationships/hyperlink" Target="https://techcombank.com/thong-tin/blog/chung-chi-tien-gui-co-duoc-rut-truoc-han" TargetMode="External"/><Relationship Id="rId1653" Type="http://schemas.openxmlformats.org/officeDocument/2006/relationships/hyperlink" Target="https://techcombank.com/thong-tin/blog/pos" TargetMode="External"/><Relationship Id="rId2500" Type="http://schemas.openxmlformats.org/officeDocument/2006/relationships/hyperlink" Target="https://techcombank.com/thong-tin/blog/chung-chi-tien-gui-co-an-toan-khong" TargetMode="External"/><Relationship Id="rId1654" Type="http://schemas.openxmlformats.org/officeDocument/2006/relationships/hyperlink" Target="https://techcombank.com/thong-tin/blog/softpos" TargetMode="External"/><Relationship Id="rId2501" Type="http://schemas.openxmlformats.org/officeDocument/2006/relationships/hyperlink" Target="https://techcombank.com/thong-tin/blog/tien-nhan-roi-nen-lam-gi" TargetMode="External"/><Relationship Id="rId1655" Type="http://schemas.openxmlformats.org/officeDocument/2006/relationships/hyperlink" Target="https://techcombank.com/thong-tin/blog/merchant-la-gi" TargetMode="External"/><Relationship Id="rId2502" Type="http://schemas.openxmlformats.org/officeDocument/2006/relationships/hyperlink" Target="https://techcombank.com/thong-tin/blog/fdi" TargetMode="External"/><Relationship Id="rId1656" Type="http://schemas.openxmlformats.org/officeDocument/2006/relationships/hyperlink" Target="https://techcombank.com/thong-tin/blog/ma-qr-lam-gia-duoc-khong" TargetMode="External"/><Relationship Id="rId2503" Type="http://schemas.openxmlformats.org/officeDocument/2006/relationships/hyperlink" Target="https://techcombank.com/thong-tin/blog/cach-dau-tu" TargetMode="External"/><Relationship Id="rId1657" Type="http://schemas.openxmlformats.org/officeDocument/2006/relationships/hyperlink" Target="https://techcombank.com/thong-tin/blog/ma-qr-techcombank" TargetMode="External"/><Relationship Id="rId2504" Type="http://schemas.openxmlformats.org/officeDocument/2006/relationships/hyperlink" Target="https://techcombank.com/thong-tin/blog/du-bao-gia-vang" TargetMode="External"/><Relationship Id="rId1658" Type="http://schemas.openxmlformats.org/officeDocument/2006/relationships/hyperlink" Target="https://techcombank.com/thong-tin/blog/so-sanh-ma-qr-va-ma-vach" TargetMode="External"/><Relationship Id="rId2505" Type="http://schemas.openxmlformats.org/officeDocument/2006/relationships/drawing" Target="../drawings/drawing5.xml"/><Relationship Id="rId1659" Type="http://schemas.openxmlformats.org/officeDocument/2006/relationships/hyperlink" Target="https://techcombank.com/thong-tin/blog/qr-code-doanh-nghiep" TargetMode="External"/><Relationship Id="rId829" Type="http://schemas.openxmlformats.org/officeDocument/2006/relationships/hyperlink" Target="https://techcombank.com/thong-tin/blog/uu-dai-the-tin-dung" TargetMode="External"/><Relationship Id="rId828" Type="http://schemas.openxmlformats.org/officeDocument/2006/relationships/hyperlink" Target="https://techcombank.com/thong-tin/blog/thoi-gian-hoan-tien-the-tin-dung" TargetMode="External"/><Relationship Id="rId827" Type="http://schemas.openxmlformats.org/officeDocument/2006/relationships/hyperlink" Target="https://techcombank.com/thong-tin/blog/the-tin-dung-nao-nhieu-uu-dai-nhat" TargetMode="External"/><Relationship Id="rId822" Type="http://schemas.openxmlformats.org/officeDocument/2006/relationships/hyperlink" Target="https://techcombank.com/thong-tin/blog/so-the-tin-dung" TargetMode="External"/><Relationship Id="rId821" Type="http://schemas.openxmlformats.org/officeDocument/2006/relationships/hyperlink" Target="https://techcombank.com/thong-tin/blog/khong-su-dung-the-tin-dung-co-mat-phi-khong" TargetMode="External"/><Relationship Id="rId820" Type="http://schemas.openxmlformats.org/officeDocument/2006/relationships/hyperlink" Target="https://techcombank.com/thong-tin/blog/uu-dai-mua-iphone-18" TargetMode="External"/><Relationship Id="rId826" Type="http://schemas.openxmlformats.org/officeDocument/2006/relationships/hyperlink" Target="https://techcombank.com/thong-tin/blog/tai-khoan-ngan-hang-la-gi" TargetMode="External"/><Relationship Id="rId825" Type="http://schemas.openxmlformats.org/officeDocument/2006/relationships/hyperlink" Target="https://techcombank.com/thong-tin/blog/sang-ngang-the-tin-dung" TargetMode="External"/><Relationship Id="rId824" Type="http://schemas.openxmlformats.org/officeDocument/2006/relationships/hyperlink" Target="https://techcombank.com/thong-tin/blog/the-tin-dung-hoan-tien" TargetMode="External"/><Relationship Id="rId823" Type="http://schemas.openxmlformats.org/officeDocument/2006/relationships/hyperlink" Target="https://techcombank.com/thong-tin/blog/han-muc-tra-gop-the-tin-dung" TargetMode="External"/><Relationship Id="rId1650" Type="http://schemas.openxmlformats.org/officeDocument/2006/relationships/hyperlink" Target="https://techcombank.com/thong-tin/blog/ma-qr-ngan-hang-khong-hop-le" TargetMode="External"/><Relationship Id="rId1651" Type="http://schemas.openxmlformats.org/officeDocument/2006/relationships/hyperlink" Target="https://techcombank.com/thong-tin/blog/quet-ma-qr-techcombank" TargetMode="External"/><Relationship Id="rId1652" Type="http://schemas.openxmlformats.org/officeDocument/2006/relationships/hyperlink" Target="https://techcombank.com/thong-tin/blog/tao-ma-qr-thanh-toan-cho-cua-hang" TargetMode="External"/><Relationship Id="rId1642" Type="http://schemas.openxmlformats.org/officeDocument/2006/relationships/hyperlink" Target="https://techcombank.com/thong-tin/blog/vay-kinh-doanh-online" TargetMode="External"/><Relationship Id="rId1643" Type="http://schemas.openxmlformats.org/officeDocument/2006/relationships/hyperlink" Target="https://techcombank.com/thong-tin/blog/chuan-bi-cho-doanh-nghiep-khoi-nghiep-truoc-nhung-thay-doi-ve-thue" TargetMode="External"/><Relationship Id="rId1644" Type="http://schemas.openxmlformats.org/officeDocument/2006/relationships/hyperlink" Target="https://techcombank.com/thong-tin/blog/quan-ly-chi-phi-doanh-nghiep" TargetMode="External"/><Relationship Id="rId1645" Type="http://schemas.openxmlformats.org/officeDocument/2006/relationships/hyperlink" Target="https://techcombank.com/thong-tin/blog/tieu-dung-ben-vung" TargetMode="External"/><Relationship Id="rId1646" Type="http://schemas.openxmlformats.org/officeDocument/2006/relationships/hyperlink" Target="https://techcombank.com/thong-tin/blog/cach-tao-ma-qr" TargetMode="External"/><Relationship Id="rId1647" Type="http://schemas.openxmlformats.org/officeDocument/2006/relationships/hyperlink" Target="https://techcombank.com/thong-tin/blog/in-ma-qr-ngan-hang" TargetMode="External"/><Relationship Id="rId1648" Type="http://schemas.openxmlformats.org/officeDocument/2006/relationships/hyperlink" Target="https://techcombank.com/thong-tin/blog/lo-ma-qr-ngan-hang-co-sao-khong" TargetMode="External"/><Relationship Id="rId1649" Type="http://schemas.openxmlformats.org/officeDocument/2006/relationships/hyperlink" Target="https://techcombank.com/thong-tin/blog/lam-ma-qr-ngan-hang-co-mat-phi-khong" TargetMode="External"/><Relationship Id="rId819" Type="http://schemas.openxmlformats.org/officeDocument/2006/relationships/hyperlink" Target="https://techcombank.com/thong-tin/blog/the-ghi-no-visa-la-gi" TargetMode="External"/><Relationship Id="rId818" Type="http://schemas.openxmlformats.org/officeDocument/2006/relationships/hyperlink" Target="https://techcombank.com/thong-tin/blog/no-xau-nhom-2" TargetMode="External"/><Relationship Id="rId817" Type="http://schemas.openxmlformats.org/officeDocument/2006/relationships/hyperlink" Target="https://techcombank.com/thong-tin/blog/so-luong-the-tin-dung-noi-dia-dang-luu-hanh-da-tang-42-so-voi-cung-ky-nam-2022" TargetMode="External"/><Relationship Id="rId816" Type="http://schemas.openxmlformats.org/officeDocument/2006/relationships/hyperlink" Target="https://techcombank.com/thong-tin/blog/the-visa-ao-la-gi" TargetMode="External"/><Relationship Id="rId811" Type="http://schemas.openxmlformats.org/officeDocument/2006/relationships/hyperlink" Target="https://techcombank.com/thong-tin/blog/lam-the-thanh-toan-quoc-te" TargetMode="External"/><Relationship Id="rId810" Type="http://schemas.openxmlformats.org/officeDocument/2006/relationships/hyperlink" Target="https://techcombank.com/thong-tin/blog/thoi-gian-hoan-tien-the-tin-dung" TargetMode="External"/><Relationship Id="rId815" Type="http://schemas.openxmlformats.org/officeDocument/2006/relationships/hyperlink" Target="https://techcombank.com/thong-tin/blog/rut-tien-mat-tu-the-tin-dung" TargetMode="External"/><Relationship Id="rId814" Type="http://schemas.openxmlformats.org/officeDocument/2006/relationships/hyperlink" Target="https://techcombank.com/thong-tin/blog/the-tin-dung-phu-la-gi" TargetMode="External"/><Relationship Id="rId813" Type="http://schemas.openxmlformats.org/officeDocument/2006/relationships/hyperlink" Target="https://techcombank.com/thong-tin/blog/the-tin-dung-vip" TargetMode="External"/><Relationship Id="rId812" Type="http://schemas.openxmlformats.org/officeDocument/2006/relationships/hyperlink" Target="https://techcombank.com/thong-tin/blog/mat-the-tin-dung-co-lam-lai-duoc-khong" TargetMode="External"/><Relationship Id="rId1640" Type="http://schemas.openxmlformats.org/officeDocument/2006/relationships/hyperlink" Target="https://techcombank.com/thong-tin/blog/cua-hang-tien-loi" TargetMode="External"/><Relationship Id="rId1641" Type="http://schemas.openxmlformats.org/officeDocument/2006/relationships/hyperlink" Target="https://techcombank.com/thong-tin/blog/hieu-hiet-ve-tuan-thu-thue-cho-cac-doanh-nghiep-khoi-nghiep" TargetMode="External"/><Relationship Id="rId1675" Type="http://schemas.openxmlformats.org/officeDocument/2006/relationships/hyperlink" Target="https://techcombank.com/thong-tin/blog/ho-kinh-doanh-ca-the" TargetMode="External"/><Relationship Id="rId1676" Type="http://schemas.openxmlformats.org/officeDocument/2006/relationships/hyperlink" Target="https://techcombank.com/thong-tin/blog/cach-dang-ky-ma-so-thue-ho-kinh-doanh-online" TargetMode="External"/><Relationship Id="rId1677" Type="http://schemas.openxmlformats.org/officeDocument/2006/relationships/hyperlink" Target="https://techcombank.com/thong-tin/blog/ho-kinh-doanh-la-gi" TargetMode="External"/><Relationship Id="rId1678" Type="http://schemas.openxmlformats.org/officeDocument/2006/relationships/hyperlink" Target="https://techcombank.com/thong-tin/blog/thue-ho-kinh-doanh-2025" TargetMode="External"/><Relationship Id="rId1679" Type="http://schemas.openxmlformats.org/officeDocument/2006/relationships/hyperlink" Target="https://techcombank.com/thong-tin/blog/cach-tao-ma-qr" TargetMode="External"/><Relationship Id="rId849" Type="http://schemas.openxmlformats.org/officeDocument/2006/relationships/hyperlink" Target="https://techcombank.com/thong-tin/blog/the-tin-dung-quoc-te" TargetMode="External"/><Relationship Id="rId844" Type="http://schemas.openxmlformats.org/officeDocument/2006/relationships/hyperlink" Target="https://techcombank.com/thong-tin/blog/the-ghi-no-va-the-tin-dung" TargetMode="External"/><Relationship Id="rId843" Type="http://schemas.openxmlformats.org/officeDocument/2006/relationships/hyperlink" Target="https://techcombank.com/thong-tin/blog/tra-cuu-han-muc-the-tin-dung" TargetMode="External"/><Relationship Id="rId842" Type="http://schemas.openxmlformats.org/officeDocument/2006/relationships/hyperlink" Target="https://techcombank.com/thong-tin/blog/mua-truoc-tra-sau" TargetMode="External"/><Relationship Id="rId841" Type="http://schemas.openxmlformats.org/officeDocument/2006/relationships/hyperlink" Target="https://techcombank.com/thong-tin/blog/the-visa-co-can-mat-khau-khong" TargetMode="External"/><Relationship Id="rId848" Type="http://schemas.openxmlformats.org/officeDocument/2006/relationships/hyperlink" Target="https://techcombank.com/thong-tin/blog/ma-buu-chinh-the-tin-dung" TargetMode="External"/><Relationship Id="rId847" Type="http://schemas.openxmlformats.org/officeDocument/2006/relationships/hyperlink" Target="https://techcombank.com/thong-tin/blog/co-nen-dung-the-tin-dung-khong" TargetMode="External"/><Relationship Id="rId846" Type="http://schemas.openxmlformats.org/officeDocument/2006/relationships/hyperlink" Target="https://techcombank.com/thong-tin/blog/cach-huy-the-tin-dung" TargetMode="External"/><Relationship Id="rId845" Type="http://schemas.openxmlformats.org/officeDocument/2006/relationships/hyperlink" Target="https://techcombank.com/thong-tin/blog/the-tin-dung-het-han" TargetMode="External"/><Relationship Id="rId1670" Type="http://schemas.openxmlformats.org/officeDocument/2006/relationships/hyperlink" Target="https://techcombank.com/thong-tin/blog/cach-chuyen-tien-qua-ma-qr-techcombank" TargetMode="External"/><Relationship Id="rId840" Type="http://schemas.openxmlformats.org/officeDocument/2006/relationships/hyperlink" Target="https://techcombank.com/thong-tin/blog/mua-iphone-17" TargetMode="External"/><Relationship Id="rId1671" Type="http://schemas.openxmlformats.org/officeDocument/2006/relationships/hyperlink" Target="https://techcombank.com/thong-tin/blog/thanh-toan-qr-thai-lan" TargetMode="External"/><Relationship Id="rId1672" Type="http://schemas.openxmlformats.org/officeDocument/2006/relationships/hyperlink" Target="https://techcombank.com/thong-tin/blog/ho-kinh-doanh-can-gi-o-tai-khoan-ngan-hang" TargetMode="External"/><Relationship Id="rId1673" Type="http://schemas.openxmlformats.org/officeDocument/2006/relationships/hyperlink" Target="https://techcombank.com/thong-tin/blog/thanh-lap-ho-kinh-doanh-ca-the" TargetMode="External"/><Relationship Id="rId1674" Type="http://schemas.openxmlformats.org/officeDocument/2006/relationships/hyperlink" Target="https://techcombank.com/thong-tin/blog/khai-bao-tai-khoan-ngan-hang-voi-co-quan-thue" TargetMode="External"/><Relationship Id="rId1664" Type="http://schemas.openxmlformats.org/officeDocument/2006/relationships/hyperlink" Target="https://techcombank.com/thong-tin/blog/thanh-toan-ma-qr-tro-thanh-phuong-thuc-duoc-ua-chuong-va-trien-khai-manh-me" TargetMode="External"/><Relationship Id="rId1665" Type="http://schemas.openxmlformats.org/officeDocument/2006/relationships/hyperlink" Target="https://techcombank.com/thong-tin/blog/qr-code-phuong-thuc-thanh-toan-toi-uu-trong-ky-nguyen-so" TargetMode="External"/><Relationship Id="rId1666" Type="http://schemas.openxmlformats.org/officeDocument/2006/relationships/hyperlink" Target="https://techcombank.com/thong-tin/blog/rut-tien-bang-ma-qr-la-gi-cach-thuc-hien-nhu-the-nao" TargetMode="External"/><Relationship Id="rId1667" Type="http://schemas.openxmlformats.org/officeDocument/2006/relationships/hyperlink" Target="https://techcombank.com/thong-tin/blog/cach-chuyen-khoan-bang-dien-thoai" TargetMode="External"/><Relationship Id="rId1668" Type="http://schemas.openxmlformats.org/officeDocument/2006/relationships/hyperlink" Target="https://techcombank.com/thong-tin/blog/cach-rut-tien-atm" TargetMode="External"/><Relationship Id="rId1669" Type="http://schemas.openxmlformats.org/officeDocument/2006/relationships/hyperlink" Target="https://techcombank.com/thong-tin/blog/cach-chuyen-tien" TargetMode="External"/><Relationship Id="rId839" Type="http://schemas.openxmlformats.org/officeDocument/2006/relationships/hyperlink" Target="https://techcombank.com/thong-tin/blog/cach-lam-the-ngan-hang-chay-quang-cao-facebook" TargetMode="External"/><Relationship Id="rId838" Type="http://schemas.openxmlformats.org/officeDocument/2006/relationships/hyperlink" Target="https://techcombank.com/thong-tin/blog/so-cvv-la-gi" TargetMode="External"/><Relationship Id="rId833" Type="http://schemas.openxmlformats.org/officeDocument/2006/relationships/hyperlink" Target="https://techcombank.com/thong-tin/blog/mm-yy-la-gi" TargetMode="External"/><Relationship Id="rId832" Type="http://schemas.openxmlformats.org/officeDocument/2006/relationships/hyperlink" Target="https://techcombank.com/thong-tin/blog/tai-khoan-doanh-nghiep-co-the-khong" TargetMode="External"/><Relationship Id="rId831" Type="http://schemas.openxmlformats.org/officeDocument/2006/relationships/hyperlink" Target="https://techcombank.com/thong-tin/blog/mo-the-tin-dung-co-loi-ich-gi" TargetMode="External"/><Relationship Id="rId830" Type="http://schemas.openxmlformats.org/officeDocument/2006/relationships/hyperlink" Target="https://techcombank.com/thong-tin/blog/cac-loai-the-tin-dung" TargetMode="External"/><Relationship Id="rId837" Type="http://schemas.openxmlformats.org/officeDocument/2006/relationships/hyperlink" Target="https://techcombank.com/thong-tin/blog/mat-the-tin-dung-co-bi-mat-tien-khong" TargetMode="External"/><Relationship Id="rId836" Type="http://schemas.openxmlformats.org/officeDocument/2006/relationships/hyperlink" Target="https://techcombank.com/thong-tin/blog/uu-dai-mua-ve-may-bay-bang-the-tin-dung" TargetMode="External"/><Relationship Id="rId835" Type="http://schemas.openxmlformats.org/officeDocument/2006/relationships/hyperlink" Target="https://techcombank.com/thong-tin/blog/the-tin-dung-mien-phi-thuong-nien" TargetMode="External"/><Relationship Id="rId834" Type="http://schemas.openxmlformats.org/officeDocument/2006/relationships/hyperlink" Target="https://techcombank.com/thong-tin/blog/uu-dai-the-tin-dung-techcombank-signature" TargetMode="External"/><Relationship Id="rId1660" Type="http://schemas.openxmlformats.org/officeDocument/2006/relationships/hyperlink" Target="https://techcombank.com/thong-tin/blog/thanh-toan-bang-ma-qr" TargetMode="External"/><Relationship Id="rId1661" Type="http://schemas.openxmlformats.org/officeDocument/2006/relationships/hyperlink" Target="https://techcombank.com/thong-tin/blog/cach-tao-ma-qr-code-mien-phi" TargetMode="External"/><Relationship Id="rId1662" Type="http://schemas.openxmlformats.org/officeDocument/2006/relationships/hyperlink" Target="https://techcombank.com/thong-tin/blog/qr-dong" TargetMode="External"/><Relationship Id="rId1663" Type="http://schemas.openxmlformats.org/officeDocument/2006/relationships/hyperlink" Target="https://techcombank.com/thong-tin/blog/rut-tien-bang-ma-qr-khac-ngan-hang-duoc-khong" TargetMode="External"/><Relationship Id="rId2148" Type="http://schemas.openxmlformats.org/officeDocument/2006/relationships/hyperlink" Target="https://techcombank.com/thong-tin/blog/cho-vay-hop-von-la-gi" TargetMode="External"/><Relationship Id="rId2149" Type="http://schemas.openxmlformats.org/officeDocument/2006/relationships/hyperlink" Target="https://techcombank.com/thong-tin/blog/cac-sai-lam-pho-bien-khi-chuyen-doi-ho-kinh-doanh-len-sme" TargetMode="External"/><Relationship Id="rId469" Type="http://schemas.openxmlformats.org/officeDocument/2006/relationships/hyperlink" Target="https://techcombank.com/thong-tin/blog/hoc-cach-tiet-kiem-tien-luong" TargetMode="External"/><Relationship Id="rId468" Type="http://schemas.openxmlformats.org/officeDocument/2006/relationships/hyperlink" Target="https://techcombank.com/thong-tin/blog/the-tin-dung-phu-la-gi" TargetMode="External"/><Relationship Id="rId467" Type="http://schemas.openxmlformats.org/officeDocument/2006/relationships/hyperlink" Target="https://techcombank.com/thong-tin/blog/ngan-hang-so" TargetMode="External"/><Relationship Id="rId1290" Type="http://schemas.openxmlformats.org/officeDocument/2006/relationships/hyperlink" Target="https://techcombank.com/thong-tin/blog/1000-won-bang-bao-nhieu-tien-viet" TargetMode="External"/><Relationship Id="rId1291" Type="http://schemas.openxmlformats.org/officeDocument/2006/relationships/hyperlink" Target="https://techcombank.com/thong-tin/blog/thanh-toan-khi-du-lich-han-quoc" TargetMode="External"/><Relationship Id="rId1292" Type="http://schemas.openxmlformats.org/officeDocument/2006/relationships/hyperlink" Target="https://techcombank.com/thong-tin/blog/chuyen-tien-tu-han-sang-viet-nam" TargetMode="External"/><Relationship Id="rId462" Type="http://schemas.openxmlformats.org/officeDocument/2006/relationships/hyperlink" Target="https://techcombank.com/thong-tin/blog/vay-tien-online" TargetMode="External"/><Relationship Id="rId1293" Type="http://schemas.openxmlformats.org/officeDocument/2006/relationships/hyperlink" Target="https://techcombank.com/thong-tin/blog/ty-gia-cac-ngan-hang" TargetMode="External"/><Relationship Id="rId2140" Type="http://schemas.openxmlformats.org/officeDocument/2006/relationships/hyperlink" Target="https://techcombank.com/thong-tin/blog/vnd-to-myr" TargetMode="External"/><Relationship Id="rId461" Type="http://schemas.openxmlformats.org/officeDocument/2006/relationships/hyperlink" Target="https://techcombank.com/thong-tin/blog/ung-dung-cong-nghe" TargetMode="External"/><Relationship Id="rId1294" Type="http://schemas.openxmlformats.org/officeDocument/2006/relationships/hyperlink" Target="https://techcombank.com/thong-tin/blog/1-van-tien-dai-loan-bang-bao-nhieu-tien-viet" TargetMode="External"/><Relationship Id="rId2141" Type="http://schemas.openxmlformats.org/officeDocument/2006/relationships/hyperlink" Target="https://techcombank.com/thong-tin/blog/co-nen-gui-tiet-kiem-online" TargetMode="External"/><Relationship Id="rId460" Type="http://schemas.openxmlformats.org/officeDocument/2006/relationships/hyperlink" Target="https://techcombank.com/thong-tin/blog/thoi-gian-hoan-tien-the-tin-dung" TargetMode="External"/><Relationship Id="rId1295" Type="http://schemas.openxmlformats.org/officeDocument/2006/relationships/hyperlink" Target="https://techcombank.com/thong-tin/blog/ngoai-te-la-gi" TargetMode="External"/><Relationship Id="rId2142" Type="http://schemas.openxmlformats.org/officeDocument/2006/relationships/hyperlink" Target="https://techcombank.com/thong-tin/blog/gui-tiet-kiem-online-bi-mat-tien" TargetMode="External"/><Relationship Id="rId1296" Type="http://schemas.openxmlformats.org/officeDocument/2006/relationships/hyperlink" Target="https://techcombank.com/thong-tin/blog/ty-gia-cac-ngan-hang" TargetMode="External"/><Relationship Id="rId2143" Type="http://schemas.openxmlformats.org/officeDocument/2006/relationships/hyperlink" Target="https://techcombank.com/thong-tin/blog/kinh-nghiem-gui-tiet-kiem-online" TargetMode="External"/><Relationship Id="rId466" Type="http://schemas.openxmlformats.org/officeDocument/2006/relationships/hyperlink" Target="https://techcombank.com/thong-tin/blog/hu-chi-tieu" TargetMode="External"/><Relationship Id="rId1297" Type="http://schemas.openxmlformats.org/officeDocument/2006/relationships/hyperlink" Target="https://techcombank.com/thong-tin/blog/han-muc-mua-ngoai-te-khi-di-du-lich" TargetMode="External"/><Relationship Id="rId2144" Type="http://schemas.openxmlformats.org/officeDocument/2006/relationships/hyperlink" Target="https://techcombank.com/thong-tin/blog/cach-gui-tiet-kiem-online" TargetMode="External"/><Relationship Id="rId465" Type="http://schemas.openxmlformats.org/officeDocument/2006/relationships/hyperlink" Target="https://techcombank.com/thong-tin/blog/6-chiec-lo-tai-chinh-ca-nhan" TargetMode="External"/><Relationship Id="rId1298" Type="http://schemas.openxmlformats.org/officeDocument/2006/relationships/hyperlink" Target="https://techcombank.com/thong-tin/blog/shang-chi" TargetMode="External"/><Relationship Id="rId2145" Type="http://schemas.openxmlformats.org/officeDocument/2006/relationships/hyperlink" Target="https://techcombank.com/thong-tin/blog/rui-ro-khi-gui-tiet-kiem-ngan-hang" TargetMode="External"/><Relationship Id="rId464" Type="http://schemas.openxmlformats.org/officeDocument/2006/relationships/hyperlink" Target="https://techcombank.com/thong-tin/blog/mo-the-tin-dung-khong-can-chung-minh-thu-nhap" TargetMode="External"/><Relationship Id="rId1299" Type="http://schemas.openxmlformats.org/officeDocument/2006/relationships/hyperlink" Target="https://techcombank.com/thong-tin/blog/tien-nhat" TargetMode="External"/><Relationship Id="rId2146" Type="http://schemas.openxmlformats.org/officeDocument/2006/relationships/hyperlink" Target="https://techcombank.com/thong-tin/blog/tra-luong-tien-mat" TargetMode="External"/><Relationship Id="rId463" Type="http://schemas.openxmlformats.org/officeDocument/2006/relationships/hyperlink" Target="https://techcombank.com/thong-tin/blog/the-visa-co-may-loai" TargetMode="External"/><Relationship Id="rId2147" Type="http://schemas.openxmlformats.org/officeDocument/2006/relationships/hyperlink" Target="https://techcombank.com/thong-tin/blog/due-diligence" TargetMode="External"/><Relationship Id="rId2137" Type="http://schemas.openxmlformats.org/officeDocument/2006/relationships/hyperlink" Target="https://techcombank.com/thong-tin/blog/thanh-toan-khi-du-lich-han-quoc" TargetMode="External"/><Relationship Id="rId2138" Type="http://schemas.openxmlformats.org/officeDocument/2006/relationships/hyperlink" Target="https://techcombank.com/thong-tin/blog/thanh-toan-khi-du-lich-hong-kong" TargetMode="External"/><Relationship Id="rId2139" Type="http://schemas.openxmlformats.org/officeDocument/2006/relationships/hyperlink" Target="https://techcombank.com/thong-tin/blog/thanh-toan-khi-du-lich-singapore" TargetMode="External"/><Relationship Id="rId459" Type="http://schemas.openxmlformats.org/officeDocument/2006/relationships/hyperlink" Target="https://techcombank.com/thong-tin/blog/the-debit-cho-con" TargetMode="External"/><Relationship Id="rId458" Type="http://schemas.openxmlformats.org/officeDocument/2006/relationships/hyperlink" Target="https://techcombank.com/thong-tin/blog/mo-the-tin-dung-chi-can-cccd" TargetMode="External"/><Relationship Id="rId457" Type="http://schemas.openxmlformats.org/officeDocument/2006/relationships/hyperlink" Target="https://techcombank.com/thong-tin/blog/cach-tiet-kiem-tien" TargetMode="External"/><Relationship Id="rId456" Type="http://schemas.openxmlformats.org/officeDocument/2006/relationships/hyperlink" Target="https://techcombank.com/thong-tin/blog/nang-han-muc-tin-dung" TargetMode="External"/><Relationship Id="rId1280" Type="http://schemas.openxmlformats.org/officeDocument/2006/relationships/hyperlink" Target="https://techcombank.com/thong-tin/blog/han-muc-mua-ngoai-te-khi-di-du-lich" TargetMode="External"/><Relationship Id="rId1281" Type="http://schemas.openxmlformats.org/officeDocument/2006/relationships/hyperlink" Target="https://techcombank.com/thong-tin/blog/1000-yen-bang-bao-nhieu-tien-viet" TargetMode="External"/><Relationship Id="rId451" Type="http://schemas.openxmlformats.org/officeDocument/2006/relationships/hyperlink" Target="https://techcombank.com/thong-tin/blog/mo-the-tin-dung-han-muc-cao" TargetMode="External"/><Relationship Id="rId1282" Type="http://schemas.openxmlformats.org/officeDocument/2006/relationships/hyperlink" Target="https://techcombank.com/thong-tin/blog/1000-yen-bang-bao-nhieu-tien-viet" TargetMode="External"/><Relationship Id="rId450" Type="http://schemas.openxmlformats.org/officeDocument/2006/relationships/hyperlink" Target="https://techcombank.com/thong-tin/blog/phan-mem-lap-ke-hoach-tai-chinh-ca-nhan" TargetMode="External"/><Relationship Id="rId1283" Type="http://schemas.openxmlformats.org/officeDocument/2006/relationships/hyperlink" Target="https://techcombank.com/thong-tin/blog/tien-nhat" TargetMode="External"/><Relationship Id="rId2130" Type="http://schemas.openxmlformats.org/officeDocument/2006/relationships/hyperlink" Target="https://techcombank.com/thong-tin/blog/the-tin-dung-phu-la-gi" TargetMode="External"/><Relationship Id="rId1284" Type="http://schemas.openxmlformats.org/officeDocument/2006/relationships/hyperlink" Target="https://techcombank.com/thong-tin/blog/1-man-bang-bao-nhieu-tien-viet" TargetMode="External"/><Relationship Id="rId2131" Type="http://schemas.openxmlformats.org/officeDocument/2006/relationships/hyperlink" Target="https://techcombank.com/thong-tin/blog/cach-tiet-kiem-tien-sinh-loi" TargetMode="External"/><Relationship Id="rId1285" Type="http://schemas.openxmlformats.org/officeDocument/2006/relationships/hyperlink" Target="https://techcombank.com/thong-tin/blog/chuyen-tien-tu-nhat-ve-viet-nam" TargetMode="External"/><Relationship Id="rId2132" Type="http://schemas.openxmlformats.org/officeDocument/2006/relationships/hyperlink" Target="https://techcombank.com/thong-tin/blog/han-muc-tra-gop-the-tin-dung" TargetMode="External"/><Relationship Id="rId455" Type="http://schemas.openxmlformats.org/officeDocument/2006/relationships/hyperlink" Target="https://techcombank.com/thong-tin/blog/cashback-the-thanh-toan" TargetMode="External"/><Relationship Id="rId1286" Type="http://schemas.openxmlformats.org/officeDocument/2006/relationships/hyperlink" Target="https://techcombank.com/thong-tin/blog/chixmax" TargetMode="External"/><Relationship Id="rId2133" Type="http://schemas.openxmlformats.org/officeDocument/2006/relationships/hyperlink" Target="https://techcombank.com/thong-tin/blog/lap-ke-hoach-chi-tieu-ca-nhan" TargetMode="External"/><Relationship Id="rId454" Type="http://schemas.openxmlformats.org/officeDocument/2006/relationships/hyperlink" Target="https://techcombank.com/thong-tin/blog/sao-ke-the-tin-dung-la-gi" TargetMode="External"/><Relationship Id="rId1287" Type="http://schemas.openxmlformats.org/officeDocument/2006/relationships/hyperlink" Target="https://techcombank.com/thong-tin/blog/han-muc-mua-ngoai-te-khi-di-du-lich" TargetMode="External"/><Relationship Id="rId2134" Type="http://schemas.openxmlformats.org/officeDocument/2006/relationships/hyperlink" Target="https://techcombank.com/thong-tin/blog/the-debit" TargetMode="External"/><Relationship Id="rId453" Type="http://schemas.openxmlformats.org/officeDocument/2006/relationships/hyperlink" Target="https://techcombank.com/thong-tin/blog/app-quan-ly-chi-tieu" TargetMode="External"/><Relationship Id="rId1288" Type="http://schemas.openxmlformats.org/officeDocument/2006/relationships/hyperlink" Target="https://techcombank.com/thong-tin/blog/thanh-toan-khi-du-lich-nhat-ban" TargetMode="External"/><Relationship Id="rId2135" Type="http://schemas.openxmlformats.org/officeDocument/2006/relationships/hyperlink" Target="https://techcombank.com/thong-tin/blog/thanh-toan-bang-the-quoc-te" TargetMode="External"/><Relationship Id="rId452" Type="http://schemas.openxmlformats.org/officeDocument/2006/relationships/hyperlink" Target="https://techcombank.com/thong-tin/blog/uu-dai-the-tin-dung" TargetMode="External"/><Relationship Id="rId1289" Type="http://schemas.openxmlformats.org/officeDocument/2006/relationships/hyperlink" Target="https://techcombank.com/thong-tin/blog/1-trieu-won-bang-bao-nhieu-tien-viet" TargetMode="External"/><Relationship Id="rId2136" Type="http://schemas.openxmlformats.org/officeDocument/2006/relationships/hyperlink" Target="https://techcombank.com/thong-tin/blog/cach-quan-ly-tai-chinh-kinh-doanh" TargetMode="External"/><Relationship Id="rId491" Type="http://schemas.openxmlformats.org/officeDocument/2006/relationships/hyperlink" Target="https://techcombank.com/thong-tin/blog/tra-cuu-no-thue-ca-nhan" TargetMode="External"/><Relationship Id="rId490" Type="http://schemas.openxmlformats.org/officeDocument/2006/relationships/hyperlink" Target="https://techcombank.com/thong-tin/blog/y-nghia-so-68" TargetMode="External"/><Relationship Id="rId489" Type="http://schemas.openxmlformats.org/officeDocument/2006/relationships/hyperlink" Target="https://techcombank.com/thong-tin/blog/so-8386" TargetMode="External"/><Relationship Id="rId2160" Type="http://schemas.openxmlformats.org/officeDocument/2006/relationships/hyperlink" Target="https://techcombank.com/thong-tin/blog/tai-sao-gui-tiet-kiem-online-lai-suat-cao-hon" TargetMode="External"/><Relationship Id="rId2161" Type="http://schemas.openxmlformats.org/officeDocument/2006/relationships/hyperlink" Target="https://techcombank.com/thong-tin/blog/rui-ro-khi-vay-the-chap-ngan-hang" TargetMode="External"/><Relationship Id="rId484" Type="http://schemas.openxmlformats.org/officeDocument/2006/relationships/hyperlink" Target="https://techcombank.com/thong-tin/blog/co-nen-mua-so-tai-khoan-ngan-hang-dep" TargetMode="External"/><Relationship Id="rId2162" Type="http://schemas.openxmlformats.org/officeDocument/2006/relationships/hyperlink" Target="https://techcombank.com/thong-tin/blog/the-atm-khong-rut-duoc-tien" TargetMode="External"/><Relationship Id="rId483" Type="http://schemas.openxmlformats.org/officeDocument/2006/relationships/hyperlink" Target="https://techcombank.com/thong-tin/blog/li-xi-so-dep" TargetMode="External"/><Relationship Id="rId2163" Type="http://schemas.openxmlformats.org/officeDocument/2006/relationships/hyperlink" Target="https://techcombank.com/thong-tin/blog/phuong-phap-dau-tu-chung-chi-quy" TargetMode="External"/><Relationship Id="rId482" Type="http://schemas.openxmlformats.org/officeDocument/2006/relationships/hyperlink" Target="https://techcombank.com/thong-tin/blog/cach-chon-so-tai-khoan-dep" TargetMode="External"/><Relationship Id="rId2164" Type="http://schemas.openxmlformats.org/officeDocument/2006/relationships/hyperlink" Target="https://techcombank.com/thong-tin/blog/gia-chung-chi-quy-la-gi" TargetMode="External"/><Relationship Id="rId481" Type="http://schemas.openxmlformats.org/officeDocument/2006/relationships/hyperlink" Target="https://techcombank.com/thong-tin/blog/so-tai-khoan-dep" TargetMode="External"/><Relationship Id="rId2165" Type="http://schemas.openxmlformats.org/officeDocument/2006/relationships/hyperlink" Target="https://techcombank.com/thong-tin/blog/chung-chi-quy-va-chung-khoan" TargetMode="External"/><Relationship Id="rId488" Type="http://schemas.openxmlformats.org/officeDocument/2006/relationships/hyperlink" Target="https://techcombank.com/thong-tin/blog/66666-co-y-nghia-gi" TargetMode="External"/><Relationship Id="rId2166" Type="http://schemas.openxmlformats.org/officeDocument/2006/relationships/hyperlink" Target="https://techcombank.com/thong-tin/blog/danh-muc-dau-tu" TargetMode="External"/><Relationship Id="rId487" Type="http://schemas.openxmlformats.org/officeDocument/2006/relationships/hyperlink" Target="https://techcombank.com/thong-tin/blog/8868" TargetMode="External"/><Relationship Id="rId2167" Type="http://schemas.openxmlformats.org/officeDocument/2006/relationships/hyperlink" Target="https://techcombank.com/thong-tin/blog/cach-khoa-the-ngan-hang" TargetMode="External"/><Relationship Id="rId486" Type="http://schemas.openxmlformats.org/officeDocument/2006/relationships/hyperlink" Target="https://techcombank.com/thong-tin/blog/sinh-loi-rinh-loc" TargetMode="External"/><Relationship Id="rId2168" Type="http://schemas.openxmlformats.org/officeDocument/2006/relationships/hyperlink" Target="https://techcombank.com/thong-tin/blog/cac-chung-chi-quy-o-viet-nam" TargetMode="External"/><Relationship Id="rId485" Type="http://schemas.openxmlformats.org/officeDocument/2006/relationships/hyperlink" Target="https://techcombank.com/thong-tin/blog/li-xi-tet" TargetMode="External"/><Relationship Id="rId2169" Type="http://schemas.openxmlformats.org/officeDocument/2006/relationships/hyperlink" Target="https://techcombank.com/thong-tin/blog/mo-tai-khoan-ngan-hang-online-co-an-toan-khong" TargetMode="External"/><Relationship Id="rId2159" Type="http://schemas.openxmlformats.org/officeDocument/2006/relationships/hyperlink" Target="https://techcombank.com/thong-tin/blog/lo-so-tai-khoan-ngan-hang-co-sao-khong" TargetMode="External"/><Relationship Id="rId480" Type="http://schemas.openxmlformats.org/officeDocument/2006/relationships/hyperlink" Target="https://techcombank.com/thong-tin/blog/so-6868" TargetMode="External"/><Relationship Id="rId479" Type="http://schemas.openxmlformats.org/officeDocument/2006/relationships/hyperlink" Target="https://techcombank.com/thong-tin/blog/88-la-gi" TargetMode="External"/><Relationship Id="rId478" Type="http://schemas.openxmlformats.org/officeDocument/2006/relationships/hyperlink" Target="https://techcombank.com/thong-tin/blog/vnd-to-myr" TargetMode="External"/><Relationship Id="rId2150" Type="http://schemas.openxmlformats.org/officeDocument/2006/relationships/hyperlink" Target="https://techcombank.com/thong-tin/blog/tinh-thanh-khoan-la-gi" TargetMode="External"/><Relationship Id="rId473" Type="http://schemas.openxmlformats.org/officeDocument/2006/relationships/hyperlink" Target="https://techcombank.com/thong-tin/blog/the-debit" TargetMode="External"/><Relationship Id="rId2151" Type="http://schemas.openxmlformats.org/officeDocument/2006/relationships/hyperlink" Target="https://techcombank.com/thong-tin/blog/phat-cham-dang-ky-thue-ho-kinh-doanh" TargetMode="External"/><Relationship Id="rId472" Type="http://schemas.openxmlformats.org/officeDocument/2006/relationships/hyperlink" Target="https://techcombank.com/thong-tin/blog/han-muc-tra-gop-the-tin-dung" TargetMode="External"/><Relationship Id="rId2152" Type="http://schemas.openxmlformats.org/officeDocument/2006/relationships/hyperlink" Target="https://techcombank.com/thong-tin/blog/quy-trinh-gui-tien-tiet-kiem" TargetMode="External"/><Relationship Id="rId471" Type="http://schemas.openxmlformats.org/officeDocument/2006/relationships/hyperlink" Target="https://techcombank.com/thong-tin/blog/vay-the-chap-khong-chung-minh-thu-nhap" TargetMode="External"/><Relationship Id="rId2153" Type="http://schemas.openxmlformats.org/officeDocument/2006/relationships/hyperlink" Target="https://techcombank.com/thong-tin/blog/vay-the-chap-khong-tra-duoc" TargetMode="External"/><Relationship Id="rId470" Type="http://schemas.openxmlformats.org/officeDocument/2006/relationships/hyperlink" Target="https://techcombank.com/thong-tin/blog/cach-kiem-tra-tai-khoan-ngan-hang" TargetMode="External"/><Relationship Id="rId2154" Type="http://schemas.openxmlformats.org/officeDocument/2006/relationships/hyperlink" Target="https://techcombank.com/thong-tin/blog/phan-bo-tai-san" TargetMode="External"/><Relationship Id="rId477" Type="http://schemas.openxmlformats.org/officeDocument/2006/relationships/hyperlink" Target="https://techcombank.com/thong-tin/blog/thanh-toan-khi-du-lich-singapore" TargetMode="External"/><Relationship Id="rId2155" Type="http://schemas.openxmlformats.org/officeDocument/2006/relationships/hyperlink" Target="https://techcombank.com/thong-tin/blog/vay-the-chap-so-bao-hiem-xa-hoi" TargetMode="External"/><Relationship Id="rId476" Type="http://schemas.openxmlformats.org/officeDocument/2006/relationships/hyperlink" Target="https://techcombank.com/thong-tin/blog/thanh-toan-khi-du-lich-hong-kong" TargetMode="External"/><Relationship Id="rId2156" Type="http://schemas.openxmlformats.org/officeDocument/2006/relationships/hyperlink" Target="https://techcombank.com/thong-tin/blog/mat-the-tin-dung-co-bi-mat-tien-khong" TargetMode="External"/><Relationship Id="rId475" Type="http://schemas.openxmlformats.org/officeDocument/2006/relationships/hyperlink" Target="https://techcombank.com/thong-tin/blog/thanh-toan-khi-du-lich-han-quoc" TargetMode="External"/><Relationship Id="rId2157" Type="http://schemas.openxmlformats.org/officeDocument/2006/relationships/hyperlink" Target="https://techcombank.com/thong-tin/blog/chung-chi-quy-va-co-phieu" TargetMode="External"/><Relationship Id="rId474" Type="http://schemas.openxmlformats.org/officeDocument/2006/relationships/hyperlink" Target="https://techcombank.com/thong-tin/blog/thanh-toan-bang-the-quoc-te" TargetMode="External"/><Relationship Id="rId2158" Type="http://schemas.openxmlformats.org/officeDocument/2006/relationships/hyperlink" Target="https://techcombank.com/thong-tin/blog/gui-tiet-kiem-vang" TargetMode="External"/><Relationship Id="rId1257" Type="http://schemas.openxmlformats.org/officeDocument/2006/relationships/hyperlink" Target="https://techcombank.com/thong-tin/blog/chuyen-tien-tu-nhat-ve-viet-nam" TargetMode="External"/><Relationship Id="rId2104" Type="http://schemas.openxmlformats.org/officeDocument/2006/relationships/hyperlink" Target="https://techcombank.com/thong-tin/blog/mo-the-tin-dung-han-muc-cao" TargetMode="External"/><Relationship Id="rId1258" Type="http://schemas.openxmlformats.org/officeDocument/2006/relationships/hyperlink" Target="https://techcombank.com/thong-tin/blog/1000-won-bang-bao-nhieu-tien-viet" TargetMode="External"/><Relationship Id="rId2105" Type="http://schemas.openxmlformats.org/officeDocument/2006/relationships/hyperlink" Target="https://techcombank.com/thong-tin/blog/uu-dai-the-tin-dung" TargetMode="External"/><Relationship Id="rId1259" Type="http://schemas.openxmlformats.org/officeDocument/2006/relationships/hyperlink" Target="https://techcombank.com/thong-tin/blog/tien-dai-loan" TargetMode="External"/><Relationship Id="rId2106" Type="http://schemas.openxmlformats.org/officeDocument/2006/relationships/hyperlink" Target="https://techcombank.com/thong-tin/blog/nguyen-tac-quan-ly-tai-chinh-ca-nhan" TargetMode="External"/><Relationship Id="rId2107" Type="http://schemas.openxmlformats.org/officeDocument/2006/relationships/hyperlink" Target="https://techcombank.com/thong-tin/blog/danh-muc-dau-tu" TargetMode="External"/><Relationship Id="rId2108" Type="http://schemas.openxmlformats.org/officeDocument/2006/relationships/hyperlink" Target="https://techcombank.com/thong-tin/blog/vay-100-trieu" TargetMode="External"/><Relationship Id="rId2109" Type="http://schemas.openxmlformats.org/officeDocument/2006/relationships/hyperlink" Target="https://techcombank.com/thong-tin/blog/quy-du-phong-tai-chinh-la-gi" TargetMode="External"/><Relationship Id="rId426" Type="http://schemas.openxmlformats.org/officeDocument/2006/relationships/hyperlink" Target="https://techcombank.com/thong-tin/blog/cach-rut-tien-atm" TargetMode="External"/><Relationship Id="rId425" Type="http://schemas.openxmlformats.org/officeDocument/2006/relationships/hyperlink" Target="https://techcombank.com/thong-tin/blog/1-nguoi-co-the-lam-duoc-bao-nhieu-the-atm" TargetMode="External"/><Relationship Id="rId424" Type="http://schemas.openxmlformats.org/officeDocument/2006/relationships/hyperlink" Target="https://techcombank.com/thong-tin/blog/ma-pin-the-atm" TargetMode="External"/><Relationship Id="rId423" Type="http://schemas.openxmlformats.org/officeDocument/2006/relationships/hyperlink" Target="https://techcombank.com/thong-tin/blog/bi-nuot-the-atm-phai-lam-sao" TargetMode="External"/><Relationship Id="rId429" Type="http://schemas.openxmlformats.org/officeDocument/2006/relationships/hyperlink" Target="https://techcombank.com/thong-tin/blog/1-cmnd-dang-ky-duoc-may-tai-khoan-ngan-hang" TargetMode="External"/><Relationship Id="rId428" Type="http://schemas.openxmlformats.org/officeDocument/2006/relationships/hyperlink" Target="https://techcombank.com/thong-tin/blog/atm-la-gi" TargetMode="External"/><Relationship Id="rId427" Type="http://schemas.openxmlformats.org/officeDocument/2006/relationships/hyperlink" Target="https://techcombank.com/thong-tin/blog/cach-kich-hoat-the-atm" TargetMode="External"/><Relationship Id="rId1250" Type="http://schemas.openxmlformats.org/officeDocument/2006/relationships/hyperlink" Target="https://techcombank.com/thong-tin/blog/tai-khoan-ngan-hang-la-gi" TargetMode="External"/><Relationship Id="rId1251" Type="http://schemas.openxmlformats.org/officeDocument/2006/relationships/hyperlink" Target="https://techcombank.com/thong-tin/blog/di-du-lich-nuoc-ngoai-can-chuan-bi-gi" TargetMode="External"/><Relationship Id="rId1252" Type="http://schemas.openxmlformats.org/officeDocument/2006/relationships/hyperlink" Target="https://techcombank.com/thong-tin/blog/quy-dinh-ve-mua-ban-ngoai-te-cua-doanh-nghiep" TargetMode="External"/><Relationship Id="rId422" Type="http://schemas.openxmlformats.org/officeDocument/2006/relationships/hyperlink" Target="https://techcombank.com/thong-tin/blog/rut-tien-bang-ma-qr-la-gi-cach-thuc-hien-nhu-the-nao" TargetMode="External"/><Relationship Id="rId1253" Type="http://schemas.openxmlformats.org/officeDocument/2006/relationships/hyperlink" Target="https://techcombank.com/thong-tin/blog/chuyen-tien-tu-duc-ve-viet-nam" TargetMode="External"/><Relationship Id="rId2100" Type="http://schemas.openxmlformats.org/officeDocument/2006/relationships/hyperlink" Target="https://techcombank.com/thong-tin/blog/tiet-kiem-khi-di-du-lich" TargetMode="External"/><Relationship Id="rId421" Type="http://schemas.openxmlformats.org/officeDocument/2006/relationships/hyperlink" Target="https://techcombank.com/thong-tin/blog/the-atm-gan-chip" TargetMode="External"/><Relationship Id="rId1254" Type="http://schemas.openxmlformats.org/officeDocument/2006/relationships/hyperlink" Target="https://techcombank.com/thong-tin/blog/cach-nhan-tien-tu-nuoc-ngoai-ve-viet-nam" TargetMode="External"/><Relationship Id="rId2101" Type="http://schemas.openxmlformats.org/officeDocument/2006/relationships/hyperlink" Target="https://techcombank.com/thong-tin/blog/cho-vay-tieu-dung-la-gi" TargetMode="External"/><Relationship Id="rId420" Type="http://schemas.openxmlformats.org/officeDocument/2006/relationships/hyperlink" Target="https://techcombank.com/thong-tin/blog/nap-tien-dien-thoai-online" TargetMode="External"/><Relationship Id="rId1255" Type="http://schemas.openxmlformats.org/officeDocument/2006/relationships/hyperlink" Target="https://techcombank.com/thong-tin/blog/ngoai-hoi-la-gi" TargetMode="External"/><Relationship Id="rId2102" Type="http://schemas.openxmlformats.org/officeDocument/2006/relationships/hyperlink" Target="https://techcombank.com/thong-tin/blog/nen-gui-tiet-kiem-6-thang-hay-1-nam" TargetMode="External"/><Relationship Id="rId1256" Type="http://schemas.openxmlformats.org/officeDocument/2006/relationships/hyperlink" Target="https://techcombank.com/thong-tin/blog/phi-chuyen-doi-ngoai-te" TargetMode="External"/><Relationship Id="rId2103" Type="http://schemas.openxmlformats.org/officeDocument/2006/relationships/hyperlink" Target="https://techcombank.com/thong-tin/blog/phan-mem-lap-ke-hoach-tai-chinh-ca-nhan" TargetMode="External"/><Relationship Id="rId1246" Type="http://schemas.openxmlformats.org/officeDocument/2006/relationships/hyperlink" Target="https://techcombank.com/thong-tin/blog/gui-tiet-kiem-ngoai-te" TargetMode="External"/><Relationship Id="rId1247" Type="http://schemas.openxmlformats.org/officeDocument/2006/relationships/hyperlink" Target="https://techcombank.com/thong-tin/blog/chuyen-tien-dinh-cu" TargetMode="External"/><Relationship Id="rId1248" Type="http://schemas.openxmlformats.org/officeDocument/2006/relationships/hyperlink" Target="https://techcombank.com/thong-tin/blog/han-muc-mua-ngoai-te-khi-di-du-lich" TargetMode="External"/><Relationship Id="rId1249" Type="http://schemas.openxmlformats.org/officeDocument/2006/relationships/hyperlink" Target="https://techcombank.com/thong-tin/blog/ngoai-te-la-gi" TargetMode="External"/><Relationship Id="rId415" Type="http://schemas.openxmlformats.org/officeDocument/2006/relationships/hyperlink" Target="https://techcombank.com/thong-tin/blog/the-visa-de-lam-gi" TargetMode="External"/><Relationship Id="rId899" Type="http://schemas.openxmlformats.org/officeDocument/2006/relationships/hyperlink" Target="https://techcombank.com/thong-tin/blog/khong-su-dung-the-tin-dung-co-mat-phi-khong" TargetMode="External"/><Relationship Id="rId414" Type="http://schemas.openxmlformats.org/officeDocument/2006/relationships/hyperlink" Target="https://techcombank.com/thong-tin/blog/tra-cuu-han-muc-the-tin-dung" TargetMode="External"/><Relationship Id="rId898" Type="http://schemas.openxmlformats.org/officeDocument/2006/relationships/hyperlink" Target="https://techcombank.com/thong-tin/blog/uu-dai-mua-iphone-18" TargetMode="External"/><Relationship Id="rId413" Type="http://schemas.openxmlformats.org/officeDocument/2006/relationships/hyperlink" Target="https://techcombank.com/thong-tin/blog/cach-lam-the-atm" TargetMode="External"/><Relationship Id="rId897" Type="http://schemas.openxmlformats.org/officeDocument/2006/relationships/hyperlink" Target="https://techcombank.com/thong-tin/blog/the-ghi-no-visa-la-gi" TargetMode="External"/><Relationship Id="rId412" Type="http://schemas.openxmlformats.org/officeDocument/2006/relationships/hyperlink" Target="https://techcombank.com/thong-tin/blog/rut-tien-bang-ma-qr-khac-ngan-hang-duoc-khong" TargetMode="External"/><Relationship Id="rId896" Type="http://schemas.openxmlformats.org/officeDocument/2006/relationships/hyperlink" Target="https://techcombank.com/thong-tin/blog/no-xau-nhom-2" TargetMode="External"/><Relationship Id="rId419" Type="http://schemas.openxmlformats.org/officeDocument/2006/relationships/hyperlink" Target="https://techcombank.com/thong-tin/blog/cach-thanh-toan-the-tin-dung" TargetMode="External"/><Relationship Id="rId418" Type="http://schemas.openxmlformats.org/officeDocument/2006/relationships/hyperlink" Target="https://techcombank.com/thong-tin/blog/cach-nap-the" TargetMode="External"/><Relationship Id="rId417" Type="http://schemas.openxmlformats.org/officeDocument/2006/relationships/hyperlink" Target="https://techcombank.com/thong-tin/blog/lam-the-atm-bao-lau-co" TargetMode="External"/><Relationship Id="rId416" Type="http://schemas.openxmlformats.org/officeDocument/2006/relationships/hyperlink" Target="https://techcombank.com/thong-tin/blog/the-atm-khong-rut-duoc-tien" TargetMode="External"/><Relationship Id="rId891" Type="http://schemas.openxmlformats.org/officeDocument/2006/relationships/hyperlink" Target="https://techcombank.com/thong-tin/blog/mo-the-tin-dung-khong-can-chung-minh-thu-nhap" TargetMode="External"/><Relationship Id="rId890" Type="http://schemas.openxmlformats.org/officeDocument/2006/relationships/hyperlink" Target="https://techcombank.com/thong-tin/blog/mat-the-tin-dung-co-lam-lai-duoc-khong" TargetMode="External"/><Relationship Id="rId1240" Type="http://schemas.openxmlformats.org/officeDocument/2006/relationships/hyperlink" Target="https://techcombank.com/thong-tin/blog/chung-chi-tien-gui-co-phai-la-trai-phieu-khong" TargetMode="External"/><Relationship Id="rId1241" Type="http://schemas.openxmlformats.org/officeDocument/2006/relationships/hyperlink" Target="https://techcombank.com/thong-tin/blog/chung-chi-tien-gui-co-an-toan-khong" TargetMode="External"/><Relationship Id="rId411" Type="http://schemas.openxmlformats.org/officeDocument/2006/relationships/hyperlink" Target="https://techcombank.com/thong-tin/blog/lam-the-atm-co-mat-phi-khong" TargetMode="External"/><Relationship Id="rId895" Type="http://schemas.openxmlformats.org/officeDocument/2006/relationships/hyperlink" Target="https://techcombank.com/thong-tin/blog/so-luong-the-tin-dung-noi-dia-dang-luu-hanh-da-tang-42-so-voi-cung-ky-nam-2022" TargetMode="External"/><Relationship Id="rId1242" Type="http://schemas.openxmlformats.org/officeDocument/2006/relationships/hyperlink" Target="https://techcombank.com/thong-tin/blog/tien-trung-quoc" TargetMode="External"/><Relationship Id="rId410" Type="http://schemas.openxmlformats.org/officeDocument/2006/relationships/hyperlink" Target="https://techcombank.com/thong-tin/blog/cach-su-dung-tai-khoan-cong-ty" TargetMode="External"/><Relationship Id="rId894" Type="http://schemas.openxmlformats.org/officeDocument/2006/relationships/hyperlink" Target="https://techcombank.com/thong-tin/blog/rut-tien-mat-tu-the-tin-dung" TargetMode="External"/><Relationship Id="rId1243" Type="http://schemas.openxmlformats.org/officeDocument/2006/relationships/hyperlink" Target="https://techcombank.com/thong-tin/blog/1-van-te-bang-bao-nhieu-tien-viet" TargetMode="External"/><Relationship Id="rId893" Type="http://schemas.openxmlformats.org/officeDocument/2006/relationships/hyperlink" Target="https://techcombank.com/thong-tin/blog/the-tin-dung-phu-la-gi" TargetMode="External"/><Relationship Id="rId1244" Type="http://schemas.openxmlformats.org/officeDocument/2006/relationships/hyperlink" Target="https://techcombank.com/thong-tin/blog/1000-te-bang-bao-nhieu-tien-viet" TargetMode="External"/><Relationship Id="rId892" Type="http://schemas.openxmlformats.org/officeDocument/2006/relationships/hyperlink" Target="https://techcombank.com/thong-tin/blog/the-tin-dung-vip" TargetMode="External"/><Relationship Id="rId1245" Type="http://schemas.openxmlformats.org/officeDocument/2006/relationships/hyperlink" Target="https://techcombank.com/thong-tin/blog/thanh-toan-khi-du-lich-trung-quoc" TargetMode="External"/><Relationship Id="rId1279" Type="http://schemas.openxmlformats.org/officeDocument/2006/relationships/hyperlink" Target="https://techcombank.com/thong-tin/blog/chixmax" TargetMode="External"/><Relationship Id="rId2126" Type="http://schemas.openxmlformats.org/officeDocument/2006/relationships/hyperlink" Target="https://techcombank.com/thong-tin/blog/6-chiec-lo-tai-chinh-ca-nhan" TargetMode="External"/><Relationship Id="rId2127" Type="http://schemas.openxmlformats.org/officeDocument/2006/relationships/hyperlink" Target="https://techcombank.com/thong-tin/blog/hu-chi-tieu" TargetMode="External"/><Relationship Id="rId2128" Type="http://schemas.openxmlformats.org/officeDocument/2006/relationships/hyperlink" Target="https://techcombank.com/thong-tin/blog/ngan-hang-so" TargetMode="External"/><Relationship Id="rId2129" Type="http://schemas.openxmlformats.org/officeDocument/2006/relationships/hyperlink" Target="https://techcombank.com/thong-tin/blog/dau-tu-tai-chinh-ca-nhan" TargetMode="External"/><Relationship Id="rId448" Type="http://schemas.openxmlformats.org/officeDocument/2006/relationships/hyperlink" Target="https://techcombank.com/thong-tin/blog/tiet-kiem-khi-di-du-lich" TargetMode="External"/><Relationship Id="rId447" Type="http://schemas.openxmlformats.org/officeDocument/2006/relationships/hyperlink" Target="https://techcombank.com/thong-tin/blog/app-mua-truoc-tra-sau" TargetMode="External"/><Relationship Id="rId446" Type="http://schemas.openxmlformats.org/officeDocument/2006/relationships/hyperlink" Target="https://techcombank.com/thong-tin/blog/dau-chan-carbon" TargetMode="External"/><Relationship Id="rId445" Type="http://schemas.openxmlformats.org/officeDocument/2006/relationships/hyperlink" Target="https://techcombank.com/thong-tin/blog/cach-tiet-kiem-tien-hieu-qua-cho-gia-dinh" TargetMode="External"/><Relationship Id="rId449" Type="http://schemas.openxmlformats.org/officeDocument/2006/relationships/hyperlink" Target="https://techcombank.com/thong-tin/blog/cho-vay-tieu-dung-la-gi" TargetMode="External"/><Relationship Id="rId1270" Type="http://schemas.openxmlformats.org/officeDocument/2006/relationships/hyperlink" Target="https://techcombank.com/thong-tin/blog/gui-tiet-kiem-usd" TargetMode="External"/><Relationship Id="rId440" Type="http://schemas.openxmlformats.org/officeDocument/2006/relationships/hyperlink" Target="https://techcombank.com/thong-tin/blog/ghi-chep-chi-tieu" TargetMode="External"/><Relationship Id="rId1271" Type="http://schemas.openxmlformats.org/officeDocument/2006/relationships/hyperlink" Target="https://techcombank.com/thong-tin/blog/doi-tien-do-o-dau" TargetMode="External"/><Relationship Id="rId1272" Type="http://schemas.openxmlformats.org/officeDocument/2006/relationships/hyperlink" Target="https://techcombank.com/thong-tin/blog/chuyen-tien-di-uc" TargetMode="External"/><Relationship Id="rId1273" Type="http://schemas.openxmlformats.org/officeDocument/2006/relationships/hyperlink" Target="https://techcombank.com/thong-tin/blog/1-trieu-do-bang-bao-nhieu-tien-viet" TargetMode="External"/><Relationship Id="rId2120" Type="http://schemas.openxmlformats.org/officeDocument/2006/relationships/hyperlink" Target="https://techcombank.com/thong-tin/blog/ly-do-ngan-hang-so-tro-thanh-cong-cu-tai-chinh-hang-dau-cua-gioi-tre" TargetMode="External"/><Relationship Id="rId1274" Type="http://schemas.openxmlformats.org/officeDocument/2006/relationships/hyperlink" Target="https://techcombank.com/thong-tin/blog/thanh-toan-khi-du-lich-nhat-ban" TargetMode="External"/><Relationship Id="rId2121" Type="http://schemas.openxmlformats.org/officeDocument/2006/relationships/hyperlink" Target="https://techcombank.com/thong-tin/blog/the-debit-cho-con" TargetMode="External"/><Relationship Id="rId444" Type="http://schemas.openxmlformats.org/officeDocument/2006/relationships/hyperlink" Target="https://techcombank.com/thong-tin/blog/loi-ich-cua-viec-tiet-kiem-tien" TargetMode="External"/><Relationship Id="rId1275" Type="http://schemas.openxmlformats.org/officeDocument/2006/relationships/hyperlink" Target="https://techcombank.com/thong-tin/blog/chuyen-tien-tu-nhat-ve-viet-nam" TargetMode="External"/><Relationship Id="rId2122" Type="http://schemas.openxmlformats.org/officeDocument/2006/relationships/hyperlink" Target="https://techcombank.com/thong-tin/blog/thoi-gian-hoan-tien-the-tin-dung" TargetMode="External"/><Relationship Id="rId443" Type="http://schemas.openxmlformats.org/officeDocument/2006/relationships/hyperlink" Target="https://techcombank.com/thong-tin/blog/uu-dai-the-tin-dung-techcombank-signature" TargetMode="External"/><Relationship Id="rId1276" Type="http://schemas.openxmlformats.org/officeDocument/2006/relationships/hyperlink" Target="https://techcombank.com/thong-tin/blog/1-yen-bang-bao-nhieu-tien-viet-nam" TargetMode="External"/><Relationship Id="rId2123" Type="http://schemas.openxmlformats.org/officeDocument/2006/relationships/hyperlink" Target="https://techcombank.com/thong-tin/blog/ung-dung-cong-nghe" TargetMode="External"/><Relationship Id="rId442" Type="http://schemas.openxmlformats.org/officeDocument/2006/relationships/hyperlink" Target="https://techcombank.com/thong-tin/blog/vi-tra-sau" TargetMode="External"/><Relationship Id="rId1277" Type="http://schemas.openxmlformats.org/officeDocument/2006/relationships/hyperlink" Target="https://techcombank.com/thong-tin/blog/1-man-bang-bao-nhieu-tien-viet" TargetMode="External"/><Relationship Id="rId2124" Type="http://schemas.openxmlformats.org/officeDocument/2006/relationships/hyperlink" Target="https://techcombank.com/thong-tin/blog/du-no-tin-dung-la-gi" TargetMode="External"/><Relationship Id="rId441" Type="http://schemas.openxmlformats.org/officeDocument/2006/relationships/hyperlink" Target="https://techcombank.com/thong-tin/blog/ma-mcc" TargetMode="External"/><Relationship Id="rId1278" Type="http://schemas.openxmlformats.org/officeDocument/2006/relationships/hyperlink" Target="https://techcombank.com/thong-tin/blog/cach-tiet-kiem-tien-cua-nguoi-nhat" TargetMode="External"/><Relationship Id="rId2125" Type="http://schemas.openxmlformats.org/officeDocument/2006/relationships/hyperlink" Target="https://techcombank.com/thong-tin/blog/the-visa-co-may-loai" TargetMode="External"/><Relationship Id="rId1268" Type="http://schemas.openxmlformats.org/officeDocument/2006/relationships/hyperlink" Target="https://techcombank.com/thong-tin/blog/han-muc-mua-ngoai-te-khi-di-du-lich" TargetMode="External"/><Relationship Id="rId2115" Type="http://schemas.openxmlformats.org/officeDocument/2006/relationships/hyperlink" Target="https://techcombank.com/thong-tin/blog/sao-ke-the-tin-dung-la-gi" TargetMode="External"/><Relationship Id="rId1269" Type="http://schemas.openxmlformats.org/officeDocument/2006/relationships/hyperlink" Target="https://techcombank.com/thong-tin/blog/cam-nang-dinh-cu-my" TargetMode="External"/><Relationship Id="rId2116" Type="http://schemas.openxmlformats.org/officeDocument/2006/relationships/hyperlink" Target="https://techcombank.com/thong-tin/blog/cashback-the-thanh-toan" TargetMode="External"/><Relationship Id="rId2117" Type="http://schemas.openxmlformats.org/officeDocument/2006/relationships/hyperlink" Target="https://techcombank.com/thong-tin/blog/nang-han-muc-tin-dung" TargetMode="External"/><Relationship Id="rId2118" Type="http://schemas.openxmlformats.org/officeDocument/2006/relationships/hyperlink" Target="https://techcombank.com/thong-tin/blog/bang-can-doi-tai-chinh" TargetMode="External"/><Relationship Id="rId2119" Type="http://schemas.openxmlformats.org/officeDocument/2006/relationships/hyperlink" Target="https://techcombank.com/thong-tin/blog/vay-tin-chap-theo-luong" TargetMode="External"/><Relationship Id="rId437" Type="http://schemas.openxmlformats.org/officeDocument/2006/relationships/hyperlink" Target="https://techcombank.com/thong-tin/blog/sao-ke-tai-khoan-doanh-nghiep" TargetMode="External"/><Relationship Id="rId436" Type="http://schemas.openxmlformats.org/officeDocument/2006/relationships/hyperlink" Target="https://techcombank.com/thong-tin/blog/sao-ke-luong" TargetMode="External"/><Relationship Id="rId435" Type="http://schemas.openxmlformats.org/officeDocument/2006/relationships/hyperlink" Target="https://techcombank.com/thong-tin/blog/the-visa-co-rut-tien-duoc-khong" TargetMode="External"/><Relationship Id="rId434" Type="http://schemas.openxmlformats.org/officeDocument/2006/relationships/hyperlink" Target="https://techcombank.com/thong-tin/blog/cach-chuyen-tien" TargetMode="External"/><Relationship Id="rId439" Type="http://schemas.openxmlformats.org/officeDocument/2006/relationships/hyperlink" Target="https://techcombank.com/thong-tin/blog/tien-chuyen-vao-tai-khoan-co-bi-tinh-thue-khong" TargetMode="External"/><Relationship Id="rId438" Type="http://schemas.openxmlformats.org/officeDocument/2006/relationships/hyperlink" Target="https://techcombank.com/thong-tin/blog/vay-the-chap-qua-luong" TargetMode="External"/><Relationship Id="rId1260" Type="http://schemas.openxmlformats.org/officeDocument/2006/relationships/hyperlink" Target="https://techcombank.com/thong-tin/blog/ty-gia-cac-ngan-hang" TargetMode="External"/><Relationship Id="rId1261" Type="http://schemas.openxmlformats.org/officeDocument/2006/relationships/hyperlink" Target="https://techcombank.com/thong-tin/blog/ty-gia-la-gi" TargetMode="External"/><Relationship Id="rId1262" Type="http://schemas.openxmlformats.org/officeDocument/2006/relationships/hyperlink" Target="https://techcombank.com/thong-tin/blog/xu-huong-ty-gia-usd" TargetMode="External"/><Relationship Id="rId1263" Type="http://schemas.openxmlformats.org/officeDocument/2006/relationships/hyperlink" Target="https://techcombank.com/thong-tin/blog/dieu-kien-mua-usd-tu-ngan-hang" TargetMode="External"/><Relationship Id="rId2110" Type="http://schemas.openxmlformats.org/officeDocument/2006/relationships/hyperlink" Target="https://techcombank.com/thong-tin/blog/bi-quyet-tiet-kiem-tien-mua-nha" TargetMode="External"/><Relationship Id="rId433" Type="http://schemas.openxmlformats.org/officeDocument/2006/relationships/hyperlink" Target="https://techcombank.com/thong-tin/blog/the-atm-tu" TargetMode="External"/><Relationship Id="rId1264" Type="http://schemas.openxmlformats.org/officeDocument/2006/relationships/hyperlink" Target="https://techcombank.com/thong-tin/blog/1-cent-bang-bao-nhieu-tien-viet" TargetMode="External"/><Relationship Id="rId2111" Type="http://schemas.openxmlformats.org/officeDocument/2006/relationships/hyperlink" Target="https://techcombank.com/thong-tin/blog/app-ngan-hang" TargetMode="External"/><Relationship Id="rId432" Type="http://schemas.openxmlformats.org/officeDocument/2006/relationships/hyperlink" Target="https://techcombank.com/thong-tin/blog/the-visa-ao-la-gi" TargetMode="External"/><Relationship Id="rId1265" Type="http://schemas.openxmlformats.org/officeDocument/2006/relationships/hyperlink" Target="https://techcombank.com/thong-tin/blog/lai-suat-gui-tiet-kiem-usd" TargetMode="External"/><Relationship Id="rId2112" Type="http://schemas.openxmlformats.org/officeDocument/2006/relationships/hyperlink" Target="https://techcombank.com/thong-tin/blog/app-quan-ly-chi-tieu" TargetMode="External"/><Relationship Id="rId431" Type="http://schemas.openxmlformats.org/officeDocument/2006/relationships/hyperlink" Target="https://techcombank.com/thong-tin/blog/so-du-tien-gui-la-gi" TargetMode="External"/><Relationship Id="rId1266" Type="http://schemas.openxmlformats.org/officeDocument/2006/relationships/hyperlink" Target="https://techcombank.com/thong-tin/blog/chuyen-tien-tu-my-ve-viet-nam" TargetMode="External"/><Relationship Id="rId2113" Type="http://schemas.openxmlformats.org/officeDocument/2006/relationships/hyperlink" Target="https://techcombank.com/thong-tin/blog/nhung-kho-khan-khi-tiet-kiem-tien" TargetMode="External"/><Relationship Id="rId430" Type="http://schemas.openxmlformats.org/officeDocument/2006/relationships/hyperlink" Target="https://techcombank.com/thong-tin/blog/chuyen-doi-the-atm" TargetMode="External"/><Relationship Id="rId1267" Type="http://schemas.openxmlformats.org/officeDocument/2006/relationships/hyperlink" Target="https://techcombank.com/thong-tin/blog/vang-my-ky" TargetMode="External"/><Relationship Id="rId2114" Type="http://schemas.openxmlformats.org/officeDocument/2006/relationships/hyperlink" Target="https://techcombank.com/thong-tin/blog/no-nhom-3" TargetMode="External"/></Relationships>
</file>

<file path=xl/worksheets/_rels/sheet6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vay-the-chap-toi-da-duoc-bao-nhieu" TargetMode="External"/><Relationship Id="rId391" Type="http://schemas.openxmlformats.org/officeDocument/2006/relationships/hyperlink" Target="https://techcombank.com/thong-tin/blog/vay-the-chap-so-hong" TargetMode="External"/><Relationship Id="rId390" Type="http://schemas.openxmlformats.org/officeDocument/2006/relationships/hyperlink" Target="https://techcombank.com/thong-tin/blog/vay-the-chap-la-gi" TargetMode="External"/><Relationship Id="rId1" Type="http://schemas.openxmlformats.org/officeDocument/2006/relationships/hyperlink" Target="https://techcombank.com/thong-tin/blog/no-xau-nhom-2" TargetMode="External"/><Relationship Id="rId2" Type="http://schemas.openxmlformats.org/officeDocument/2006/relationships/hyperlink" Target="https://techcombank.com/thong-tin/blog/qua-han-thanh-toan-the-tin-dung-1-ngay" TargetMode="External"/><Relationship Id="rId3" Type="http://schemas.openxmlformats.org/officeDocument/2006/relationships/hyperlink" Target="https://techcombank.com/thong-tin/blog/cach-su-dung-the-tin-dung" TargetMode="External"/><Relationship Id="rId4" Type="http://schemas.openxmlformats.org/officeDocument/2006/relationships/hyperlink" Target="https://techcombank.com/thong-tin/blog/han-muc-mua-ngoai-te-khi-di-du-lich" TargetMode="External"/><Relationship Id="rId9" Type="http://schemas.openxmlformats.org/officeDocument/2006/relationships/hyperlink" Target="https://techcombank.com/thong-tin/blog/cach-lam-the-ngan-hang-chay-quang-cao-facebook" TargetMode="External"/><Relationship Id="rId385" Type="http://schemas.openxmlformats.org/officeDocument/2006/relationships/hyperlink" Target="https://techcombank.com/thong-tin/blog/vay-300-trieu" TargetMode="External"/><Relationship Id="rId384" Type="http://schemas.openxmlformats.org/officeDocument/2006/relationships/hyperlink" Target="https://techcombank.com/thong-tin/blog/vay-15-trieu" TargetMode="External"/><Relationship Id="rId383" Type="http://schemas.openxmlformats.org/officeDocument/2006/relationships/hyperlink" Target="https://techcombank.com/thong-tin/blog/ty-gia-la-gi" TargetMode="External"/><Relationship Id="rId382" Type="http://schemas.openxmlformats.org/officeDocument/2006/relationships/hyperlink" Target="https://techcombank.com/thong-tin/blog/tra-gop-hoc-phi" TargetMode="External"/><Relationship Id="rId5" Type="http://schemas.openxmlformats.org/officeDocument/2006/relationships/hyperlink" Target="https://techcombank.com/thong-tin/blog/han-muc-tra-gop-the-tin-dung" TargetMode="External"/><Relationship Id="rId389" Type="http://schemas.openxmlformats.org/officeDocument/2006/relationships/hyperlink" Target="https://techcombank.com/thong-tin/blog/vay-mua-nha-o-xa-hoi" TargetMode="External"/><Relationship Id="rId6" Type="http://schemas.openxmlformats.org/officeDocument/2006/relationships/hyperlink" Target="https://techcombank.com/thong-tin/blog/no-the-tin-dung-qua-han" TargetMode="External"/><Relationship Id="rId388" Type="http://schemas.openxmlformats.org/officeDocument/2006/relationships/hyperlink" Target="https://techcombank.com/thong-tin/blog/vay-mua-dien-thoai" TargetMode="External"/><Relationship Id="rId7" Type="http://schemas.openxmlformats.org/officeDocument/2006/relationships/hyperlink" Target="https://techcombank.com/thong-tin/blog/thanh-toan-toi-thieu-the-tin-dung" TargetMode="External"/><Relationship Id="rId387" Type="http://schemas.openxmlformats.org/officeDocument/2006/relationships/hyperlink" Target="https://techcombank.com/thong-tin/blog/vay-du-hoc" TargetMode="External"/><Relationship Id="rId8" Type="http://schemas.openxmlformats.org/officeDocument/2006/relationships/hyperlink" Target="https://techcombank.com/thong-tin/blog/the-tin-dung-bi-khoa" TargetMode="External"/><Relationship Id="rId386" Type="http://schemas.openxmlformats.org/officeDocument/2006/relationships/hyperlink" Target="https://techcombank.com/thong-tin/blog/vay-40-trieu" TargetMode="External"/><Relationship Id="rId381" Type="http://schemas.openxmlformats.org/officeDocument/2006/relationships/hyperlink" Target="https://techcombank.com/thong-tin/blog/top-phan-mem-ban-hang" TargetMode="External"/><Relationship Id="rId380" Type="http://schemas.openxmlformats.org/officeDocument/2006/relationships/hyperlink" Target="https://techcombank.com/thong-tin/blog/toi-uu-hoa-chi-phi-trong-doanh-nghiep" TargetMode="External"/><Relationship Id="rId379" Type="http://schemas.openxmlformats.org/officeDocument/2006/relationships/hyperlink" Target="https://techcombank.com/thong-tin/blog/tinh-thanh-khoan-la-gi" TargetMode="External"/><Relationship Id="rId374" Type="http://schemas.openxmlformats.org/officeDocument/2006/relationships/hyperlink" Target="https://techcombank.com/thong-tin/blog/tiem-nang-chuyen-doi-tu-ho-kinh-doanh-len-doanh-nghiep-sme" TargetMode="External"/><Relationship Id="rId373" Type="http://schemas.openxmlformats.org/officeDocument/2006/relationships/hyperlink" Target="https://techcombank.com/thong-tin/blog/tich-luy-tai-san" TargetMode="External"/><Relationship Id="rId372" Type="http://schemas.openxmlformats.org/officeDocument/2006/relationships/hyperlink" Target="https://techcombank.com/thong-tin/blog/thue-khoan-ho-kinh-doanh-la-gi" TargetMode="External"/><Relationship Id="rId371" Type="http://schemas.openxmlformats.org/officeDocument/2006/relationships/hyperlink" Target="https://techcombank.com/thong-tin/blog/thue-ho-kinh-doanh-2025" TargetMode="External"/><Relationship Id="rId378" Type="http://schemas.openxmlformats.org/officeDocument/2006/relationships/hyperlink" Target="https://techcombank.com/thong-tin/blog/tien-trung-quoc" TargetMode="External"/><Relationship Id="rId377" Type="http://schemas.openxmlformats.org/officeDocument/2006/relationships/hyperlink" Target="https://techcombank.com/thong-tin/blog/tien-singapore" TargetMode="External"/><Relationship Id="rId376" Type="http://schemas.openxmlformats.org/officeDocument/2006/relationships/hyperlink" Target="https://techcombank.com/thong-tin/blog/tien-nhan-roi-nen-lam-gi" TargetMode="External"/><Relationship Id="rId375" Type="http://schemas.openxmlformats.org/officeDocument/2006/relationships/hyperlink" Target="https://techcombank.com/thong-tin/blog/tien-gui-khong-ky-han" TargetMode="External"/><Relationship Id="rId396" Type="http://schemas.openxmlformats.org/officeDocument/2006/relationships/hyperlink" Target="https://techcombank.com/thong-tin/blog/vip-ngan-hang" TargetMode="External"/><Relationship Id="rId395" Type="http://schemas.openxmlformats.org/officeDocument/2006/relationships/hyperlink" Target="https://techcombank.com/thong-tin/blog/vay-tin-chap-toi-da-duoc-bao-nhieu" TargetMode="External"/><Relationship Id="rId394" Type="http://schemas.openxmlformats.org/officeDocument/2006/relationships/hyperlink" Target="https://techcombank.com/thong-tin/blog/vay-tien-online" TargetMode="External"/><Relationship Id="rId393" Type="http://schemas.openxmlformats.org/officeDocument/2006/relationships/hyperlink" Target="https://techcombank.com/thong-tin/blog/vay-tien-mat" TargetMode="External"/><Relationship Id="rId399" Type="http://schemas.openxmlformats.org/officeDocument/2006/relationships/hyperlink" Target="https://techcombank.com/thong-tin/blog/1-dong-do-la-my-bang-bao-nhieu-tien-viet-nam" TargetMode="External"/><Relationship Id="rId398" Type="http://schemas.openxmlformats.org/officeDocument/2006/relationships/hyperlink" Target="https://techcombank.com/thong-tin/blog/1-do-uc-bang-bao-nhieu-tien-viet" TargetMode="External"/><Relationship Id="rId397" Type="http://schemas.openxmlformats.org/officeDocument/2006/relationships/hyperlink" Target="https://techcombank.com/thong-tin/blog/vnd-to-myr" TargetMode="External"/><Relationship Id="rId40" Type="http://schemas.openxmlformats.org/officeDocument/2006/relationships/hyperlink" Target="https://techcombank.com/thong-tin/blog/tra-gop-qua-the-tin-dung" TargetMode="External"/><Relationship Id="rId42" Type="http://schemas.openxmlformats.org/officeDocument/2006/relationships/hyperlink" Target="https://techcombank.com/thong-tin/blog/vay-the-chap-qua-luong" TargetMode="External"/><Relationship Id="rId41" Type="http://schemas.openxmlformats.org/officeDocument/2006/relationships/hyperlink" Target="https://techcombank.com/thong-tin/blog/tra-gop-shopee" TargetMode="External"/><Relationship Id="rId44" Type="http://schemas.openxmlformats.org/officeDocument/2006/relationships/hyperlink" Target="https://techcombank.com/thong-tin/blog/vay-tra-gop" TargetMode="External"/><Relationship Id="rId43" Type="http://schemas.openxmlformats.org/officeDocument/2006/relationships/hyperlink" Target="https://techcombank.com/thong-tin/blog/vay-tin-chap-va-vay-the-chap" TargetMode="External"/><Relationship Id="rId46" Type="http://schemas.openxmlformats.org/officeDocument/2006/relationships/hyperlink" Target="https://techcombank.com/thong-tin/blog/chung-chi-tien-gui-khac-gi-so-tiet-kiem" TargetMode="External"/><Relationship Id="rId45" Type="http://schemas.openxmlformats.org/officeDocument/2006/relationships/hyperlink" Target="https://techcombank.com/thong-tin/blog/cach-gui-tiet-kiem-online" TargetMode="External"/><Relationship Id="rId745" Type="http://schemas.openxmlformats.org/officeDocument/2006/relationships/hyperlink" Target="https://techcombank.com/thong-tin/blog/wacc-la-gi" TargetMode="External"/><Relationship Id="rId744" Type="http://schemas.openxmlformats.org/officeDocument/2006/relationships/hyperlink" Target="https://techcombank.com/thong-tin/blog/voucher-winmart" TargetMode="External"/><Relationship Id="rId743" Type="http://schemas.openxmlformats.org/officeDocument/2006/relationships/hyperlink" Target="https://techcombank.com/thong-tin/blog/voucher-the-pizza-company" TargetMode="External"/><Relationship Id="rId742" Type="http://schemas.openxmlformats.org/officeDocument/2006/relationships/hyperlink" Target="https://techcombank.com/thong-tin/blog/voucher-the-coffee-house" TargetMode="External"/><Relationship Id="rId749" Type="http://schemas.openxmlformats.org/officeDocument/2006/relationships/hyperlink" Target="https://techcombank.com/thong-tin/blog/xu-huong-tieu-dung" TargetMode="External"/><Relationship Id="rId748" Type="http://schemas.openxmlformats.org/officeDocument/2006/relationships/hyperlink" Target="https://techcombank.com/thong-tin/blog/xu-huong-thanh-toan-khong-dung-tien-mat-tai-viet-nam" TargetMode="External"/><Relationship Id="rId747" Type="http://schemas.openxmlformats.org/officeDocument/2006/relationships/hyperlink" Target="https://techcombank.com/thong-tin/blog/xu-huong-song-xanh" TargetMode="External"/><Relationship Id="rId746" Type="http://schemas.openxmlformats.org/officeDocument/2006/relationships/hyperlink" Target="https://techcombank.com/thong-tin/blog/woomaster" TargetMode="External"/><Relationship Id="rId48" Type="http://schemas.openxmlformats.org/officeDocument/2006/relationships/hyperlink" Target="https://techcombank.com/thong-tin/blog/dang-vay-tra-gop-co-vay-them-duoc-khong" TargetMode="External"/><Relationship Id="rId47" Type="http://schemas.openxmlformats.org/officeDocument/2006/relationships/hyperlink" Target="https://techcombank.com/thong-tin/blog/co-50-trieu-nen-mua-vang-hay-gui-tiet-kiem" TargetMode="External"/><Relationship Id="rId49" Type="http://schemas.openxmlformats.org/officeDocument/2006/relationships/hyperlink" Target="https://techcombank.com/thong-tin/blog/ho-kinh-doanh-can-gi-o-tai-khoan-ngan-hang" TargetMode="External"/><Relationship Id="rId741" Type="http://schemas.openxmlformats.org/officeDocument/2006/relationships/hyperlink" Target="https://techcombank.com/thong-tin/blog/voucher-starbucks" TargetMode="External"/><Relationship Id="rId740" Type="http://schemas.openxmlformats.org/officeDocument/2006/relationships/hyperlink" Target="https://techcombank.com/thong-tin/blog/voucher-kfc" TargetMode="External"/><Relationship Id="rId31" Type="http://schemas.openxmlformats.org/officeDocument/2006/relationships/hyperlink" Target="https://techcombank.com/thong-tin/blog/rui-ro-khi-vay-the-chap-ngan-hang" TargetMode="External"/><Relationship Id="rId30" Type="http://schemas.openxmlformats.org/officeDocument/2006/relationships/hyperlink" Target="https://techcombank.com/thong-tin/blog/no-xau-co-vay-the-chap-duoc-khong" TargetMode="External"/><Relationship Id="rId33" Type="http://schemas.openxmlformats.org/officeDocument/2006/relationships/hyperlink" Target="https://techcombank.com/thong-tin/blog/tai-khoan-ngan-hang-la-gi" TargetMode="External"/><Relationship Id="rId32" Type="http://schemas.openxmlformats.org/officeDocument/2006/relationships/hyperlink" Target="https://techcombank.com/thong-tin/blog/sao-ke-the-tin-dung-la-gi" TargetMode="External"/><Relationship Id="rId35" Type="http://schemas.openxmlformats.org/officeDocument/2006/relationships/hyperlink" Target="https://techcombank.com/thong-tin/blog/the-visa-de-lam-gi" TargetMode="External"/><Relationship Id="rId34" Type="http://schemas.openxmlformats.org/officeDocument/2006/relationships/hyperlink" Target="https://techcombank.com/thong-tin/blog/the-tin-dung-co-chuyen-khoan-duoc-khong" TargetMode="External"/><Relationship Id="rId739" Type="http://schemas.openxmlformats.org/officeDocument/2006/relationships/hyperlink" Target="https://techcombank.com/thong-tin/blog/voucher-katinat" TargetMode="External"/><Relationship Id="rId734" Type="http://schemas.openxmlformats.org/officeDocument/2006/relationships/hyperlink" Target="https://techcombank.com/thong-tin/blog/voucher-coopmart" TargetMode="External"/><Relationship Id="rId733" Type="http://schemas.openxmlformats.org/officeDocument/2006/relationships/hyperlink" Target="https://techcombank.com/thong-tin/blog/voucher-cgv" TargetMode="External"/><Relationship Id="rId732" Type="http://schemas.openxmlformats.org/officeDocument/2006/relationships/hyperlink" Target="https://techcombank.com/thong-tin/blog/vi-dien-tu-la-gi" TargetMode="External"/><Relationship Id="rId731" Type="http://schemas.openxmlformats.org/officeDocument/2006/relationships/hyperlink" Target="https://techcombank.com/thong-tin/blog/vay-sieu-toc" TargetMode="External"/><Relationship Id="rId738" Type="http://schemas.openxmlformats.org/officeDocument/2006/relationships/hyperlink" Target="https://techcombank.com/thong-tin/blog/voucher-jollibee" TargetMode="External"/><Relationship Id="rId737" Type="http://schemas.openxmlformats.org/officeDocument/2006/relationships/hyperlink" Target="https://techcombank.com/thong-tin/blog/voucher-highland" TargetMode="External"/><Relationship Id="rId736" Type="http://schemas.openxmlformats.org/officeDocument/2006/relationships/hyperlink" Target="https://techcombank.com/thong-tin/blog/voucher-grab" TargetMode="External"/><Relationship Id="rId735" Type="http://schemas.openxmlformats.org/officeDocument/2006/relationships/hyperlink" Target="https://techcombank.com/thong-tin/blog/voucher-golden-gate" TargetMode="External"/><Relationship Id="rId37" Type="http://schemas.openxmlformats.org/officeDocument/2006/relationships/hyperlink" Target="https://techcombank.com/thong-tin/blog/tim-hieu-ve-chinh-sach-thue-moi" TargetMode="External"/><Relationship Id="rId36" Type="http://schemas.openxmlformats.org/officeDocument/2006/relationships/hyperlink" Target="https://techcombank.com/thong-tin/blog/thu-tuc-vay-von-kinh-doanh-nho" TargetMode="External"/><Relationship Id="rId39" Type="http://schemas.openxmlformats.org/officeDocument/2006/relationships/hyperlink" Target="https://techcombank.com/thong-tin/blog/tra-gop-lazada" TargetMode="External"/><Relationship Id="rId38" Type="http://schemas.openxmlformats.org/officeDocument/2006/relationships/hyperlink" Target="https://techcombank.com/thong-tin/blog/tra-cuu-han-muc-the-tin-dung" TargetMode="External"/><Relationship Id="rId730" Type="http://schemas.openxmlformats.org/officeDocument/2006/relationships/hyperlink" Target="https://techcombank.com/thong-tin/blog/vay-mua-chung-cu" TargetMode="External"/><Relationship Id="rId20" Type="http://schemas.openxmlformats.org/officeDocument/2006/relationships/hyperlink" Target="https://techcombank.com/thong-tin/blog/ke-khai-thue-doanh-nghiep" TargetMode="External"/><Relationship Id="rId22" Type="http://schemas.openxmlformats.org/officeDocument/2006/relationships/hyperlink" Target="https://techcombank.com/thong-tin/blog/lai-suat-the-tin-dung" TargetMode="External"/><Relationship Id="rId21" Type="http://schemas.openxmlformats.org/officeDocument/2006/relationships/hyperlink" Target="https://techcombank.com/thong-tin/blog/lai-suat-gui-tiet-kiem-usd" TargetMode="External"/><Relationship Id="rId24" Type="http://schemas.openxmlformats.org/officeDocument/2006/relationships/hyperlink" Target="https://techcombank.com/thong-tin/blog/lai-suat-vay-kinh-doanh" TargetMode="External"/><Relationship Id="rId23" Type="http://schemas.openxmlformats.org/officeDocument/2006/relationships/hyperlink" Target="https://techcombank.com/thong-tin/blog/lai-suat-tiet-kiem" TargetMode="External"/><Relationship Id="rId26" Type="http://schemas.openxmlformats.org/officeDocument/2006/relationships/hyperlink" Target="https://techcombank.com/thong-tin/blog/luu-y-khi-su-dung-the-tin-dung" TargetMode="External"/><Relationship Id="rId25" Type="http://schemas.openxmlformats.org/officeDocument/2006/relationships/hyperlink" Target="https://techcombank.com/thong-tin/blog/lam-ho-so-tra-gop-dien-thoai" TargetMode="External"/><Relationship Id="rId28" Type="http://schemas.openxmlformats.org/officeDocument/2006/relationships/hyperlink" Target="https://techcombank.com/thong-tin/blog/mua-truoc-tra-sau" TargetMode="External"/><Relationship Id="rId27" Type="http://schemas.openxmlformats.org/officeDocument/2006/relationships/hyperlink" Target="https://techcombank.com/thong-tin/blog/mo-the-tin-dung-khong-can-chung-minh-thu-nhap" TargetMode="External"/><Relationship Id="rId29" Type="http://schemas.openxmlformats.org/officeDocument/2006/relationships/hyperlink" Target="https://techcombank.com/thong-tin/blog/nang-han-muc-tin-dung" TargetMode="External"/><Relationship Id="rId11" Type="http://schemas.openxmlformats.org/officeDocument/2006/relationships/hyperlink" Target="https://techcombank.com/thong-tin/blog/lai-suat-vay-tin-chap" TargetMode="External"/><Relationship Id="rId10" Type="http://schemas.openxmlformats.org/officeDocument/2006/relationships/hyperlink" Target="https://techcombank.com/thong-tin/blog/lai-suat-vay-the-chap-so-do" TargetMode="External"/><Relationship Id="rId13" Type="http://schemas.openxmlformats.org/officeDocument/2006/relationships/hyperlink" Target="https://techcombank.com/thong-tin/blog/vay-20-trieu" TargetMode="External"/><Relationship Id="rId12" Type="http://schemas.openxmlformats.org/officeDocument/2006/relationships/hyperlink" Target="https://techcombank.com/thong-tin/blog/thanh-toan-tra-gop-qua-the-tin-dung" TargetMode="External"/><Relationship Id="rId15" Type="http://schemas.openxmlformats.org/officeDocument/2006/relationships/hyperlink" Target="https://techcombank.com/thong-tin/blog/cach-thanh-toan-the-tin-dung" TargetMode="External"/><Relationship Id="rId14" Type="http://schemas.openxmlformats.org/officeDocument/2006/relationships/hyperlink" Target="https://techcombank.com/thong-tin/blog/cac-hinh-thuc-vay-von-ngan-hang" TargetMode="External"/><Relationship Id="rId17" Type="http://schemas.openxmlformats.org/officeDocument/2006/relationships/hyperlink" Target="https://techcombank.com/thong-tin/blog/gui-tiet-kiem-ngoai-te" TargetMode="External"/><Relationship Id="rId16" Type="http://schemas.openxmlformats.org/officeDocument/2006/relationships/hyperlink" Target="https://techcombank.com/thong-tin/blog/cic-la-gi" TargetMode="External"/><Relationship Id="rId19" Type="http://schemas.openxmlformats.org/officeDocument/2006/relationships/hyperlink" Target="https://techcombank.com/thong-tin/blog/gui-tiet-kiem-usd" TargetMode="External"/><Relationship Id="rId752" Type="http://schemas.openxmlformats.org/officeDocument/2006/relationships/drawing" Target="../drawings/drawing6.xml"/><Relationship Id="rId18" Type="http://schemas.openxmlformats.org/officeDocument/2006/relationships/hyperlink" Target="https://techcombank.com/thong-tin/blog/gui-tiet-kiem-online-co-rut-truoc-han-duoc-khong" TargetMode="External"/><Relationship Id="rId751" Type="http://schemas.openxmlformats.org/officeDocument/2006/relationships/hyperlink" Target="https://techcombank.com/thong-tin/blog/yakimono" TargetMode="External"/><Relationship Id="rId750" Type="http://schemas.openxmlformats.org/officeDocument/2006/relationships/hyperlink" Target="https://techcombank.com/thong-tin/blog/y-concert" TargetMode="External"/><Relationship Id="rId84" Type="http://schemas.openxmlformats.org/officeDocument/2006/relationships/hyperlink" Target="https://techcombank.com/thong-tin/blog/chinh-sach-thue-moi" TargetMode="External"/><Relationship Id="rId83" Type="http://schemas.openxmlformats.org/officeDocument/2006/relationships/hyperlink" Target="https://techcombank.com/thong-tin/blog/cach-tinh-thue-ho-kinh-doanh-nho-le" TargetMode="External"/><Relationship Id="rId86" Type="http://schemas.openxmlformats.org/officeDocument/2006/relationships/hyperlink" Target="https://techcombank.com/thong-tin/blog/chuyen-tien-tu-nhat-ve-viet-nam" TargetMode="External"/><Relationship Id="rId85" Type="http://schemas.openxmlformats.org/officeDocument/2006/relationships/hyperlink" Target="https://techcombank.com/thong-tin/blog/chon-kenh-dau-tu-an-toan-trong-boi-canh-thi-truong-bien-dong" TargetMode="External"/><Relationship Id="rId88" Type="http://schemas.openxmlformats.org/officeDocument/2006/relationships/hyperlink" Target="https://techcombank.com/thong-tin/blog/co-nen-gui-tiet-kiem-online" TargetMode="External"/><Relationship Id="rId87" Type="http://schemas.openxmlformats.org/officeDocument/2006/relationships/hyperlink" Target="https://techcombank.com/thong-tin/blog/co-nen-dung-the-tin-dung-khong" TargetMode="External"/><Relationship Id="rId89" Type="http://schemas.openxmlformats.org/officeDocument/2006/relationships/hyperlink" Target="https://techcombank.com/thong-tin/blog/dau-tu-trai-phieu-doanh-nghiep-dung-ham-lai-suat-cao" TargetMode="External"/><Relationship Id="rId709" Type="http://schemas.openxmlformats.org/officeDocument/2006/relationships/hyperlink" Target="https://techcombank.com/thong-tin/blog/the-he-tre-day-manh-xu-huong-thanh-toan-khong-dung-tien-mat" TargetMode="External"/><Relationship Id="rId708" Type="http://schemas.openxmlformats.org/officeDocument/2006/relationships/hyperlink" Target="https://techcombank.com/thong-tin/blog/thanh-toan-tien-nuoc-online" TargetMode="External"/><Relationship Id="rId707" Type="http://schemas.openxmlformats.org/officeDocument/2006/relationships/hyperlink" Target="https://techcombank.com/thong-tin/blog/thanh-toan-tien-internet-online" TargetMode="External"/><Relationship Id="rId706" Type="http://schemas.openxmlformats.org/officeDocument/2006/relationships/hyperlink" Target="https://techcombank.com/thong-tin/blog/thanh-toan-quoc-te" TargetMode="External"/><Relationship Id="rId80" Type="http://schemas.openxmlformats.org/officeDocument/2006/relationships/hyperlink" Target="https://techcombank.com/thong-tin/blog/cach-tiet-kiem-tien-sinh-loi" TargetMode="External"/><Relationship Id="rId82" Type="http://schemas.openxmlformats.org/officeDocument/2006/relationships/hyperlink" Target="https://techcombank.com/thong-tin/blog/cach-tinh-lai-vay-ngan-hang" TargetMode="External"/><Relationship Id="rId81" Type="http://schemas.openxmlformats.org/officeDocument/2006/relationships/hyperlink" Target="https://techcombank.com/thong-tin/blog/cach-tinh-lai-suat-tien-gui-tiet-kiem" TargetMode="External"/><Relationship Id="rId701" Type="http://schemas.openxmlformats.org/officeDocument/2006/relationships/hyperlink" Target="https://techcombank.com/thong-tin/blog/techcombank-sinh-loi-tu-dong" TargetMode="External"/><Relationship Id="rId700" Type="http://schemas.openxmlformats.org/officeDocument/2006/relationships/hyperlink" Target="https://techcombank.com/thong-tin/blog/techcom-securities-nhung-buoc-tien-phong-tren-san-thu-cap" TargetMode="External"/><Relationship Id="rId705" Type="http://schemas.openxmlformats.org/officeDocument/2006/relationships/hyperlink" Target="https://techcombank.com/thong-tin/blog/thanh-toan-phi-quan-ly-chung-cu" TargetMode="External"/><Relationship Id="rId704" Type="http://schemas.openxmlformats.org/officeDocument/2006/relationships/hyperlink" Target="https://techcombank.com/thong-tin/blog/thanh-toan-khong-tien-mat-trong-nganh-giao-duc-co-hoi-va-thach-thuc" TargetMode="External"/><Relationship Id="rId703" Type="http://schemas.openxmlformats.org/officeDocument/2006/relationships/hyperlink" Target="https://techcombank.com/thong-tin/blog/thanh-toan-khong-dung-tien-mat-tro-thanh-xu-huong-tang-truong-chong-mat" TargetMode="External"/><Relationship Id="rId702" Type="http://schemas.openxmlformats.org/officeDocument/2006/relationships/hyperlink" Target="https://techcombank.com/thong-tin/blog/ten-dang-nhap-tai-khoan-ngan-hang-la-gi" TargetMode="External"/><Relationship Id="rId73" Type="http://schemas.openxmlformats.org/officeDocument/2006/relationships/hyperlink" Target="https://techcombank.com/thong-tin/blog/uu-dai-the-tin-dung" TargetMode="External"/><Relationship Id="rId72" Type="http://schemas.openxmlformats.org/officeDocument/2006/relationships/hyperlink" Target="https://techcombank.com/thong-tin/blog/tra-cuu-no-thue-ho-kinh-doanh" TargetMode="External"/><Relationship Id="rId75" Type="http://schemas.openxmlformats.org/officeDocument/2006/relationships/hyperlink" Target="https://techcombank.com/thong-tin/blog/vay-ngan-hang-1-ty-moi-thang-tra-bao-nhieu" TargetMode="External"/><Relationship Id="rId74" Type="http://schemas.openxmlformats.org/officeDocument/2006/relationships/hyperlink" Target="https://techcombank.com/thong-tin/blog/uu-dai-the-tin-dung-techcombank-signature" TargetMode="External"/><Relationship Id="rId77" Type="http://schemas.openxmlformats.org/officeDocument/2006/relationships/hyperlink" Target="https://techcombank.com/thong-tin/blog/vay-tin-chap-la-gi" TargetMode="External"/><Relationship Id="rId76" Type="http://schemas.openxmlformats.org/officeDocument/2006/relationships/hyperlink" Target="https://techcombank.com/thong-tin/blog/vay-the-chap-khong-tra-duoc" TargetMode="External"/><Relationship Id="rId79" Type="http://schemas.openxmlformats.org/officeDocument/2006/relationships/hyperlink" Target="https://techcombank.com/thong-tin/blog/cach-su-dung-the-visa-techcombank" TargetMode="External"/><Relationship Id="rId78" Type="http://schemas.openxmlformats.org/officeDocument/2006/relationships/hyperlink" Target="https://techcombank.com/thong-tin/blog/1000-yen-bang-bao-nhieu-tien-viet" TargetMode="External"/><Relationship Id="rId71" Type="http://schemas.openxmlformats.org/officeDocument/2006/relationships/hyperlink" Target="https://techcombank.com/thong-tin/blog/tra-cuu-no-thue-ca-nhan" TargetMode="External"/><Relationship Id="rId70" Type="http://schemas.openxmlformats.org/officeDocument/2006/relationships/hyperlink" Target="https://techcombank.com/thong-tin/blog/tien-chuyen-vao-tai-khoan-co-bi-tinh-thue-khong" TargetMode="External"/><Relationship Id="rId62" Type="http://schemas.openxmlformats.org/officeDocument/2006/relationships/hyperlink" Target="https://techcombank.com/thong-tin/blog/phi-rut-tien-mat-the-tin-dung" TargetMode="External"/><Relationship Id="rId61" Type="http://schemas.openxmlformats.org/officeDocument/2006/relationships/hyperlink" Target="https://techcombank.com/thong-tin/blog/no-xau-co-lam-the-visa-duoc-khong" TargetMode="External"/><Relationship Id="rId64" Type="http://schemas.openxmlformats.org/officeDocument/2006/relationships/hyperlink" Target="https://techcombank.com/thong-tin/blog/tai-khoan-doanh-nghiep-co-the-khong" TargetMode="External"/><Relationship Id="rId63" Type="http://schemas.openxmlformats.org/officeDocument/2006/relationships/hyperlink" Target="https://techcombank.com/thong-tin/blog/rui-ro-khi-gui-tiet-kiem-ngan-hang" TargetMode="External"/><Relationship Id="rId66" Type="http://schemas.openxmlformats.org/officeDocument/2006/relationships/hyperlink" Target="https://techcombank.com/thong-tin/blog/the-ghi-no-visa-la-gi" TargetMode="External"/><Relationship Id="rId65" Type="http://schemas.openxmlformats.org/officeDocument/2006/relationships/hyperlink" Target="https://techcombank.com/thong-tin/blog/thanh-toan-tien-dien-bang-the-tin-dung" TargetMode="External"/><Relationship Id="rId68" Type="http://schemas.openxmlformats.org/officeDocument/2006/relationships/hyperlink" Target="https://techcombank.com/thong-tin/blog/the-tin-dung-phu-la-gi" TargetMode="External"/><Relationship Id="rId67" Type="http://schemas.openxmlformats.org/officeDocument/2006/relationships/hyperlink" Target="https://techcombank.com/thong-tin/blog/the-tin-dung-la-gi" TargetMode="External"/><Relationship Id="rId729" Type="http://schemas.openxmlformats.org/officeDocument/2006/relationships/hyperlink" Target="https://techcombank.com/thong-tin/blog/vang-my-ky" TargetMode="External"/><Relationship Id="rId728" Type="http://schemas.openxmlformats.org/officeDocument/2006/relationships/hyperlink" Target="https://techcombank.com/thong-tin/blog/vang-giam" TargetMode="External"/><Relationship Id="rId60" Type="http://schemas.openxmlformats.org/officeDocument/2006/relationships/hyperlink" Target="https://techcombank.com/thong-tin/blog/nhung-ho-kinh-doanh-duoc-mien-thue" TargetMode="External"/><Relationship Id="rId723" Type="http://schemas.openxmlformats.org/officeDocument/2006/relationships/hyperlink" Target="https://techcombank.com/thong-tin/blog/tra-cuu-hoa-don-nuoc" TargetMode="External"/><Relationship Id="rId722" Type="http://schemas.openxmlformats.org/officeDocument/2006/relationships/hyperlink" Target="https://techcombank.com/thong-tin/blog/tous-les-jours" TargetMode="External"/><Relationship Id="rId721" Type="http://schemas.openxmlformats.org/officeDocument/2006/relationships/hyperlink" Target="https://techcombank.com/thong-tin/blog/tin-dung-la-gi" TargetMode="External"/><Relationship Id="rId720" Type="http://schemas.openxmlformats.org/officeDocument/2006/relationships/hyperlink" Target="https://techcombank.com/thong-tin/blog/tieu-dung-xanh" TargetMode="External"/><Relationship Id="rId727" Type="http://schemas.openxmlformats.org/officeDocument/2006/relationships/hyperlink" Target="https://techcombank.com/thong-tin/blog/vang-24k" TargetMode="External"/><Relationship Id="rId726" Type="http://schemas.openxmlformats.org/officeDocument/2006/relationships/hyperlink" Target="https://techcombank.com/thong-tin/blog/uu-diem-cua-blockchain" TargetMode="External"/><Relationship Id="rId725" Type="http://schemas.openxmlformats.org/officeDocument/2006/relationships/hyperlink" Target="https://techcombank.com/thong-tin/blog/ty-le-thanh-toan-khong-dung-tien-mat-trong-linh-vuc-y-te-con-han-che" TargetMode="External"/><Relationship Id="rId724" Type="http://schemas.openxmlformats.org/officeDocument/2006/relationships/hyperlink" Target="https://techcombank.com/thong-tin/blog/ty-gia-hoi-doai-la-gi" TargetMode="External"/><Relationship Id="rId69" Type="http://schemas.openxmlformats.org/officeDocument/2006/relationships/hyperlink" Target="https://techcombank.com/thong-tin/blog/thoi-gian-hoan-tien-the-tin-dung" TargetMode="External"/><Relationship Id="rId51" Type="http://schemas.openxmlformats.org/officeDocument/2006/relationships/hyperlink" Target="https://techcombank.com/thong-tin/blog/kiem-tra-no-xau" TargetMode="External"/><Relationship Id="rId50" Type="http://schemas.openxmlformats.org/officeDocument/2006/relationships/hyperlink" Target="https://techcombank.com/thong-tin/blog/ho-kinh-doanh-dong-thue-nhu-nao" TargetMode="External"/><Relationship Id="rId53" Type="http://schemas.openxmlformats.org/officeDocument/2006/relationships/hyperlink" Target="https://techcombank.com/thong-tin/blog/lai-suat-vay-mua-o-to" TargetMode="External"/><Relationship Id="rId52" Type="http://schemas.openxmlformats.org/officeDocument/2006/relationships/hyperlink" Target="https://techcombank.com/thong-tin/blog/kiem-tra-thue-ho-kinh-doanh" TargetMode="External"/><Relationship Id="rId55" Type="http://schemas.openxmlformats.org/officeDocument/2006/relationships/hyperlink" Target="https://techcombank.com/thong-tin/blog/lai-suat-vay-tieu-dung" TargetMode="External"/><Relationship Id="rId54" Type="http://schemas.openxmlformats.org/officeDocument/2006/relationships/hyperlink" Target="https://techcombank.com/thong-tin/blog/lai-suat-vay-ngan-hang" TargetMode="External"/><Relationship Id="rId57" Type="http://schemas.openxmlformats.org/officeDocument/2006/relationships/hyperlink" Target="https://techcombank.com/thong-tin/blog/mm-yy-la-gi" TargetMode="External"/><Relationship Id="rId56" Type="http://schemas.openxmlformats.org/officeDocument/2006/relationships/hyperlink" Target="https://techcombank.com/thong-tin/blog/lien-ket-tai-khoan-ngan-hang-voi-etax-mobile" TargetMode="External"/><Relationship Id="rId719" Type="http://schemas.openxmlformats.org/officeDocument/2006/relationships/hyperlink" Target="https://techcombank.com/thong-tin/blog/tiet-kiem-tien-moi-ngay" TargetMode="External"/><Relationship Id="rId718" Type="http://schemas.openxmlformats.org/officeDocument/2006/relationships/hyperlink" Target="https://techcombank.com/thong-tin/blog/tien-malaysia" TargetMode="External"/><Relationship Id="rId717" Type="http://schemas.openxmlformats.org/officeDocument/2006/relationships/hyperlink" Target="https://techcombank.com/thong-tin/blog/thue-vat-la-gi" TargetMode="External"/><Relationship Id="rId712" Type="http://schemas.openxmlformats.org/officeDocument/2006/relationships/hyperlink" Target="https://techcombank.com/thong-tin/blog/thi-truong-trai-phieu-co-hoi-dau-tu-trai-phieu-vang-du-lai-suat-thap" TargetMode="External"/><Relationship Id="rId711" Type="http://schemas.openxmlformats.org/officeDocument/2006/relationships/hyperlink" Target="https://techcombank.com/thong-tin/blog/the-visa-co-thanh-toan-quoc-te-duoc-khong" TargetMode="External"/><Relationship Id="rId710" Type="http://schemas.openxmlformats.org/officeDocument/2006/relationships/hyperlink" Target="https://techcombank.com/thong-tin/blog/the-napas-la-gi" TargetMode="External"/><Relationship Id="rId716" Type="http://schemas.openxmlformats.org/officeDocument/2006/relationships/hyperlink" Target="https://techcombank.com/thong-tin/blog/thuc-day-thi-truong-the-noi-dia-va-xu-huong-thanh-toan-tuong-lai" TargetMode="External"/><Relationship Id="rId715" Type="http://schemas.openxmlformats.org/officeDocument/2006/relationships/hyperlink" Target="https://techcombank.com/thong-tin/blog/thu-tuc-thanh-lap-doanh-nghiep" TargetMode="External"/><Relationship Id="rId714" Type="http://schemas.openxmlformats.org/officeDocument/2006/relationships/hyperlink" Target="https://techcombank.com/thong-tin/blog/thoi-han-vay-thau-chi" TargetMode="External"/><Relationship Id="rId713" Type="http://schemas.openxmlformats.org/officeDocument/2006/relationships/hyperlink" Target="https://techcombank.com/thong-tin/blog/thoi-gian-khop-lech-chung-chi-quy" TargetMode="External"/><Relationship Id="rId59" Type="http://schemas.openxmlformats.org/officeDocument/2006/relationships/hyperlink" Target="https://techcombank.com/thong-tin/blog/mo-the-tin-dung-han-muc-cao" TargetMode="External"/><Relationship Id="rId58" Type="http://schemas.openxmlformats.org/officeDocument/2006/relationships/hyperlink" Target="https://techcombank.com/thong-tin/blog/mo-the-tin-dung-chi-can-cccd" TargetMode="External"/><Relationship Id="rId349" Type="http://schemas.openxmlformats.org/officeDocument/2006/relationships/hyperlink" Target="https://techcombank.com/thong-tin/blog/phan-mem-lap-ke-hoach-tai-chinh-ca-nhan" TargetMode="External"/><Relationship Id="rId348" Type="http://schemas.openxmlformats.org/officeDocument/2006/relationships/hyperlink" Target="https://techcombank.com/thong-tin/blog/nop-tien-mat-vao-tai-khoan-cong-ty" TargetMode="External"/><Relationship Id="rId347" Type="http://schemas.openxmlformats.org/officeDocument/2006/relationships/hyperlink" Target="https://techcombank.com/thong-tin/blog/nop-thue-hai-quan" TargetMode="External"/><Relationship Id="rId346" Type="http://schemas.openxmlformats.org/officeDocument/2006/relationships/hyperlink" Target="https://techcombank.com/thong-tin/blog/nop-thue-dat-qua-ngan-hang" TargetMode="External"/><Relationship Id="rId341" Type="http://schemas.openxmlformats.org/officeDocument/2006/relationships/hyperlink" Target="https://techcombank.com/thong-tin/blog/nap-tien-dien-thoai-online" TargetMode="External"/><Relationship Id="rId340" Type="http://schemas.openxmlformats.org/officeDocument/2006/relationships/hyperlink" Target="https://techcombank.com/thong-tin/blog/mua-chung-chi-quy" TargetMode="External"/><Relationship Id="rId345" Type="http://schemas.openxmlformats.org/officeDocument/2006/relationships/hyperlink" Target="https://techcombank.com/thong-tin/blog/nhung-chi-phi-khong-duoc-tru-khi-tinh-thue-tndn" TargetMode="External"/><Relationship Id="rId344" Type="http://schemas.openxmlformats.org/officeDocument/2006/relationships/hyperlink" Target="https://techcombank.com/thong-tin/blog/nha-dau-tu-giao-dich-trai-phieu-truc-tuyen-tang-manh-tro-lai" TargetMode="External"/><Relationship Id="rId343" Type="http://schemas.openxmlformats.org/officeDocument/2006/relationships/hyperlink" Target="https://techcombank.com/thong-tin/blog/ngan-hang-so" TargetMode="External"/><Relationship Id="rId342" Type="http://schemas.openxmlformats.org/officeDocument/2006/relationships/hyperlink" Target="https://techcombank.com/thong-tin/blog/nen-thanh-lap-ho-kinh-doanh-ke-khai-hay-doanh-nghiep" TargetMode="External"/><Relationship Id="rId338" Type="http://schemas.openxmlformats.org/officeDocument/2006/relationships/hyperlink" Target="https://techcombank.com/thong-tin/blog/mo-tai-khoan-ngan-hang-bang-so-dien-thoai" TargetMode="External"/><Relationship Id="rId337" Type="http://schemas.openxmlformats.org/officeDocument/2006/relationships/hyperlink" Target="https://techcombank.com/thong-tin/blog/mo-tai-khoan-doanh-nghiep" TargetMode="External"/><Relationship Id="rId336" Type="http://schemas.openxmlformats.org/officeDocument/2006/relationships/hyperlink" Target="https://techcombank.com/thong-tin/blog/mo-so-tiet-kiem-can-bao-nhieu-tien" TargetMode="External"/><Relationship Id="rId335" Type="http://schemas.openxmlformats.org/officeDocument/2006/relationships/hyperlink" Target="https://techcombank.com/thong-tin/blog/mat-so-dien-thoai-dang-ky-tai-khoan-ngan-hang" TargetMode="External"/><Relationship Id="rId339" Type="http://schemas.openxmlformats.org/officeDocument/2006/relationships/hyperlink" Target="https://techcombank.com/thong-tin/blog/mo-tai-khoan-ngan-hang-cho-tre-em" TargetMode="External"/><Relationship Id="rId330" Type="http://schemas.openxmlformats.org/officeDocument/2006/relationships/hyperlink" Target="https://techcombank.com/thong-tin/blog/lo-ma-qr-ngan-hang-co-sao-khong" TargetMode="External"/><Relationship Id="rId334" Type="http://schemas.openxmlformats.org/officeDocument/2006/relationships/hyperlink" Target="https://techcombank.com/thong-tin/blog/ma-qr-ngan-hang-khong-hop-le" TargetMode="External"/><Relationship Id="rId333" Type="http://schemas.openxmlformats.org/officeDocument/2006/relationships/hyperlink" Target="https://techcombank.com/thong-tin/blog/luat-thuong-mai-dien-tu" TargetMode="External"/><Relationship Id="rId332" Type="http://schemas.openxmlformats.org/officeDocument/2006/relationships/hyperlink" Target="https://techcombank.com/thong-tin/blog/loi-nhuan-rong" TargetMode="External"/><Relationship Id="rId331" Type="http://schemas.openxmlformats.org/officeDocument/2006/relationships/hyperlink" Target="https://techcombank.com/thong-tin/blog/loi-ich-khi-ho-kinh-doanh-chuyen-len-doanh-nghiep" TargetMode="External"/><Relationship Id="rId370" Type="http://schemas.openxmlformats.org/officeDocument/2006/relationships/hyperlink" Target="https://techcombank.com/thong-tin/blog/thi-truong-trai-phieu-am-tro-lai-nha-dau-tu-san-sang-cho-nhung-co-hoi-sinh-loi-moi" TargetMode="External"/><Relationship Id="rId369" Type="http://schemas.openxmlformats.org/officeDocument/2006/relationships/hyperlink" Target="https://techcombank.com/thong-tin/blog/the-visa-co-rut-tien-duoc-khong" TargetMode="External"/><Relationship Id="rId368" Type="http://schemas.openxmlformats.org/officeDocument/2006/relationships/hyperlink" Target="https://techcombank.com/thong-tin/blog/the-ghi-no-co-rut-tien-duoc-khong" TargetMode="External"/><Relationship Id="rId363" Type="http://schemas.openxmlformats.org/officeDocument/2006/relationships/hyperlink" Target="https://techcombank.com/thong-tin/blog/thanh-toan-khi-du-lich-singapore" TargetMode="External"/><Relationship Id="rId362" Type="http://schemas.openxmlformats.org/officeDocument/2006/relationships/hyperlink" Target="https://techcombank.com/thong-tin/blog/thanh-toan-khi-du-lich-hong-kong" TargetMode="External"/><Relationship Id="rId361" Type="http://schemas.openxmlformats.org/officeDocument/2006/relationships/hyperlink" Target="https://techcombank.com/thong-tin/blog/thanh-toan-hoa-don-tieu-dung" TargetMode="External"/><Relationship Id="rId360" Type="http://schemas.openxmlformats.org/officeDocument/2006/relationships/hyperlink" Target="https://techcombank.com/thong-tin/blog/thanh-lap-ho-kinh-doanh-ca-the" TargetMode="External"/><Relationship Id="rId367" Type="http://schemas.openxmlformats.org/officeDocument/2006/relationships/hyperlink" Target="https://techcombank.com/thong-tin/blog/the-ghi-no-co-chuyen-khoan-duoc-khong" TargetMode="External"/><Relationship Id="rId366" Type="http://schemas.openxmlformats.org/officeDocument/2006/relationships/hyperlink" Target="https://techcombank.com/thong-tin/blog/the-chap-la-gi" TargetMode="External"/><Relationship Id="rId365" Type="http://schemas.openxmlformats.org/officeDocument/2006/relationships/hyperlink" Target="https://techcombank.com/thong-tin/blog/thay-doi-dia-chi-ho-kinh-doanh" TargetMode="External"/><Relationship Id="rId364" Type="http://schemas.openxmlformats.org/officeDocument/2006/relationships/hyperlink" Target="https://techcombank.com/thong-tin/blog/thanh-toan-tra-sau-viettel-bang-tai-khoan-ngan-hang" TargetMode="External"/><Relationship Id="rId95" Type="http://schemas.openxmlformats.org/officeDocument/2006/relationships/hyperlink" Target="https://techcombank.com/thong-tin/blog/gui-tiet-kiem-lay-lai-hang-thang" TargetMode="External"/><Relationship Id="rId94" Type="http://schemas.openxmlformats.org/officeDocument/2006/relationships/hyperlink" Target="https://techcombank.com/thong-tin/blog/gui-tiet-kiem-hang-thang" TargetMode="External"/><Relationship Id="rId97" Type="http://schemas.openxmlformats.org/officeDocument/2006/relationships/hyperlink" Target="https://techcombank.com/thong-tin/blog/gui-tiet-kiem-online-bi-mat-tien" TargetMode="External"/><Relationship Id="rId96" Type="http://schemas.openxmlformats.org/officeDocument/2006/relationships/hyperlink" Target="https://techcombank.com/thong-tin/blog/gui-tiet-kiem-ngan-hang-van-la-lua-chon-an-toan-trong-thoi-ky-kinh-te-con-nhieu-bien-dong" TargetMode="External"/><Relationship Id="rId99" Type="http://schemas.openxmlformats.org/officeDocument/2006/relationships/hyperlink" Target="https://techcombank.com/thong-tin/blog/gui-tiet-kiem-vang" TargetMode="External"/><Relationship Id="rId98" Type="http://schemas.openxmlformats.org/officeDocument/2006/relationships/hyperlink" Target="https://techcombank.com/thong-tin/blog/gui-tiet-kiem-online-quay-vong-ca-goc-va-lai" TargetMode="External"/><Relationship Id="rId91" Type="http://schemas.openxmlformats.org/officeDocument/2006/relationships/hyperlink" Target="https://techcombank.com/thong-tin/blog/dieu-kien-vay-von-ngan-hang" TargetMode="External"/><Relationship Id="rId90" Type="http://schemas.openxmlformats.org/officeDocument/2006/relationships/hyperlink" Target="https://techcombank.com/thong-tin/blog/dieu-kien-vay-the-chap" TargetMode="External"/><Relationship Id="rId93" Type="http://schemas.openxmlformats.org/officeDocument/2006/relationships/hyperlink" Target="https://techcombank.com/thong-tin/blog/gui-tien-ngan-hang-co-an-toan-khong" TargetMode="External"/><Relationship Id="rId92" Type="http://schemas.openxmlformats.org/officeDocument/2006/relationships/hyperlink" Target="https://techcombank.com/thong-tin/blog/du-no-tin-dung-la-gi" TargetMode="External"/><Relationship Id="rId359" Type="http://schemas.openxmlformats.org/officeDocument/2006/relationships/hyperlink" Target="https://techcombank.com/thong-tin/blog/tat-toan-so-tiet-kiem" TargetMode="External"/><Relationship Id="rId358" Type="http://schemas.openxmlformats.org/officeDocument/2006/relationships/hyperlink" Target="https://techcombank.com/thong-tin/blog/tap-doan-thanh-quang-khoi-sac-kinh-doanh-nho-nguon-von-vay-tin-dung-techcombank-tren-nen-tang-misa-lending" TargetMode="External"/><Relationship Id="rId357" Type="http://schemas.openxmlformats.org/officeDocument/2006/relationships/hyperlink" Target="https://techcombank.com/thong-tin/blog/spaylater" TargetMode="External"/><Relationship Id="rId352" Type="http://schemas.openxmlformats.org/officeDocument/2006/relationships/hyperlink" Target="https://techcombank.com/thong-tin/blog/rut-tien-bang-ma-qr-la-gi-cach-thuc-hien-nhu-the-nao" TargetMode="External"/><Relationship Id="rId351" Type="http://schemas.openxmlformats.org/officeDocument/2006/relationships/hyperlink" Target="https://techcombank.com/thong-tin/blog/quan-ly-tai-chinh-doanh-nghiep-la-gi" TargetMode="External"/><Relationship Id="rId350" Type="http://schemas.openxmlformats.org/officeDocument/2006/relationships/hyperlink" Target="https://techcombank.com/thong-tin/blog/phi-vay-the-chap" TargetMode="External"/><Relationship Id="rId356" Type="http://schemas.openxmlformats.org/officeDocument/2006/relationships/hyperlink" Target="https://techcombank.com/thong-tin/blog/softpos" TargetMode="External"/><Relationship Id="rId355" Type="http://schemas.openxmlformats.org/officeDocument/2006/relationships/hyperlink" Target="https://techcombank.com/thong-tin/blog/so-du-tien-gui-la-gi" TargetMode="External"/><Relationship Id="rId354" Type="http://schemas.openxmlformats.org/officeDocument/2006/relationships/hyperlink" Target="https://techcombank.com/thong-tin/blog/sao-ke-tai-khoan-doanh-nghiep" TargetMode="External"/><Relationship Id="rId353" Type="http://schemas.openxmlformats.org/officeDocument/2006/relationships/hyperlink" Target="https://techcombank.com/thong-tin/blog/rut-tien-mat-tu-tai-khoan-doanh-nghiep" TargetMode="External"/><Relationship Id="rId305" Type="http://schemas.openxmlformats.org/officeDocument/2006/relationships/hyperlink" Target="https://techcombank.com/thong-tin/blog/co-nen-gui-chung-chi-tien-gui" TargetMode="External"/><Relationship Id="rId304" Type="http://schemas.openxmlformats.org/officeDocument/2006/relationships/hyperlink" Target="https://techcombank.com/thong-tin/blog/chuyen-tien-tu-duc-ve-viet-nam" TargetMode="External"/><Relationship Id="rId303" Type="http://schemas.openxmlformats.org/officeDocument/2006/relationships/hyperlink" Target="https://techcombank.com/thong-tin/blog/chuyen-doi-ho-kinh-doanh-len-doanh-nghiep" TargetMode="External"/><Relationship Id="rId302" Type="http://schemas.openxmlformats.org/officeDocument/2006/relationships/hyperlink" Target="https://techcombank.com/thong-tin/blog/chung-chi-tien-gui-co-an-toan-khong" TargetMode="External"/><Relationship Id="rId309" Type="http://schemas.openxmlformats.org/officeDocument/2006/relationships/hyperlink" Target="https://techcombank.com/thong-tin/blog/dang-ky-thue-ho-kinh-doanh-ca-the-online" TargetMode="External"/><Relationship Id="rId308" Type="http://schemas.openxmlformats.org/officeDocument/2006/relationships/hyperlink" Target="https://techcombank.com/thong-tin/blog/dang-ky-kinh-doanh-la-gi" TargetMode="External"/><Relationship Id="rId307" Type="http://schemas.openxmlformats.org/officeDocument/2006/relationships/hyperlink" Target="https://techcombank.com/thong-tin/blog/cong-thuc-tinh-lai-suat-thuc" TargetMode="External"/><Relationship Id="rId306" Type="http://schemas.openxmlformats.org/officeDocument/2006/relationships/hyperlink" Target="https://techcombank.com/thong-tin/blog/co-nen-mua-so-tai-khoan-ngan-hang-dep" TargetMode="External"/><Relationship Id="rId301" Type="http://schemas.openxmlformats.org/officeDocument/2006/relationships/hyperlink" Target="https://techcombank.com/thong-tin/blog/chung-chi-quy-va-chung-khoan" TargetMode="External"/><Relationship Id="rId300" Type="http://schemas.openxmlformats.org/officeDocument/2006/relationships/hyperlink" Target="https://techcombank.com/thong-tin/blog/chinh-sach-tang-luong-huu" TargetMode="External"/><Relationship Id="rId327" Type="http://schemas.openxmlformats.org/officeDocument/2006/relationships/hyperlink" Target="https://techcombank.com/thong-tin/blog/lam-the-thanh-toan-quoc-te" TargetMode="External"/><Relationship Id="rId326" Type="http://schemas.openxmlformats.org/officeDocument/2006/relationships/hyperlink" Target="https://techcombank.com/thong-tin/blog/lai-suat-tha-noi" TargetMode="External"/><Relationship Id="rId325" Type="http://schemas.openxmlformats.org/officeDocument/2006/relationships/hyperlink" Target="https://techcombank.com/thong-tin/blog/lai-suat-chung-chi-quy" TargetMode="External"/><Relationship Id="rId324" Type="http://schemas.openxmlformats.org/officeDocument/2006/relationships/hyperlink" Target="https://techcombank.com/thong-tin/blog/kinh-nghiem-vay-the-chap-ngan-hang" TargetMode="External"/><Relationship Id="rId329" Type="http://schemas.openxmlformats.org/officeDocument/2006/relationships/hyperlink" Target="https://techcombank.com/thong-tin/blog/lich-su-tin-dung" TargetMode="External"/><Relationship Id="rId328" Type="http://schemas.openxmlformats.org/officeDocument/2006/relationships/hyperlink" Target="https://techcombank.com/thong-tin/blog/lam-the-visa-o-dau" TargetMode="External"/><Relationship Id="rId323" Type="http://schemas.openxmlformats.org/officeDocument/2006/relationships/hyperlink" Target="https://techcombank.com/thong-tin/blog/kinh-nghiem-mua-vang-tich-tru" TargetMode="External"/><Relationship Id="rId322" Type="http://schemas.openxmlformats.org/officeDocument/2006/relationships/hyperlink" Target="https://techcombank.com/thong-tin/blog/kinh-nghiem-chuyen-doi-tu-ho-kinh-doanh-len-doanh-nghiep" TargetMode="External"/><Relationship Id="rId321" Type="http://schemas.openxmlformats.org/officeDocument/2006/relationships/hyperlink" Target="https://techcombank.com/thong-tin/blog/ho-kinh-doanh-la-gi" TargetMode="External"/><Relationship Id="rId320" Type="http://schemas.openxmlformats.org/officeDocument/2006/relationships/hyperlink" Target="https://techcombank.com/thong-tin/blog/ho-kinh-doanh-ca-the" TargetMode="External"/><Relationship Id="rId316" Type="http://schemas.openxmlformats.org/officeDocument/2006/relationships/hyperlink" Target="https://techcombank.com/thong-tin/blog/giay-phep-kinh-doanh" TargetMode="External"/><Relationship Id="rId315" Type="http://schemas.openxmlformats.org/officeDocument/2006/relationships/hyperlink" Target="https://techcombank.com/thong-tin/blog/giai-ngan-vay-the-chap" TargetMode="External"/><Relationship Id="rId314" Type="http://schemas.openxmlformats.org/officeDocument/2006/relationships/hyperlink" Target="https://techcombank.com/thong-tin/blog/due-diligence" TargetMode="External"/><Relationship Id="rId313" Type="http://schemas.openxmlformats.org/officeDocument/2006/relationships/hyperlink" Target="https://techcombank.com/thong-tin/blog/dong-ma-so-thue-ho-kinh-doanh" TargetMode="External"/><Relationship Id="rId319" Type="http://schemas.openxmlformats.org/officeDocument/2006/relationships/hyperlink" Target="https://techcombank.com/thong-tin/blog/hieu-hiet-ve-tuan-thu-thue-cho-cac-doanh-nghiep-khoi-nghiep" TargetMode="External"/><Relationship Id="rId318" Type="http://schemas.openxmlformats.org/officeDocument/2006/relationships/hyperlink" Target="https://techcombank.com/thong-tin/blog/han-muc-thau-chi-la-gi" TargetMode="External"/><Relationship Id="rId317" Type="http://schemas.openxmlformats.org/officeDocument/2006/relationships/hyperlink" Target="https://techcombank.com/thong-tin/blog/gui-tien-sang-nuoc-ngoai" TargetMode="External"/><Relationship Id="rId312" Type="http://schemas.openxmlformats.org/officeDocument/2006/relationships/hyperlink" Target="https://techcombank.com/thong-tin/blog/dieu-kien-mua-usd-tu-ngan-hang" TargetMode="External"/><Relationship Id="rId311" Type="http://schemas.openxmlformats.org/officeDocument/2006/relationships/hyperlink" Target="https://techcombank.com/thong-tin/blog/diem-tin-dung" TargetMode="External"/><Relationship Id="rId310" Type="http://schemas.openxmlformats.org/officeDocument/2006/relationships/hyperlink" Target="https://techcombank.com/thong-tin/blog/dau-chan-carbon" TargetMode="External"/><Relationship Id="rId297" Type="http://schemas.openxmlformats.org/officeDocument/2006/relationships/hyperlink" Target="https://techcombank.com/thong-tin/blog/cach-tra-cuu-hoa-don-dien-tu" TargetMode="External"/><Relationship Id="rId296" Type="http://schemas.openxmlformats.org/officeDocument/2006/relationships/hyperlink" Target="https://techcombank.com/thong-tin/blog/cach-tinh-ty-gia-ky-han" TargetMode="External"/><Relationship Id="rId295" Type="http://schemas.openxmlformats.org/officeDocument/2006/relationships/hyperlink" Target="https://techcombank.com/thong-tin/blog/cach-tao-ma-qr-code-mien-phi" TargetMode="External"/><Relationship Id="rId294" Type="http://schemas.openxmlformats.org/officeDocument/2006/relationships/hyperlink" Target="https://techcombank.com/thong-tin/blog/cach-su-dung-the-ghi-no" TargetMode="External"/><Relationship Id="rId299" Type="http://schemas.openxmlformats.org/officeDocument/2006/relationships/hyperlink" Target="https://techcombank.com/thong-tin/blog/chi-tra-luong-huu" TargetMode="External"/><Relationship Id="rId298" Type="http://schemas.openxmlformats.org/officeDocument/2006/relationships/hyperlink" Target="https://techcombank.com/thong-tin/blog/cay-atm-gan-day" TargetMode="External"/><Relationship Id="rId271" Type="http://schemas.openxmlformats.org/officeDocument/2006/relationships/hyperlink" Target="https://techcombank.com/thong-tin/blog/vay-mua-nha-tra-gop" TargetMode="External"/><Relationship Id="rId270" Type="http://schemas.openxmlformats.org/officeDocument/2006/relationships/hyperlink" Target="https://techcombank.com/thong-tin/blog/vay-han-muc-la-gi" TargetMode="External"/><Relationship Id="rId269" Type="http://schemas.openxmlformats.org/officeDocument/2006/relationships/hyperlink" Target="https://techcombank.com/thong-tin/blog/vay-30-trieu" TargetMode="External"/><Relationship Id="rId264" Type="http://schemas.openxmlformats.org/officeDocument/2006/relationships/hyperlink" Target="https://techcombank.com/thong-tin/blog/thue-thu-nhap-doanh-nghiep" TargetMode="External"/><Relationship Id="rId263" Type="http://schemas.openxmlformats.org/officeDocument/2006/relationships/hyperlink" Target="https://techcombank.com/thong-tin/blog/thue-thu-nhap-ca-nhan" TargetMode="External"/><Relationship Id="rId262" Type="http://schemas.openxmlformats.org/officeDocument/2006/relationships/hyperlink" Target="https://techcombank.com/thong-tin/blog/thu-tuc-mua-xe-tra-gop" TargetMode="External"/><Relationship Id="rId261" Type="http://schemas.openxmlformats.org/officeDocument/2006/relationships/hyperlink" Target="https://techcombank.com/thong-tin/blog/the-tin-dung-hoan-tien" TargetMode="External"/><Relationship Id="rId268" Type="http://schemas.openxmlformats.org/officeDocument/2006/relationships/hyperlink" Target="https://techcombank.com/thong-tin/blog/vay-100-trieu" TargetMode="External"/><Relationship Id="rId267" Type="http://schemas.openxmlformats.org/officeDocument/2006/relationships/hyperlink" Target="https://techcombank.com/thong-tin/blog/tra-no-vay-thau-chi-nhu-the-nao" TargetMode="External"/><Relationship Id="rId266" Type="http://schemas.openxmlformats.org/officeDocument/2006/relationships/hyperlink" Target="https://techcombank.com/thong-tin/blog/tra-luong-tien-mat" TargetMode="External"/><Relationship Id="rId265" Type="http://schemas.openxmlformats.org/officeDocument/2006/relationships/hyperlink" Target="https://techcombank.com/thong-tin/blog/tien-nhat" TargetMode="External"/><Relationship Id="rId260" Type="http://schemas.openxmlformats.org/officeDocument/2006/relationships/hyperlink" Target="https://techcombank.com/thong-tin/blog/the-atm-khong-rut-duoc-tien" TargetMode="External"/><Relationship Id="rId259" Type="http://schemas.openxmlformats.org/officeDocument/2006/relationships/hyperlink" Target="https://techcombank.com/thong-tin/blog/thanh-toan-khong-dung-tien-mat" TargetMode="External"/><Relationship Id="rId258" Type="http://schemas.openxmlformats.org/officeDocument/2006/relationships/hyperlink" Target="https://techcombank.com/thong-tin/blog/thanh-toan-khi-du-lich-nhat-ban" TargetMode="External"/><Relationship Id="rId253" Type="http://schemas.openxmlformats.org/officeDocument/2006/relationships/hyperlink" Target="https://techcombank.com/thong-tin/blog/ngoai-te-la-gi" TargetMode="External"/><Relationship Id="rId252" Type="http://schemas.openxmlformats.org/officeDocument/2006/relationships/hyperlink" Target="https://techcombank.com/thong-tin/blog/nen-vay-the-chap-ngan-hang-nao" TargetMode="External"/><Relationship Id="rId251" Type="http://schemas.openxmlformats.org/officeDocument/2006/relationships/hyperlink" Target="https://techcombank.com/thong-tin/blog/mua-nha-tra-gop-dua-truoc-100-trieu" TargetMode="External"/><Relationship Id="rId250" Type="http://schemas.openxmlformats.org/officeDocument/2006/relationships/hyperlink" Target="https://techcombank.com/thong-tin/blog/mo-tai-khoan-ho-kinh-doanh" TargetMode="External"/><Relationship Id="rId257" Type="http://schemas.openxmlformats.org/officeDocument/2006/relationships/hyperlink" Target="https://techcombank.com/thong-tin/blog/sao-ke-luong" TargetMode="External"/><Relationship Id="rId256" Type="http://schemas.openxmlformats.org/officeDocument/2006/relationships/hyperlink" Target="https://techcombank.com/thong-tin/blog/rut-tien-bang-ma-qr-khac-ngan-hang-duoc-khong" TargetMode="External"/><Relationship Id="rId255" Type="http://schemas.openxmlformats.org/officeDocument/2006/relationships/hyperlink" Target="https://techcombank.com/thong-tin/blog/quy-trinh-cho-vay-tieu-dung" TargetMode="External"/><Relationship Id="rId254" Type="http://schemas.openxmlformats.org/officeDocument/2006/relationships/hyperlink" Target="https://techcombank.com/thong-tin/blog/phat-cham-dang-ky-thue-ho-kinh-doanh" TargetMode="External"/><Relationship Id="rId293" Type="http://schemas.openxmlformats.org/officeDocument/2006/relationships/hyperlink" Target="https://techcombank.com/thong-tin/blog/cach-nop-thue-dien-tu" TargetMode="External"/><Relationship Id="rId292" Type="http://schemas.openxmlformats.org/officeDocument/2006/relationships/hyperlink" Target="https://techcombank.com/thong-tin/blog/cach-nap-tien-vao-the-ghi-no" TargetMode="External"/><Relationship Id="rId291" Type="http://schemas.openxmlformats.org/officeDocument/2006/relationships/hyperlink" Target="https://techcombank.com/thong-tin/blog/cach-kich-hoat-the-atm" TargetMode="External"/><Relationship Id="rId290" Type="http://schemas.openxmlformats.org/officeDocument/2006/relationships/hyperlink" Target="https://techcombank.com/thong-tin/blog/cach-khoa-the-ngan-hang" TargetMode="External"/><Relationship Id="rId286" Type="http://schemas.openxmlformats.org/officeDocument/2006/relationships/hyperlink" Target="https://techcombank.com/thong-tin/blog/bi-nuot-the-atm-phai-lam-sao" TargetMode="External"/><Relationship Id="rId285" Type="http://schemas.openxmlformats.org/officeDocument/2006/relationships/hyperlink" Target="https://techcombank.com/thong-tin/blog/barcode-la-gi" TargetMode="External"/><Relationship Id="rId284" Type="http://schemas.openxmlformats.org/officeDocument/2006/relationships/hyperlink" Target="https://techcombank.com/thong-tin/blog/app-vay-tien-nhanh" TargetMode="External"/><Relationship Id="rId283" Type="http://schemas.openxmlformats.org/officeDocument/2006/relationships/hyperlink" Target="https://techcombank.com/thong-tin/blog/app-dong-tien-dien-online" TargetMode="External"/><Relationship Id="rId289" Type="http://schemas.openxmlformats.org/officeDocument/2006/relationships/hyperlink" Target="https://techcombank.com/thong-tin/blog/cach-chuyen-tien-qua-ma-qr-techcombank" TargetMode="External"/><Relationship Id="rId288" Type="http://schemas.openxmlformats.org/officeDocument/2006/relationships/hyperlink" Target="https://techcombank.com/thong-tin/blog/cach-chuyen-khoan-bang-dien-thoai" TargetMode="External"/><Relationship Id="rId287" Type="http://schemas.openxmlformats.org/officeDocument/2006/relationships/hyperlink" Target="https://techcombank.com/thong-tin/blog/cach-bao-ve-tai-khoan" TargetMode="External"/><Relationship Id="rId282" Type="http://schemas.openxmlformats.org/officeDocument/2006/relationships/hyperlink" Target="https://techcombank.com/thong-tin/blog/6-chiec-lo-tai-chinh-ca-nhan" TargetMode="External"/><Relationship Id="rId281" Type="http://schemas.openxmlformats.org/officeDocument/2006/relationships/hyperlink" Target="https://techcombank.com/thong-tin/blog/1-yen-bang-bao-nhieu-tien-viet-nam" TargetMode="External"/><Relationship Id="rId280" Type="http://schemas.openxmlformats.org/officeDocument/2006/relationships/hyperlink" Target="https://techcombank.com/thong-tin/blog/1-trieu-won-bang-bao-nhieu-tien-viet" TargetMode="External"/><Relationship Id="rId275" Type="http://schemas.openxmlformats.org/officeDocument/2006/relationships/hyperlink" Target="https://techcombank.com/thong-tin/blog/vay-tin-chap-theo-luong" TargetMode="External"/><Relationship Id="rId274" Type="http://schemas.openxmlformats.org/officeDocument/2006/relationships/hyperlink" Target="https://techcombank.com/thong-tin/blog/vay-the-chap-xe-o-to-cu" TargetMode="External"/><Relationship Id="rId273" Type="http://schemas.openxmlformats.org/officeDocument/2006/relationships/hyperlink" Target="https://techcombank.com/thong-tin/blog/vay-the-chap-so-bao-hiem-xa-hoi" TargetMode="External"/><Relationship Id="rId272" Type="http://schemas.openxmlformats.org/officeDocument/2006/relationships/hyperlink" Target="https://techcombank.com/thong-tin/blog/vay-the-chap-khong-chung-minh-thu-nhap" TargetMode="External"/><Relationship Id="rId279" Type="http://schemas.openxmlformats.org/officeDocument/2006/relationships/hyperlink" Target="https://techcombank.com/thong-tin/blog/1-nguoi-co-the-lam-duoc-bao-nhieu-the-atm" TargetMode="External"/><Relationship Id="rId278" Type="http://schemas.openxmlformats.org/officeDocument/2006/relationships/hyperlink" Target="https://techcombank.com/thong-tin/blog/1-man-bang-bao-nhieu-tien-viet" TargetMode="External"/><Relationship Id="rId277" Type="http://schemas.openxmlformats.org/officeDocument/2006/relationships/hyperlink" Target="https://techcombank.com/thong-tin/blog/1-cent-bang-bao-nhieu-tien-viet" TargetMode="External"/><Relationship Id="rId276" Type="http://schemas.openxmlformats.org/officeDocument/2006/relationships/hyperlink" Target="https://techcombank.com/thong-tin/blog/xu-huong-ty-gia-usd" TargetMode="External"/><Relationship Id="rId629" Type="http://schemas.openxmlformats.org/officeDocument/2006/relationships/hyperlink" Target="https://techcombank.com/thong-tin/blog/dau-tu-quy-mo" TargetMode="External"/><Relationship Id="rId624" Type="http://schemas.openxmlformats.org/officeDocument/2006/relationships/hyperlink" Target="https://techcombank.com/thong-tin/blog/dang-ky-nhieu-tai-khoan-ngan-hang-co-sao-khong" TargetMode="External"/><Relationship Id="rId623" Type="http://schemas.openxmlformats.org/officeDocument/2006/relationships/hyperlink" Target="https://techcombank.com/thong-tin/blog/dac-san-nha-trang" TargetMode="External"/><Relationship Id="rId622" Type="http://schemas.openxmlformats.org/officeDocument/2006/relationships/hyperlink" Target="https://techcombank.com/thong-tin/blog/dac-san-hai-phong" TargetMode="External"/><Relationship Id="rId621" Type="http://schemas.openxmlformats.org/officeDocument/2006/relationships/hyperlink" Target="https://techcombank.com/thong-tin/blog/dac-san-ha-long" TargetMode="External"/><Relationship Id="rId628" Type="http://schemas.openxmlformats.org/officeDocument/2006/relationships/hyperlink" Target="https://techcombank.com/thong-tin/blog/dat-ve-may-bay" TargetMode="External"/><Relationship Id="rId627" Type="http://schemas.openxmlformats.org/officeDocument/2006/relationships/hyperlink" Target="https://techcombank.com/thong-tin/blog/dao-tao-the-he-ke-can" TargetMode="External"/><Relationship Id="rId626" Type="http://schemas.openxmlformats.org/officeDocument/2006/relationships/hyperlink" Target="https://techcombank.com/thong-tin/blog/dang-ky-thanh-lap-doanh-nghiep-online" TargetMode="External"/><Relationship Id="rId625" Type="http://schemas.openxmlformats.org/officeDocument/2006/relationships/hyperlink" Target="https://techcombank.com/thong-tin/blog/dang-ky-thanh-lap-doanh-nghiep" TargetMode="External"/><Relationship Id="rId620" Type="http://schemas.openxmlformats.org/officeDocument/2006/relationships/hyperlink" Target="https://techcombank.com/thong-tin/blog/dac-san-da-nang" TargetMode="External"/><Relationship Id="rId619" Type="http://schemas.openxmlformats.org/officeDocument/2006/relationships/hyperlink" Target="https://techcombank.com/thong-tin/blog/co-nen-vay-ngan-hang-mua-nha" TargetMode="External"/><Relationship Id="rId618" Type="http://schemas.openxmlformats.org/officeDocument/2006/relationships/hyperlink" Target="https://techcombank.com/thong-tin/blog/chuyen-nham-tien-co-lay-lai-duoc-khong" TargetMode="External"/><Relationship Id="rId613" Type="http://schemas.openxmlformats.org/officeDocument/2006/relationships/hyperlink" Target="https://techcombank.com/thong-tin/blog/chung-chi-tien-gui-la-gi" TargetMode="External"/><Relationship Id="rId612" Type="http://schemas.openxmlformats.org/officeDocument/2006/relationships/hyperlink" Target="https://techcombank.com/thong-tin/blog/chung-chi-quy-mo-va-dong" TargetMode="External"/><Relationship Id="rId611" Type="http://schemas.openxmlformats.org/officeDocument/2006/relationships/hyperlink" Target="https://techcombank.com/thong-tin/blog/chung-chi-quy-dong" TargetMode="External"/><Relationship Id="rId610" Type="http://schemas.openxmlformats.org/officeDocument/2006/relationships/hyperlink" Target="https://techcombank.com/thong-tin/blog/chung-chi-quy" TargetMode="External"/><Relationship Id="rId617" Type="http://schemas.openxmlformats.org/officeDocument/2006/relationships/hyperlink" Target="https://techcombank.com/thong-tin/blog/chuyen-khoan-lien-ngan-hang" TargetMode="External"/><Relationship Id="rId616" Type="http://schemas.openxmlformats.org/officeDocument/2006/relationships/hyperlink" Target="https://techcombank.com/thong-tin/blog/chuyen-gia-du-doan-gia-bat-dong-san-2025-va-cac-no-luc-tu-ngan-hang" TargetMode="External"/><Relationship Id="rId615" Type="http://schemas.openxmlformats.org/officeDocument/2006/relationships/hyperlink" Target="https://techcombank.com/thong-tin/blog/chuyen-doi-xanh" TargetMode="External"/><Relationship Id="rId614" Type="http://schemas.openxmlformats.org/officeDocument/2006/relationships/hyperlink" Target="https://techcombank.com/thong-tin/blog/chuong-trinh-khach-hang-than-thiet" TargetMode="External"/><Relationship Id="rId646" Type="http://schemas.openxmlformats.org/officeDocument/2006/relationships/hyperlink" Target="https://techcombank.com/thong-tin/blog/ho-so-dang-ky-thanh-lap-doanh-nghiep" TargetMode="External"/><Relationship Id="rId645" Type="http://schemas.openxmlformats.org/officeDocument/2006/relationships/hyperlink" Target="https://techcombank.com/thong-tin/blog/high-net-worth-client-va-ultra-high-net-worth-client" TargetMode="External"/><Relationship Id="rId644" Type="http://schemas.openxmlformats.org/officeDocument/2006/relationships/hyperlink" Target="https://techcombank.com/thong-tin/blog/gio-lam-viec-ngan-hang" TargetMode="External"/><Relationship Id="rId643" Type="http://schemas.openxmlformats.org/officeDocument/2006/relationships/hyperlink" Target="https://techcombank.com/thong-tin/blog/giam-gia-be" TargetMode="External"/><Relationship Id="rId649" Type="http://schemas.openxmlformats.org/officeDocument/2006/relationships/hyperlink" Target="https://techcombank.com/thong-tin/blog/ke-hoach-tai-chinh" TargetMode="External"/><Relationship Id="rId648" Type="http://schemas.openxmlformats.org/officeDocument/2006/relationships/hyperlink" Target="https://techcombank.com/thong-tin/blog/ke-hoach-huu-tri" TargetMode="External"/><Relationship Id="rId647" Type="http://schemas.openxmlformats.org/officeDocument/2006/relationships/hyperlink" Target="https://techcombank.com/thong-tin/blog/internet-banking" TargetMode="External"/><Relationship Id="rId642" Type="http://schemas.openxmlformats.org/officeDocument/2006/relationships/hyperlink" Target="https://techcombank.com/thong-tin/blog/giai-phap-quan-ly-chuoi-cua-hang" TargetMode="External"/><Relationship Id="rId641" Type="http://schemas.openxmlformats.org/officeDocument/2006/relationships/hyperlink" Target="https://techcombank.com/thong-tin/blog/gia-tri-thuong-hieu" TargetMode="External"/><Relationship Id="rId640" Type="http://schemas.openxmlformats.org/officeDocument/2006/relationships/hyperlink" Target="https://techcombank.com/thong-tin/blog/gia-dien-sinh-hoat" TargetMode="External"/><Relationship Id="rId635" Type="http://schemas.openxmlformats.org/officeDocument/2006/relationships/hyperlink" Target="https://techcombank.com/thong-tin/blog/eco-card" TargetMode="External"/><Relationship Id="rId634" Type="http://schemas.openxmlformats.org/officeDocument/2006/relationships/hyperlink" Target="https://techcombank.com/thong-tin/blog/du-bao-gia-vang" TargetMode="External"/><Relationship Id="rId633" Type="http://schemas.openxmlformats.org/officeDocument/2006/relationships/hyperlink" Target="https://techcombank.com/thong-tin/blog/doi-dam-bay" TargetMode="External"/><Relationship Id="rId632" Type="http://schemas.openxmlformats.org/officeDocument/2006/relationships/hyperlink" Target="https://techcombank.com/thong-tin/blog/dinar-kuwait" TargetMode="External"/><Relationship Id="rId639" Type="http://schemas.openxmlformats.org/officeDocument/2006/relationships/hyperlink" Target="https://techcombank.com/thong-tin/blog/gia-cao-su" TargetMode="External"/><Relationship Id="rId638" Type="http://schemas.openxmlformats.org/officeDocument/2006/relationships/hyperlink" Target="https://techcombank.com/thong-tin/blog/fdi" TargetMode="External"/><Relationship Id="rId637" Type="http://schemas.openxmlformats.org/officeDocument/2006/relationships/hyperlink" Target="https://techcombank.com/thong-tin/blog/esg" TargetMode="External"/><Relationship Id="rId636" Type="http://schemas.openxmlformats.org/officeDocument/2006/relationships/hyperlink" Target="https://techcombank.com/thong-tin/blog/ekyc-la-gi" TargetMode="External"/><Relationship Id="rId631" Type="http://schemas.openxmlformats.org/officeDocument/2006/relationships/hyperlink" Target="https://techcombank.com/thong-tin/blog/dieu-kien-thanh-lap-doanh-nghiep" TargetMode="External"/><Relationship Id="rId630" Type="http://schemas.openxmlformats.org/officeDocument/2006/relationships/hyperlink" Target="https://techcombank.com/thong-tin/blog/day-so-phat-tai-phat-loc" TargetMode="External"/><Relationship Id="rId609" Type="http://schemas.openxmlformats.org/officeDocument/2006/relationships/hyperlink" Target="https://techcombank.com/thong-tin/blog/cho-vay-kinh-doanh-ho-gia-dinh" TargetMode="External"/><Relationship Id="rId608" Type="http://schemas.openxmlformats.org/officeDocument/2006/relationships/hyperlink" Target="https://techcombank.com/thong-tin/blog/cho-vay-hop-von-la-gi" TargetMode="External"/><Relationship Id="rId607" Type="http://schemas.openxmlformats.org/officeDocument/2006/relationships/hyperlink" Target="https://techcombank.com/thong-tin/blog/chien-luoc-dau-tu" TargetMode="External"/><Relationship Id="rId602" Type="http://schemas.openxmlformats.org/officeDocument/2006/relationships/hyperlink" Target="https://techcombank.com/thong-tin/blog/cach-nap-the-vina" TargetMode="External"/><Relationship Id="rId601" Type="http://schemas.openxmlformats.org/officeDocument/2006/relationships/hyperlink" Target="https://techcombank.com/thong-tin/blog/cach-nap-the-mobi" TargetMode="External"/><Relationship Id="rId600" Type="http://schemas.openxmlformats.org/officeDocument/2006/relationships/hyperlink" Target="https://techcombank.com/thong-tin/blog/cach-lien-ket-epass-voi-tai-khoan-ngan-hang" TargetMode="External"/><Relationship Id="rId606" Type="http://schemas.openxmlformats.org/officeDocument/2006/relationships/hyperlink" Target="https://techcombank.com/thong-tin/blog/casa-la-gi" TargetMode="External"/><Relationship Id="rId605" Type="http://schemas.openxmlformats.org/officeDocument/2006/relationships/hyperlink" Target="https://techcombank.com/thong-tin/blog/cach-tiet-kiem-tien-theo-tuan" TargetMode="External"/><Relationship Id="rId604" Type="http://schemas.openxmlformats.org/officeDocument/2006/relationships/hyperlink" Target="https://techcombank.com/thong-tin/blog/cach-tiet-kiem-100-trieu-1-nam" TargetMode="External"/><Relationship Id="rId603" Type="http://schemas.openxmlformats.org/officeDocument/2006/relationships/hyperlink" Target="https://techcombank.com/thong-tin/blog/cach-quan-ly-tai-chinh-kinh-doanh" TargetMode="External"/><Relationship Id="rId228" Type="http://schemas.openxmlformats.org/officeDocument/2006/relationships/hyperlink" Target="https://techcombank.com/thong-tin/blog/cho-vay-tieu-dung-la-gi" TargetMode="External"/><Relationship Id="rId227" Type="http://schemas.openxmlformats.org/officeDocument/2006/relationships/hyperlink" Target="https://techcombank.com/thong-tin/blog/chixmax" TargetMode="External"/><Relationship Id="rId226" Type="http://schemas.openxmlformats.org/officeDocument/2006/relationships/hyperlink" Target="https://techcombank.com/thong-tin/blog/cach-tinh-thue-thu-nhap-doanh-nghiep" TargetMode="External"/><Relationship Id="rId225" Type="http://schemas.openxmlformats.org/officeDocument/2006/relationships/hyperlink" Target="https://techcombank.com/thong-tin/blog/cach-tinh-loi-nhuan-chung-chi-tien-gui" TargetMode="External"/><Relationship Id="rId229" Type="http://schemas.openxmlformats.org/officeDocument/2006/relationships/hyperlink" Target="https://techcombank.com/thong-tin/blog/chuan-bi-cho-doanh-nghiep-khoi-nghiep-truoc-nhung-thay-doi-ve-thue" TargetMode="External"/><Relationship Id="rId220" Type="http://schemas.openxmlformats.org/officeDocument/2006/relationships/hyperlink" Target="https://techcombank.com/thong-tin/blog/cach-huy-thanh-toan-tien-dien" TargetMode="External"/><Relationship Id="rId224" Type="http://schemas.openxmlformats.org/officeDocument/2006/relationships/hyperlink" Target="https://techcombank.com/thong-tin/blog/cach-tiet-kiem-tien-hieu-qua-cho-gia-dinh" TargetMode="External"/><Relationship Id="rId223" Type="http://schemas.openxmlformats.org/officeDocument/2006/relationships/hyperlink" Target="https://techcombank.com/thong-tin/blog/cach-rut-tien-atm" TargetMode="External"/><Relationship Id="rId222" Type="http://schemas.openxmlformats.org/officeDocument/2006/relationships/hyperlink" Target="https://techcombank.com/thong-tin/blog/cach-kiem-tra-tai-khoan-ngan-hang-cua-cong-ty" TargetMode="External"/><Relationship Id="rId221" Type="http://schemas.openxmlformats.org/officeDocument/2006/relationships/hyperlink" Target="https://techcombank.com/thong-tin/blog/cach-huy-the-tin-dung" TargetMode="External"/><Relationship Id="rId217" Type="http://schemas.openxmlformats.org/officeDocument/2006/relationships/hyperlink" Target="https://techcombank.com/thong-tin/blog/cac-sai-lam-pho-bien-khi-chuyen-doi-ho-kinh-doanh-len-sme" TargetMode="External"/><Relationship Id="rId216" Type="http://schemas.openxmlformats.org/officeDocument/2006/relationships/hyperlink" Target="https://techcombank.com/thong-tin/blog/cac-hinh-thuc-cho-vay-tieu-dung" TargetMode="External"/><Relationship Id="rId215" Type="http://schemas.openxmlformats.org/officeDocument/2006/relationships/hyperlink" Target="https://techcombank.com/thong-tin/blog/bao-hiem-vat-chat-xe-o-to" TargetMode="External"/><Relationship Id="rId699" Type="http://schemas.openxmlformats.org/officeDocument/2006/relationships/hyperlink" Target="https://techcombank.com/thong-tin/blog/tai-san-va-tieu-san-la-gi" TargetMode="External"/><Relationship Id="rId214" Type="http://schemas.openxmlformats.org/officeDocument/2006/relationships/hyperlink" Target="https://techcombank.com/thong-tin/blog/1000-won-bang-bao-nhieu-tien-viet" TargetMode="External"/><Relationship Id="rId698" Type="http://schemas.openxmlformats.org/officeDocument/2006/relationships/hyperlink" Target="https://techcombank.com/thong-tin/blog/tai-khoan-ngan-hang-duoi-50k-co-bi-khoa-khong" TargetMode="External"/><Relationship Id="rId219" Type="http://schemas.openxmlformats.org/officeDocument/2006/relationships/hyperlink" Target="https://techcombank.com/thong-tin/blog/cach-dang-ky-ma-so-thue-ho-kinh-doanh-online" TargetMode="External"/><Relationship Id="rId218" Type="http://schemas.openxmlformats.org/officeDocument/2006/relationships/hyperlink" Target="https://techcombank.com/thong-tin/blog/cach-chon-so-tai-khoan-dep" TargetMode="External"/><Relationship Id="rId693" Type="http://schemas.openxmlformats.org/officeDocument/2006/relationships/hyperlink" Target="https://techcombank.com/thong-tin/blog/shopeepay-la-gi" TargetMode="External"/><Relationship Id="rId692" Type="http://schemas.openxmlformats.org/officeDocument/2006/relationships/hyperlink" Target="https://techcombank.com/thong-tin/blog/san-pham-xanh" TargetMode="External"/><Relationship Id="rId691" Type="http://schemas.openxmlformats.org/officeDocument/2006/relationships/hyperlink" Target="https://techcombank.com/thong-tin/blog/quy-du-phong-tai-chinh-la-gi" TargetMode="External"/><Relationship Id="rId690" Type="http://schemas.openxmlformats.org/officeDocument/2006/relationships/hyperlink" Target="https://techcombank.com/thong-tin/blog/quan-ly-tai-chinh-doanh-nghiep-nho" TargetMode="External"/><Relationship Id="rId213" Type="http://schemas.openxmlformats.org/officeDocument/2006/relationships/hyperlink" Target="https://techcombank.com/thong-tin/blog/1-cmnd-dang-ky-duoc-may-tai-khoan-ngan-hang" TargetMode="External"/><Relationship Id="rId697" Type="http://schemas.openxmlformats.org/officeDocument/2006/relationships/hyperlink" Target="https://techcombank.com/thong-tin/blog/tai-khoan-ngan-hang-chua-toi-da-bao-nhieu-tien" TargetMode="External"/><Relationship Id="rId212" Type="http://schemas.openxmlformats.org/officeDocument/2006/relationships/hyperlink" Target="https://techcombank.com/thong-tin/blog/vay-tin-chap-ho-kinh-doanh" TargetMode="External"/><Relationship Id="rId696" Type="http://schemas.openxmlformats.org/officeDocument/2006/relationships/hyperlink" Target="https://techcombank.com/thong-tin/blog/su-hop-tac-cua-ngan-hang-va-fintech-tren-hanh-trinh-chuyen-doi-so" TargetMode="External"/><Relationship Id="rId211" Type="http://schemas.openxmlformats.org/officeDocument/2006/relationships/hyperlink" Target="https://techcombank.com/thong-tin/blog/vay-thau-chi-bang-so-tiet-kiem" TargetMode="External"/><Relationship Id="rId695" Type="http://schemas.openxmlformats.org/officeDocument/2006/relationships/hyperlink" Target="https://techcombank.com/thong-tin/blog/smart-otp-la-gi" TargetMode="External"/><Relationship Id="rId210" Type="http://schemas.openxmlformats.org/officeDocument/2006/relationships/hyperlink" Target="https://techcombank.com/thong-tin/blog/vay-ngan-hang-chi-can-cccd" TargetMode="External"/><Relationship Id="rId694" Type="http://schemas.openxmlformats.org/officeDocument/2006/relationships/hyperlink" Target="https://techcombank.com/thong-tin/blog/sinh-loi-rinh-loc" TargetMode="External"/><Relationship Id="rId249" Type="http://schemas.openxmlformats.org/officeDocument/2006/relationships/hyperlink" Target="https://techcombank.com/thong-tin/blog/luu-y-khi-chuyen-doi-tu-ho-kinh-doanh-len-doanh-nghiep" TargetMode="External"/><Relationship Id="rId248" Type="http://schemas.openxmlformats.org/officeDocument/2006/relationships/hyperlink" Target="https://techcombank.com/thong-tin/blog/lo-so-tai-khoan-ngan-hang-co-sao-khong" TargetMode="External"/><Relationship Id="rId247" Type="http://schemas.openxmlformats.org/officeDocument/2006/relationships/hyperlink" Target="https://techcombank.com/thong-tin/blog/lam-the-atm-co-mat-phi-khong" TargetMode="External"/><Relationship Id="rId242" Type="http://schemas.openxmlformats.org/officeDocument/2006/relationships/hyperlink" Target="https://techcombank.com/thong-tin/blog/khai-bao-tai-khoan-ngan-hang-voi-co-quan-thue" TargetMode="External"/><Relationship Id="rId241" Type="http://schemas.openxmlformats.org/officeDocument/2006/relationships/hyperlink" Target="https://techcombank.com/thong-tin/blog/hoc-sinh-sinh-vien-nen-lam-the-ngan-hang-nao" TargetMode="External"/><Relationship Id="rId240" Type="http://schemas.openxmlformats.org/officeDocument/2006/relationships/hyperlink" Target="https://techcombank.com/thong-tin/blog/giai-dap-ve-thue-doanh-nghiep" TargetMode="External"/><Relationship Id="rId246" Type="http://schemas.openxmlformats.org/officeDocument/2006/relationships/hyperlink" Target="https://techcombank.com/thong-tin/blog/lam-the-atm-bao-lau-co" TargetMode="External"/><Relationship Id="rId245" Type="http://schemas.openxmlformats.org/officeDocument/2006/relationships/hyperlink" Target="https://techcombank.com/thong-tin/blog/lai-suat-qua-han" TargetMode="External"/><Relationship Id="rId244" Type="http://schemas.openxmlformats.org/officeDocument/2006/relationships/hyperlink" Target="https://techcombank.com/thong-tin/blog/lai-suat-cho-vay-doanh-nghiep" TargetMode="External"/><Relationship Id="rId243" Type="http://schemas.openxmlformats.org/officeDocument/2006/relationships/hyperlink" Target="https://techcombank.com/thong-tin/blog/kiem-tra-ma-so-thue-doanh-nghiep" TargetMode="External"/><Relationship Id="rId239" Type="http://schemas.openxmlformats.org/officeDocument/2006/relationships/hyperlink" Target="https://techcombank.com/thong-tin/blog/gia-chung-chi-quy-la-gi" TargetMode="External"/><Relationship Id="rId238" Type="http://schemas.openxmlformats.org/officeDocument/2006/relationships/hyperlink" Target="https://techcombank.com/thong-tin/blog/du-no-la-gi" TargetMode="External"/><Relationship Id="rId237" Type="http://schemas.openxmlformats.org/officeDocument/2006/relationships/hyperlink" Target="https://techcombank.com/thong-tin/blog/dau-tu-dai-han" TargetMode="External"/><Relationship Id="rId236" Type="http://schemas.openxmlformats.org/officeDocument/2006/relationships/hyperlink" Target="https://techcombank.com/thong-tin/blog/dau-co-va-dau-tu" TargetMode="External"/><Relationship Id="rId231" Type="http://schemas.openxmlformats.org/officeDocument/2006/relationships/hyperlink" Target="https://techcombank.com/thong-tin/blog/chuyen-nhuong-chung-chi-tien-gui" TargetMode="External"/><Relationship Id="rId230" Type="http://schemas.openxmlformats.org/officeDocument/2006/relationships/hyperlink" Target="https://techcombank.com/thong-tin/blog/chuyen-doi-so-ho-kinh-doanh" TargetMode="External"/><Relationship Id="rId235" Type="http://schemas.openxmlformats.org/officeDocument/2006/relationships/hyperlink" Target="https://techcombank.com/thong-tin/blog/co-nen-mua-o-to-tra-gop" TargetMode="External"/><Relationship Id="rId234" Type="http://schemas.openxmlformats.org/officeDocument/2006/relationships/hyperlink" Target="https://techcombank.com/thong-tin/blog/co-100-trieu-co-mua-nen-mua-tra-gop" TargetMode="External"/><Relationship Id="rId233" Type="http://schemas.openxmlformats.org/officeDocument/2006/relationships/hyperlink" Target="https://techcombank.com/thong-tin/blog/chuyen-tien-tu-han-sang-viet-nam" TargetMode="External"/><Relationship Id="rId232" Type="http://schemas.openxmlformats.org/officeDocument/2006/relationships/hyperlink" Target="https://techcombank.com/thong-tin/blog/chuyen-tien-dinh-cu" TargetMode="External"/><Relationship Id="rId668" Type="http://schemas.openxmlformats.org/officeDocument/2006/relationships/hyperlink" Target="https://techcombank.com/thong-tin/blog/mo-tai-khoan-ngan-hang-trung-so-dien-thoai" TargetMode="External"/><Relationship Id="rId667" Type="http://schemas.openxmlformats.org/officeDocument/2006/relationships/hyperlink" Target="https://techcombank.com/thong-tin/blog/minigame-world-cup" TargetMode="External"/><Relationship Id="rId666" Type="http://schemas.openxmlformats.org/officeDocument/2006/relationships/hyperlink" Target="https://techcombank.com/thong-tin/blog/ma-otp-la-gi" TargetMode="External"/><Relationship Id="rId665" Type="http://schemas.openxmlformats.org/officeDocument/2006/relationships/hyperlink" Target="https://techcombank.com/thong-tin/blog/ma-giam-xanh-sm" TargetMode="External"/><Relationship Id="rId669" Type="http://schemas.openxmlformats.org/officeDocument/2006/relationships/hyperlink" Target="https://techcombank.com/thong-tin/blog/mo-them-tai-khoan-ngan-hang-cho-cong-ty" TargetMode="External"/><Relationship Id="rId660" Type="http://schemas.openxmlformats.org/officeDocument/2006/relationships/hyperlink" Target="https://techcombank.com/thong-tin/blog/loi-ich-cua-ngan-hang-so-voi-sme" TargetMode="External"/><Relationship Id="rId664" Type="http://schemas.openxmlformats.org/officeDocument/2006/relationships/hyperlink" Target="https://techcombank.com/thong-tin/blog/ma-giam-gia-shopee" TargetMode="External"/><Relationship Id="rId663" Type="http://schemas.openxmlformats.org/officeDocument/2006/relationships/hyperlink" Target="https://techcombank.com/thong-tin/blog/ma-giam-gia-phela" TargetMode="External"/><Relationship Id="rId662" Type="http://schemas.openxmlformats.org/officeDocument/2006/relationships/hyperlink" Target="https://techcombank.com/thong-tin/blog/ma-giam-gia-al-frescos" TargetMode="External"/><Relationship Id="rId661" Type="http://schemas.openxmlformats.org/officeDocument/2006/relationships/hyperlink" Target="https://techcombank.com/thong-tin/blog/ly-do-ngan-hang-so-tro-thanh-cong-cu-tai-chinh-hang-dau-cua-gioi-tre" TargetMode="External"/><Relationship Id="rId657" Type="http://schemas.openxmlformats.org/officeDocument/2006/relationships/hyperlink" Target="https://techcombank.com/thong-tin/blog/li-xi-tet" TargetMode="External"/><Relationship Id="rId656" Type="http://schemas.openxmlformats.org/officeDocument/2006/relationships/hyperlink" Target="https://techcombank.com/thong-tin/blog/lam-phat-la-gi" TargetMode="External"/><Relationship Id="rId655" Type="http://schemas.openxmlformats.org/officeDocument/2006/relationships/hyperlink" Target="https://techcombank.com/thong-tin/blog/lai-suat-la-gi" TargetMode="External"/><Relationship Id="rId654" Type="http://schemas.openxmlformats.org/officeDocument/2006/relationships/hyperlink" Target="https://techcombank.com/thong-tin/blog/kinh-doanh-online" TargetMode="External"/><Relationship Id="rId659" Type="http://schemas.openxmlformats.org/officeDocument/2006/relationships/hyperlink" Target="https://techcombank.com/thong-tin/blog/loa-ting-ting" TargetMode="External"/><Relationship Id="rId658" Type="http://schemas.openxmlformats.org/officeDocument/2006/relationships/hyperlink" Target="https://techcombank.com/thong-tin/blog/loa-thong-bao-chuyen-khoan" TargetMode="External"/><Relationship Id="rId653" Type="http://schemas.openxmlformats.org/officeDocument/2006/relationships/hyperlink" Target="https://techcombank.com/thong-tin/blog/kieu-hoi-la-gi" TargetMode="External"/><Relationship Id="rId652" Type="http://schemas.openxmlformats.org/officeDocument/2006/relationships/hyperlink" Target="https://techcombank.com/thong-tin/blog/kichi-kichi" TargetMode="External"/><Relationship Id="rId651" Type="http://schemas.openxmlformats.org/officeDocument/2006/relationships/hyperlink" Target="https://techcombank.com/thong-tin/blog/khau-hao-la-gi" TargetMode="External"/><Relationship Id="rId650" Type="http://schemas.openxmlformats.org/officeDocument/2006/relationships/hyperlink" Target="https://techcombank.com/thong-tin/blog/khau-hao" TargetMode="External"/><Relationship Id="rId206" Type="http://schemas.openxmlformats.org/officeDocument/2006/relationships/hyperlink" Target="https://techcombank.com/thong-tin/blog/truy-thu-thue-ho-kinh-doanh" TargetMode="External"/><Relationship Id="rId205" Type="http://schemas.openxmlformats.org/officeDocument/2006/relationships/hyperlink" Target="https://techcombank.com/thong-tin/blog/tra-cuu-no-thue-hai-quan" TargetMode="External"/><Relationship Id="rId689" Type="http://schemas.openxmlformats.org/officeDocument/2006/relationships/hyperlink" Target="https://techcombank.com/thong-tin/blog/quan-ly-danh-muc-dau-tu" TargetMode="External"/><Relationship Id="rId204" Type="http://schemas.openxmlformats.org/officeDocument/2006/relationships/hyperlink" Target="https://techcombank.com/thong-tin/blog/tra-cuu-ma-so-thue-ho-kinh-doanh" TargetMode="External"/><Relationship Id="rId688" Type="http://schemas.openxmlformats.org/officeDocument/2006/relationships/hyperlink" Target="https://techcombank.com/thong-tin/blog/quan-ly-chuoi-cua-hang" TargetMode="External"/><Relationship Id="rId203" Type="http://schemas.openxmlformats.org/officeDocument/2006/relationships/hyperlink" Target="https://techcombank.com/thong-tin/blog/tiet-kiem-khi-di-du-lich" TargetMode="External"/><Relationship Id="rId687" Type="http://schemas.openxmlformats.org/officeDocument/2006/relationships/hyperlink" Target="https://techcombank.com/thong-tin/blog/quan-ly-chi-phi-doanh-nghiep" TargetMode="External"/><Relationship Id="rId209" Type="http://schemas.openxmlformats.org/officeDocument/2006/relationships/hyperlink" Target="https://techcombank.com/thong-tin/blog/vay-mua-xe-tra-gop-ngan-hang-nao-tot-nhat" TargetMode="External"/><Relationship Id="rId208" Type="http://schemas.openxmlformats.org/officeDocument/2006/relationships/hyperlink" Target="https://techcombank.com/thong-tin/blog/uu-dai-mua-iphone-18" TargetMode="External"/><Relationship Id="rId207" Type="http://schemas.openxmlformats.org/officeDocument/2006/relationships/hyperlink" Target="https://techcombank.com/thong-tin/blog/ty-gia-cac-ngan-hang" TargetMode="External"/><Relationship Id="rId682" Type="http://schemas.openxmlformats.org/officeDocument/2006/relationships/hyperlink" Target="https://techcombank.com/thong-tin/blog/nhuong-quyen-la-gi" TargetMode="External"/><Relationship Id="rId681" Type="http://schemas.openxmlformats.org/officeDocument/2006/relationships/hyperlink" Target="https://techcombank.com/thong-tin/blog/nhung-kho-khan-khi-tiet-kiem-tien" TargetMode="External"/><Relationship Id="rId680" Type="http://schemas.openxmlformats.org/officeDocument/2006/relationships/hyperlink" Target="https://techcombank.com/thong-tin/blog/nhu-cau-vay-tieu-dung-cua-nguoi-viet-du-kien-tang-manh-trong-thoi-gian-toi" TargetMode="External"/><Relationship Id="rId202" Type="http://schemas.openxmlformats.org/officeDocument/2006/relationships/hyperlink" Target="https://techcombank.com/thong-tin/blog/thue-phi-co-dinh-khi-chuyen-doi-tu-ho-kinh-doanh-len-doanh-nghiep" TargetMode="External"/><Relationship Id="rId686" Type="http://schemas.openxmlformats.org/officeDocument/2006/relationships/hyperlink" Target="https://techcombank.com/thong-tin/blog/phuong-phap-dau-tu-chung-chi-quy" TargetMode="External"/><Relationship Id="rId201" Type="http://schemas.openxmlformats.org/officeDocument/2006/relationships/hyperlink" Target="https://techcombank.com/thong-tin/blog/thue-doanh-nghiep" TargetMode="External"/><Relationship Id="rId685" Type="http://schemas.openxmlformats.org/officeDocument/2006/relationships/hyperlink" Target="https://techcombank.com/thong-tin/blog/phi-thuong-nien-la-gi" TargetMode="External"/><Relationship Id="rId200" Type="http://schemas.openxmlformats.org/officeDocument/2006/relationships/hyperlink" Target="https://techcombank.com/thong-tin/blog/the-tin-dung-nao-nhieu-uu-dai-nhat" TargetMode="External"/><Relationship Id="rId684" Type="http://schemas.openxmlformats.org/officeDocument/2006/relationships/hyperlink" Target="https://techcombank.com/thong-tin/blog/phan-mem-quan-ly-tai-chinh-doanh-nghiep" TargetMode="External"/><Relationship Id="rId683" Type="http://schemas.openxmlformats.org/officeDocument/2006/relationships/hyperlink" Target="https://techcombank.com/thong-tin/blog/oneu" TargetMode="External"/><Relationship Id="rId679" Type="http://schemas.openxmlformats.org/officeDocument/2006/relationships/hyperlink" Target="https://techcombank.com/thong-tin/blog/nho-nguoi-than-mo-tai-khoan-ngan-hang" TargetMode="External"/><Relationship Id="rId678" Type="http://schemas.openxmlformats.org/officeDocument/2006/relationships/hyperlink" Target="https://techcombank.com/thong-tin/blog/nhan-tien-western-union" TargetMode="External"/><Relationship Id="rId677" Type="http://schemas.openxmlformats.org/officeDocument/2006/relationships/hyperlink" Target="https://techcombank.com/thong-tin/blog/nguyen-tac-quan-ly-tai-chinh-ca-nhan" TargetMode="External"/><Relationship Id="rId676" Type="http://schemas.openxmlformats.org/officeDocument/2006/relationships/hyperlink" Target="https://techcombank.com/thong-tin/blog/nguoi-duoc-bao-hiem-la-gi" TargetMode="External"/><Relationship Id="rId671" Type="http://schemas.openxmlformats.org/officeDocument/2006/relationships/hyperlink" Target="https://techcombank.com/thong-tin/blog/mua-bao-hiem-o-to" TargetMode="External"/><Relationship Id="rId670" Type="http://schemas.openxmlformats.org/officeDocument/2006/relationships/hyperlink" Target="https://techcombank.com/thong-tin/blog/mobile-banking-la-gi" TargetMode="External"/><Relationship Id="rId675" Type="http://schemas.openxmlformats.org/officeDocument/2006/relationships/hyperlink" Target="https://techcombank.com/thong-tin/blog/nghich-ly-nha-dau-tu-che-trai-phieu-lai-suat-cao-ua-ma-an-toan-du-lai-suat-thap-hon-05-1" TargetMode="External"/><Relationship Id="rId674" Type="http://schemas.openxmlformats.org/officeDocument/2006/relationships/hyperlink" Target="https://techcombank.com/thong-tin/blog/nen-lam-the-visa-hay-noi-dia" TargetMode="External"/><Relationship Id="rId673" Type="http://schemas.openxmlformats.org/officeDocument/2006/relationships/hyperlink" Target="https://techcombank.com/thong-tin/blog/mua-ve-may-bay-gia-re" TargetMode="External"/><Relationship Id="rId672" Type="http://schemas.openxmlformats.org/officeDocument/2006/relationships/hyperlink" Target="https://techcombank.com/thong-tin/blog/mua-bao-hiem-o-to-dien" TargetMode="External"/><Relationship Id="rId190" Type="http://schemas.openxmlformats.org/officeDocument/2006/relationships/hyperlink" Target="https://techcombank.com/thong-tin/blog/tat-toan-chung-chi-tien-gui" TargetMode="External"/><Relationship Id="rId194" Type="http://schemas.openxmlformats.org/officeDocument/2006/relationships/hyperlink" Target="https://techcombank.com/thong-tin/blog/the-debit-cho-con" TargetMode="External"/><Relationship Id="rId193" Type="http://schemas.openxmlformats.org/officeDocument/2006/relationships/hyperlink" Target="https://techcombank.com/thong-tin/blog/thanh-toan-online-bang-the-tin-dung" TargetMode="External"/><Relationship Id="rId192" Type="http://schemas.openxmlformats.org/officeDocument/2006/relationships/hyperlink" Target="https://techcombank.com/thong-tin/blog/thanh-toan-khi-du-lich-han-quoc" TargetMode="External"/><Relationship Id="rId191" Type="http://schemas.openxmlformats.org/officeDocument/2006/relationships/hyperlink" Target="https://techcombank.com/thong-tin/blog/thanh-toan-bang-the-quoc-te" TargetMode="External"/><Relationship Id="rId187" Type="http://schemas.openxmlformats.org/officeDocument/2006/relationships/hyperlink" Target="https://techcombank.com/thong-tin/blog/so-cvv-la-gi" TargetMode="External"/><Relationship Id="rId186" Type="http://schemas.openxmlformats.org/officeDocument/2006/relationships/hyperlink" Target="https://techcombank.com/thong-tin/blog/sang-ngang-the-tin-dung" TargetMode="External"/><Relationship Id="rId185" Type="http://schemas.openxmlformats.org/officeDocument/2006/relationships/hyperlink" Target="https://techcombank.com/thong-tin/blog/rut-tien-bao-hiem-nhan-tho-khi-het-han" TargetMode="External"/><Relationship Id="rId184" Type="http://schemas.openxmlformats.org/officeDocument/2006/relationships/hyperlink" Target="https://techcombank.com/thong-tin/blog/rui-ro-khi-gui-tiet-kiem-online" TargetMode="External"/><Relationship Id="rId189" Type="http://schemas.openxmlformats.org/officeDocument/2006/relationships/hyperlink" Target="https://techcombank.com/thong-tin/blog/so-the-tin-dung" TargetMode="External"/><Relationship Id="rId188" Type="http://schemas.openxmlformats.org/officeDocument/2006/relationships/hyperlink" Target="https://techcombank.com/thong-tin/blog/so-luong-the-tin-dung-noi-dia-dang-luu-hanh-da-tang-42-so-voi-cung-ky-nam-2022" TargetMode="External"/><Relationship Id="rId183" Type="http://schemas.openxmlformats.org/officeDocument/2006/relationships/hyperlink" Target="https://techcombank.com/thong-tin/blog/quyet-toan-thue-doanh-nghiep" TargetMode="External"/><Relationship Id="rId182" Type="http://schemas.openxmlformats.org/officeDocument/2006/relationships/hyperlink" Target="https://techcombank.com/thong-tin/blog/phan-mem-xuat-hoa-don-dien-tu" TargetMode="External"/><Relationship Id="rId181" Type="http://schemas.openxmlformats.org/officeDocument/2006/relationships/hyperlink" Target="https://techcombank.com/thong-tin/blog/no-xau-la-gi" TargetMode="External"/><Relationship Id="rId180" Type="http://schemas.openxmlformats.org/officeDocument/2006/relationships/hyperlink" Target="https://techcombank.com/thong-tin/blog/no-xau" TargetMode="External"/><Relationship Id="rId176" Type="http://schemas.openxmlformats.org/officeDocument/2006/relationships/hyperlink" Target="https://techcombank.com/thong-tin/blog/nen-de-tien-trong-the-hay-gui-tiet-kiem" TargetMode="External"/><Relationship Id="rId175" Type="http://schemas.openxmlformats.org/officeDocument/2006/relationships/hyperlink" Target="https://techcombank.com/thong-tin/blog/mua-iphone-17" TargetMode="External"/><Relationship Id="rId174" Type="http://schemas.openxmlformats.org/officeDocument/2006/relationships/hyperlink" Target="https://techcombank.com/thong-tin/blog/mo-the-tin-dung-co-loi-ich-gi" TargetMode="External"/><Relationship Id="rId173" Type="http://schemas.openxmlformats.org/officeDocument/2006/relationships/hyperlink" Target="https://techcombank.com/thong-tin/blog/mo-tai-khoan-tiet-kiem-cho-con" TargetMode="External"/><Relationship Id="rId179" Type="http://schemas.openxmlformats.org/officeDocument/2006/relationships/hyperlink" Target="https://techcombank.com/thong-tin/blog/no-chu-y-la-gi" TargetMode="External"/><Relationship Id="rId178" Type="http://schemas.openxmlformats.org/officeDocument/2006/relationships/hyperlink" Target="https://techcombank.com/thong-tin/blog/ngoai-hoi-la-gi" TargetMode="External"/><Relationship Id="rId177" Type="http://schemas.openxmlformats.org/officeDocument/2006/relationships/hyperlink" Target="https://techcombank.com/thong-tin/blog/nen-gui-tiet-kiem-thong-thuong-hay-tich-luy" TargetMode="External"/><Relationship Id="rId198" Type="http://schemas.openxmlformats.org/officeDocument/2006/relationships/hyperlink" Target="https://techcombank.com/thong-tin/blog/the-tin-dung-het-han" TargetMode="External"/><Relationship Id="rId197" Type="http://schemas.openxmlformats.org/officeDocument/2006/relationships/hyperlink" Target="https://techcombank.com/thong-tin/blog/the-tin-dung-den" TargetMode="External"/><Relationship Id="rId196" Type="http://schemas.openxmlformats.org/officeDocument/2006/relationships/hyperlink" Target="https://techcombank.com/thong-tin/blog/the-tin-dung-co-ma-pin-khong" TargetMode="External"/><Relationship Id="rId195" Type="http://schemas.openxmlformats.org/officeDocument/2006/relationships/hyperlink" Target="https://techcombank.com/thong-tin/blog/the-tin-dung-ao" TargetMode="External"/><Relationship Id="rId199" Type="http://schemas.openxmlformats.org/officeDocument/2006/relationships/hyperlink" Target="https://techcombank.com/thong-tin/blog/the-tin-dung-mien-phi-thuong-nien" TargetMode="External"/><Relationship Id="rId150" Type="http://schemas.openxmlformats.org/officeDocument/2006/relationships/hyperlink" Target="https://techcombank.com/thong-tin/blog/chung-chi-tien-gui-co-duoc-rut-truoc-han" TargetMode="External"/><Relationship Id="rId149" Type="http://schemas.openxmlformats.org/officeDocument/2006/relationships/hyperlink" Target="https://techcombank.com/thong-tin/blog/cdm" TargetMode="External"/><Relationship Id="rId148" Type="http://schemas.openxmlformats.org/officeDocument/2006/relationships/hyperlink" Target="https://techcombank.com/thong-tin/blog/cashback-the-thanh-toan" TargetMode="External"/><Relationship Id="rId143" Type="http://schemas.openxmlformats.org/officeDocument/2006/relationships/hyperlink" Target="https://techcombank.com/thong-tin/blog/cach-chuyen-tien" TargetMode="External"/><Relationship Id="rId142" Type="http://schemas.openxmlformats.org/officeDocument/2006/relationships/hyperlink" Target="https://techcombank.com/thong-tin/blog/cac-loai-the-tin-dung" TargetMode="External"/><Relationship Id="rId141" Type="http://schemas.openxmlformats.org/officeDocument/2006/relationships/hyperlink" Target="https://techcombank.com/thong-tin/blog/3d-secure" TargetMode="External"/><Relationship Id="rId140" Type="http://schemas.openxmlformats.org/officeDocument/2006/relationships/hyperlink" Target="https://techcombank.com/thong-tin/blog/vay-tin-chap-no-xau" TargetMode="External"/><Relationship Id="rId147" Type="http://schemas.openxmlformats.org/officeDocument/2006/relationships/hyperlink" Target="https://techcombank.com/thong-tin/blog/cach-tinh-thue-thu-nhap-ca-nhan-2025" TargetMode="External"/><Relationship Id="rId146" Type="http://schemas.openxmlformats.org/officeDocument/2006/relationships/hyperlink" Target="https://techcombank.com/thong-tin/blog/cach-tao-ma-qr" TargetMode="External"/><Relationship Id="rId145" Type="http://schemas.openxmlformats.org/officeDocument/2006/relationships/hyperlink" Target="https://techcombank.com/thong-tin/blog/cach-su-dung-tai-khoan-cong-ty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vay-the-chap-kinh-doanh" TargetMode="External"/><Relationship Id="rId138" Type="http://schemas.openxmlformats.org/officeDocument/2006/relationships/hyperlink" Target="https://techcombank.com/thong-tin/blog/vay-the-chap-hop-dong-mua-ban-can-ho" TargetMode="External"/><Relationship Id="rId137" Type="http://schemas.openxmlformats.org/officeDocument/2006/relationships/hyperlink" Target="https://techcombank.com/thong-tin/blog/vay-san-xuat-kinh-doanh" TargetMode="External"/><Relationship Id="rId132" Type="http://schemas.openxmlformats.org/officeDocument/2006/relationships/hyperlink" Target="https://techcombank.com/thong-tin/blog/tien-gui-co-ky-han" TargetMode="External"/><Relationship Id="rId131" Type="http://schemas.openxmlformats.org/officeDocument/2006/relationships/hyperlink" Target="https://techcombank.com/thong-tin/blog/thue-thuong-mai-dien-tu" TargetMode="External"/><Relationship Id="rId130" Type="http://schemas.openxmlformats.org/officeDocument/2006/relationships/hyperlink" Target="https://techcombank.com/thong-tin/blog/the-visa-co-can-mat-khau-khong" TargetMode="External"/><Relationship Id="rId136" Type="http://schemas.openxmlformats.org/officeDocument/2006/relationships/hyperlink" Target="https://techcombank.com/thong-tin/blog/vay-200-trieu" TargetMode="External"/><Relationship Id="rId135" Type="http://schemas.openxmlformats.org/officeDocument/2006/relationships/hyperlink" Target="https://techcombank.com/thong-tin/blog/uu-dai-mua-ve-may-bay-bang-the-tin-dung" TargetMode="External"/><Relationship Id="rId134" Type="http://schemas.openxmlformats.org/officeDocument/2006/relationships/hyperlink" Target="https://techcombank.com/thong-tin/blog/uu-dai-mo-the-tin-dung" TargetMode="External"/><Relationship Id="rId133" Type="http://schemas.openxmlformats.org/officeDocument/2006/relationships/hyperlink" Target="https://techcombank.com/thong-tin/blog/tra-cuu-no-thue-doanh-nghiep" TargetMode="External"/><Relationship Id="rId172" Type="http://schemas.openxmlformats.org/officeDocument/2006/relationships/hyperlink" Target="https://techcombank.com/thong-tin/blog/may-tinh-tien" TargetMode="External"/><Relationship Id="rId171" Type="http://schemas.openxmlformats.org/officeDocument/2006/relationships/hyperlink" Target="https://techcombank.com/thong-tin/blog/lam-the-tin-dung" TargetMode="External"/><Relationship Id="rId170" Type="http://schemas.openxmlformats.org/officeDocument/2006/relationships/hyperlink" Target="https://techcombank.com/thong-tin/blog/lai-suat-ngan-hang-cho-vay-xay-nha" TargetMode="External"/><Relationship Id="rId165" Type="http://schemas.openxmlformats.org/officeDocument/2006/relationships/hyperlink" Target="https://techcombank.com/thong-tin/blog/khong-su-dung-the-tin-dung-co-mat-phi-khong" TargetMode="External"/><Relationship Id="rId164" Type="http://schemas.openxmlformats.org/officeDocument/2006/relationships/hyperlink" Target="https://techcombank.com/thong-tin/blog/hoc-cach-tiet-kiem-tien-luong" TargetMode="External"/><Relationship Id="rId163" Type="http://schemas.openxmlformats.org/officeDocument/2006/relationships/hyperlink" Target="https://techcombank.com/thong-tin/blog/hoa-don-dien-tu-ho-kinh-doanh" TargetMode="External"/><Relationship Id="rId162" Type="http://schemas.openxmlformats.org/officeDocument/2006/relationships/hyperlink" Target="https://techcombank.com/thong-tin/blog/hoa-don-dien-tu" TargetMode="External"/><Relationship Id="rId169" Type="http://schemas.openxmlformats.org/officeDocument/2006/relationships/hyperlink" Target="https://techcombank.com/thong-tin/blog/kinh-nghiem-vay-tien-ngan-hang-xay-nha" TargetMode="External"/><Relationship Id="rId168" Type="http://schemas.openxmlformats.org/officeDocument/2006/relationships/hyperlink" Target="https://techcombank.com/thong-tin/blog/kinh-nghiem-vay-tien-mua-nha" TargetMode="External"/><Relationship Id="rId167" Type="http://schemas.openxmlformats.org/officeDocument/2006/relationships/hyperlink" Target="https://techcombank.com/thong-tin/blog/kiem-tra-thue-thu-nhap-ca-nhan" TargetMode="External"/><Relationship Id="rId166" Type="http://schemas.openxmlformats.org/officeDocument/2006/relationships/hyperlink" Target="https://techcombank.com/thong-tin/blog/kich-hoat-the-tin-dung-techcombank" TargetMode="External"/><Relationship Id="rId161" Type="http://schemas.openxmlformats.org/officeDocument/2006/relationships/hyperlink" Target="https://techcombank.com/thong-tin/blog/gui-tiet-kiem-tich-luy-la-gi" TargetMode="External"/><Relationship Id="rId160" Type="http://schemas.openxmlformats.org/officeDocument/2006/relationships/hyperlink" Target="https://techcombank.com/thong-tin/blog/gui-tiet-kiem-theo-ngay" TargetMode="External"/><Relationship Id="rId159" Type="http://schemas.openxmlformats.org/officeDocument/2006/relationships/hyperlink" Target="https://techcombank.com/thong-tin/blog/di-du-lich-nuoc-ngoai-can-chuan-bi-gi" TargetMode="External"/><Relationship Id="rId154" Type="http://schemas.openxmlformats.org/officeDocument/2006/relationships/hyperlink" Target="https://techcombank.com/thong-tin/blog/co-nen-gui-tiet-kiem-ngan-hang" TargetMode="External"/><Relationship Id="rId153" Type="http://schemas.openxmlformats.org/officeDocument/2006/relationships/hyperlink" Target="https://techcombank.com/thong-tin/blog/chuyen-tien-tu-my-ve-viet-nam" TargetMode="External"/><Relationship Id="rId152" Type="http://schemas.openxmlformats.org/officeDocument/2006/relationships/hyperlink" Target="https://techcombank.com/thong-tin/blog/chuyen-tien-di-uc" TargetMode="External"/><Relationship Id="rId151" Type="http://schemas.openxmlformats.org/officeDocument/2006/relationships/hyperlink" Target="https://techcombank.com/thong-tin/blog/chuyen-doi-hoa-don-dien-tu" TargetMode="External"/><Relationship Id="rId158" Type="http://schemas.openxmlformats.org/officeDocument/2006/relationships/hyperlink" Target="https://techcombank.com/thong-tin/blog/dao-han-the-tin-dung" TargetMode="External"/><Relationship Id="rId157" Type="http://schemas.openxmlformats.org/officeDocument/2006/relationships/hyperlink" Target="https://techcombank.com/thong-tin/blog/dao-han-la-gi" TargetMode="External"/><Relationship Id="rId156" Type="http://schemas.openxmlformats.org/officeDocument/2006/relationships/hyperlink" Target="https://techcombank.com/thong-tin/blog/danh-muc-dau-tu" TargetMode="External"/><Relationship Id="rId155" Type="http://schemas.openxmlformats.org/officeDocument/2006/relationships/hyperlink" Target="https://techcombank.com/thong-tin/blog/dang-ky-ma-so-thue-ca-nhan" TargetMode="External"/><Relationship Id="rId509" Type="http://schemas.openxmlformats.org/officeDocument/2006/relationships/hyperlink" Target="https://techcombank.com/thong-tin/blog/so-6868" TargetMode="External"/><Relationship Id="rId508" Type="http://schemas.openxmlformats.org/officeDocument/2006/relationships/hyperlink" Target="https://techcombank.com/thong-tin/blog/sms-banking" TargetMode="External"/><Relationship Id="rId503" Type="http://schemas.openxmlformats.org/officeDocument/2006/relationships/hyperlink" Target="https://techcombank.com/thong-tin/blog/quy-gia-dinh" TargetMode="External"/><Relationship Id="rId502" Type="http://schemas.openxmlformats.org/officeDocument/2006/relationships/hyperlink" Target="https://techcombank.com/thong-tin/blog/quy-dinh-ve-mua-ban-ngoai-te-cua-doanh-nghiep" TargetMode="External"/><Relationship Id="rId501" Type="http://schemas.openxmlformats.org/officeDocument/2006/relationships/hyperlink" Target="https://techcombank.com/thong-tin/blog/quet-ma-qr-techcombank" TargetMode="External"/><Relationship Id="rId500" Type="http://schemas.openxmlformats.org/officeDocument/2006/relationships/hyperlink" Target="https://techcombank.com/thong-tin/blog/quan-ly-tai-chinh-cho-dan-van-phong" TargetMode="External"/><Relationship Id="rId507" Type="http://schemas.openxmlformats.org/officeDocument/2006/relationships/hyperlink" Target="https://techcombank.com/thong-tin/blog/shang-chi" TargetMode="External"/><Relationship Id="rId506" Type="http://schemas.openxmlformats.org/officeDocument/2006/relationships/hyperlink" Target="https://techcombank.com/thong-tin/blog/sai-lam-ve-tai-chinh-ca-nhan" TargetMode="External"/><Relationship Id="rId505" Type="http://schemas.openxmlformats.org/officeDocument/2006/relationships/hyperlink" Target="https://techcombank.com/thong-tin/blog/rut-tien-tiet-kiem-truoc-thoi-han" TargetMode="External"/><Relationship Id="rId504" Type="http://schemas.openxmlformats.org/officeDocument/2006/relationships/hyperlink" Target="https://techcombank.com/thong-tin/blog/remittance-la-gi" TargetMode="External"/><Relationship Id="rId525" Type="http://schemas.openxmlformats.org/officeDocument/2006/relationships/hyperlink" Target="https://techcombank.com/thong-tin/blog/techcombank-oneu" TargetMode="External"/><Relationship Id="rId524" Type="http://schemas.openxmlformats.org/officeDocument/2006/relationships/hyperlink" Target="https://techcombank.com/thong-tin/blog/tao-ma-qr-thanh-toan-cho-cua-hang" TargetMode="External"/><Relationship Id="rId523" Type="http://schemas.openxmlformats.org/officeDocument/2006/relationships/hyperlink" Target="https://techcombank.com/thong-tin/blog/tai-khoan-tiet-kiem" TargetMode="External"/><Relationship Id="rId522" Type="http://schemas.openxmlformats.org/officeDocument/2006/relationships/hyperlink" Target="https://techcombank.com/thong-tin/blog/tai-khoan-thanh-toan-la-gi" TargetMode="External"/><Relationship Id="rId529" Type="http://schemas.openxmlformats.org/officeDocument/2006/relationships/hyperlink" Target="https://techcombank.com/thong-tin/blog/thanh-toan-khi-du-lich-trung-quoc" TargetMode="External"/><Relationship Id="rId528" Type="http://schemas.openxmlformats.org/officeDocument/2006/relationships/hyperlink" Target="https://techcombank.com/thong-tin/blog/thanh-toan-khi-du-lich-thai-lan" TargetMode="External"/><Relationship Id="rId527" Type="http://schemas.openxmlformats.org/officeDocument/2006/relationships/hyperlink" Target="https://techcombank.com/thong-tin/blog/thanh-toan-hoc-phi-online" TargetMode="External"/><Relationship Id="rId526" Type="http://schemas.openxmlformats.org/officeDocument/2006/relationships/hyperlink" Target="https://techcombank.com/thong-tin/blog/thanh-toan-bang-ma-qr" TargetMode="External"/><Relationship Id="rId521" Type="http://schemas.openxmlformats.org/officeDocument/2006/relationships/hyperlink" Target="https://techcombank.com/thong-tin/blog/tai-khoan-ngan-hang-con-0-dong-co-sao-khong" TargetMode="External"/><Relationship Id="rId520" Type="http://schemas.openxmlformats.org/officeDocument/2006/relationships/hyperlink" Target="https://techcombank.com/thong-tin/blog/tai-khoan-ngan-hang-bi-khoa" TargetMode="External"/><Relationship Id="rId519" Type="http://schemas.openxmlformats.org/officeDocument/2006/relationships/hyperlink" Target="https://techcombank.com/thong-tin/blog/tai-khoan-cong-ty-co-chuyen-online-duoc-khong" TargetMode="External"/><Relationship Id="rId514" Type="http://schemas.openxmlformats.org/officeDocument/2006/relationships/hyperlink" Target="https://techcombank.com/thong-tin/blog/so-tai-khoan-dep" TargetMode="External"/><Relationship Id="rId513" Type="http://schemas.openxmlformats.org/officeDocument/2006/relationships/hyperlink" Target="https://techcombank.com/thong-tin/blog/so-sanh-ma-qr-va-ma-vach" TargetMode="External"/><Relationship Id="rId512" Type="http://schemas.openxmlformats.org/officeDocument/2006/relationships/hyperlink" Target="https://techcombank.com/thong-tin/blog/so-du-tai-khoan-thanh-toan" TargetMode="External"/><Relationship Id="rId511" Type="http://schemas.openxmlformats.org/officeDocument/2006/relationships/hyperlink" Target="https://techcombank.com/thong-tin/blog/so-du-kha-dung" TargetMode="External"/><Relationship Id="rId518" Type="http://schemas.openxmlformats.org/officeDocument/2006/relationships/hyperlink" Target="https://techcombank.com/thong-tin/blog/tactical-asset-allocation" TargetMode="External"/><Relationship Id="rId517" Type="http://schemas.openxmlformats.org/officeDocument/2006/relationships/hyperlink" Target="https://techcombank.com/thong-tin/blog/so-tiet-kiem-ngan-hang" TargetMode="External"/><Relationship Id="rId516" Type="http://schemas.openxmlformats.org/officeDocument/2006/relationships/hyperlink" Target="https://techcombank.com/thong-tin/blog/so-the-ngan-hang" TargetMode="External"/><Relationship Id="rId515" Type="http://schemas.openxmlformats.org/officeDocument/2006/relationships/hyperlink" Target="https://techcombank.com/thong-tin/blog/so-tai-khoan-ngan-hang" TargetMode="External"/><Relationship Id="rId510" Type="http://schemas.openxmlformats.org/officeDocument/2006/relationships/hyperlink" Target="https://techcombank.com/thong-tin/blog/so-8386" TargetMode="External"/><Relationship Id="rId590" Type="http://schemas.openxmlformats.org/officeDocument/2006/relationships/hyperlink" Target="https://techcombank.com/thong-tin/blog/bao-hiem-suc-khoe-la-gi" TargetMode="External"/><Relationship Id="rId107" Type="http://schemas.openxmlformats.org/officeDocument/2006/relationships/hyperlink" Target="https://techcombank.com/thong-tin/blog/lai-suat-vay-the-chap" TargetMode="External"/><Relationship Id="rId106" Type="http://schemas.openxmlformats.org/officeDocument/2006/relationships/hyperlink" Target="https://techcombank.com/thong-tin/blog/lai-suat-vay-thau-chi" TargetMode="External"/><Relationship Id="rId105" Type="http://schemas.openxmlformats.org/officeDocument/2006/relationships/hyperlink" Target="https://techcombank.com/thong-tin/blog/kinh-nghiem-gui-tiet-kiem-online" TargetMode="External"/><Relationship Id="rId589" Type="http://schemas.openxmlformats.org/officeDocument/2006/relationships/hyperlink" Target="https://techcombank.com/thong-tin/blog/bao-hiem-sinh-ky-la-gi" TargetMode="External"/><Relationship Id="rId104" Type="http://schemas.openxmlformats.org/officeDocument/2006/relationships/hyperlink" Target="https://techcombank.com/thong-tin/blog/ke-khai-thue-ho-kinh-doanh-ca-the-online" TargetMode="External"/><Relationship Id="rId588" Type="http://schemas.openxmlformats.org/officeDocument/2006/relationships/hyperlink" Target="https://techcombank.com/thong-tin/blog/bao-hiem-pin-xe-dien" TargetMode="External"/><Relationship Id="rId109" Type="http://schemas.openxmlformats.org/officeDocument/2006/relationships/hyperlink" Target="https://techcombank.com/thong-tin/blog/loi-nhuan" TargetMode="External"/><Relationship Id="rId108" Type="http://schemas.openxmlformats.org/officeDocument/2006/relationships/hyperlink" Target="https://techcombank.com/thong-tin/blog/lam-the-tin-dung-co-mat-phi-khong" TargetMode="External"/><Relationship Id="rId583" Type="http://schemas.openxmlformats.org/officeDocument/2006/relationships/hyperlink" Target="https://techcombank.com/thong-tin/blog/bang-can-doi-tai-chinh" TargetMode="External"/><Relationship Id="rId582" Type="http://schemas.openxmlformats.org/officeDocument/2006/relationships/hyperlink" Target="https://techcombank.com/thong-tin/blog/ban-do-du-lich" TargetMode="External"/><Relationship Id="rId581" Type="http://schemas.openxmlformats.org/officeDocument/2006/relationships/hyperlink" Target="https://techcombank.com/thong-tin/blog/app-theo-doi-chung-chi-quy" TargetMode="External"/><Relationship Id="rId580" Type="http://schemas.openxmlformats.org/officeDocument/2006/relationships/hyperlink" Target="https://techcombank.com/thong-tin/blog/app-ngan-hang-uy-tin" TargetMode="External"/><Relationship Id="rId103" Type="http://schemas.openxmlformats.org/officeDocument/2006/relationships/hyperlink" Target="https://techcombank.com/thong-tin/blog/hoan-thue-thu-nhap-ca-nhan" TargetMode="External"/><Relationship Id="rId587" Type="http://schemas.openxmlformats.org/officeDocument/2006/relationships/hyperlink" Target="https://techcombank.com/thong-tin/blog/bao-hiem-nhan-tho-la-gi" TargetMode="External"/><Relationship Id="rId102" Type="http://schemas.openxmlformats.org/officeDocument/2006/relationships/hyperlink" Target="https://techcombank.com/thong-tin/blog/hoan-thue-doanh-nghiep" TargetMode="External"/><Relationship Id="rId586" Type="http://schemas.openxmlformats.org/officeDocument/2006/relationships/hyperlink" Target="https://techcombank.com/thong-tin/blog/bao-hiem-lien-ket-dau-tu" TargetMode="External"/><Relationship Id="rId101" Type="http://schemas.openxmlformats.org/officeDocument/2006/relationships/hyperlink" Target="https://techcombank.com/thong-tin/blog/han-muc-vay-the-chap-so-do" TargetMode="External"/><Relationship Id="rId585" Type="http://schemas.openxmlformats.org/officeDocument/2006/relationships/hyperlink" Target="https://techcombank.com/thong-tin/blog/bao-hiem-hanh-ly" TargetMode="External"/><Relationship Id="rId100" Type="http://schemas.openxmlformats.org/officeDocument/2006/relationships/hyperlink" Target="https://techcombank.com/thong-tin/blog/han-muc-the-tin-dung" TargetMode="External"/><Relationship Id="rId584" Type="http://schemas.openxmlformats.org/officeDocument/2006/relationships/hyperlink" Target="https://techcombank.com/thong-tin/blog/bang-gia-chung-chi-quy" TargetMode="External"/><Relationship Id="rId579" Type="http://schemas.openxmlformats.org/officeDocument/2006/relationships/hyperlink" Target="https://techcombank.com/thong-tin/blog/app-ngan-hang-co-dung-duoc-o-nuoc-ngoai" TargetMode="External"/><Relationship Id="rId578" Type="http://schemas.openxmlformats.org/officeDocument/2006/relationships/hyperlink" Target="https://techcombank.com/thong-tin/blog/app-chia-tien" TargetMode="External"/><Relationship Id="rId577" Type="http://schemas.openxmlformats.org/officeDocument/2006/relationships/hyperlink" Target="https://techcombank.com/thong-tin/blog/anh-sang-cuoi-duong-ham-xuat-hien-trai-phieu-doanh-nghiep-tot-va-an-toan-se-duoc-nha-dau-tu-chon" TargetMode="External"/><Relationship Id="rId572" Type="http://schemas.openxmlformats.org/officeDocument/2006/relationships/hyperlink" Target="https://techcombank.com/thong-tin/blog/1-euro-bang-bao-nhieu-tien-viet" TargetMode="External"/><Relationship Id="rId571" Type="http://schemas.openxmlformats.org/officeDocument/2006/relationships/hyperlink" Target="https://techcombank.com/thong-tin/blog/y-nghia-so-68" TargetMode="External"/><Relationship Id="rId570" Type="http://schemas.openxmlformats.org/officeDocument/2006/relationships/hyperlink" Target="https://techcombank.com/thong-tin/blog/xu-huong-dau-tu-trai-phieu-ky-han-duoi-mot-nam-lua-chon-an-toan-khi-thi-truong-bien-dong" TargetMode="External"/><Relationship Id="rId576" Type="http://schemas.openxmlformats.org/officeDocument/2006/relationships/hyperlink" Target="https://techcombank.com/thong-tin/blog/an-han-no-goc-la-gi" TargetMode="External"/><Relationship Id="rId575" Type="http://schemas.openxmlformats.org/officeDocument/2006/relationships/hyperlink" Target="https://techcombank.com/thong-tin/blog/5-trieu-mua-duoc-bao-nhieu-vang" TargetMode="External"/><Relationship Id="rId574" Type="http://schemas.openxmlformats.org/officeDocument/2006/relationships/hyperlink" Target="https://techcombank.com/thong-tin/blog/4p-pizza" TargetMode="External"/><Relationship Id="rId573" Type="http://schemas.openxmlformats.org/officeDocument/2006/relationships/hyperlink" Target="https://techcombank.com/thong-tin/blog/1-te-bang-bao-nhieu-tien-viet-nam" TargetMode="External"/><Relationship Id="rId129" Type="http://schemas.openxmlformats.org/officeDocument/2006/relationships/hyperlink" Target="https://techcombank.com/thong-tin/blog/the-tin-dung-vip" TargetMode="External"/><Relationship Id="rId128" Type="http://schemas.openxmlformats.org/officeDocument/2006/relationships/hyperlink" Target="https://techcombank.com/thong-tin/blog/the-tin-dung-techcombank-visa-eco" TargetMode="External"/><Relationship Id="rId127" Type="http://schemas.openxmlformats.org/officeDocument/2006/relationships/hyperlink" Target="https://techcombank.com/thong-tin/blog/the-tin-dung-quoc-te" TargetMode="External"/><Relationship Id="rId126" Type="http://schemas.openxmlformats.org/officeDocument/2006/relationships/hyperlink" Target="https://techcombank.com/thong-tin/blog/the-tin-dung-noi-dia" TargetMode="External"/><Relationship Id="rId121" Type="http://schemas.openxmlformats.org/officeDocument/2006/relationships/hyperlink" Target="https://techcombank.com/thong-tin/blog/so-sanh-gui-tiet-kiem-online-va-tai-quay" TargetMode="External"/><Relationship Id="rId120" Type="http://schemas.openxmlformats.org/officeDocument/2006/relationships/hyperlink" Target="https://techcombank.com/thong-tin/blog/rut-tien-mat-tu-the-tin-dung" TargetMode="External"/><Relationship Id="rId125" Type="http://schemas.openxmlformats.org/officeDocument/2006/relationships/hyperlink" Target="https://techcombank.com/thong-tin/blog/the-tin-dung-mien-lai-55-ngay" TargetMode="External"/><Relationship Id="rId124" Type="http://schemas.openxmlformats.org/officeDocument/2006/relationships/hyperlink" Target="https://techcombank.com/thong-tin/blog/the-ghi-no-va-the-tin-dung" TargetMode="External"/><Relationship Id="rId123" Type="http://schemas.openxmlformats.org/officeDocument/2006/relationships/hyperlink" Target="https://techcombank.com/thong-tin/blog/tat-toan" TargetMode="External"/><Relationship Id="rId122" Type="http://schemas.openxmlformats.org/officeDocument/2006/relationships/hyperlink" Target="https://techcombank.com/thong-tin/blog/tai-sao-gui-tiet-kiem-online-lai-suat-cao-hon" TargetMode="External"/><Relationship Id="rId118" Type="http://schemas.openxmlformats.org/officeDocument/2006/relationships/hyperlink" Target="https://techcombank.com/thong-tin/blog/quy-trinh-tat-toan-khoan-vay-the-chap" TargetMode="External"/><Relationship Id="rId117" Type="http://schemas.openxmlformats.org/officeDocument/2006/relationships/hyperlink" Target="https://techcombank.com/thong-tin/blog/quy-trinh-gui-tien-tiet-kiem" TargetMode="External"/><Relationship Id="rId116" Type="http://schemas.openxmlformats.org/officeDocument/2006/relationships/hyperlink" Target="https://techcombank.com/thong-tin/blog/one-stop-shop" TargetMode="External"/><Relationship Id="rId115" Type="http://schemas.openxmlformats.org/officeDocument/2006/relationships/hyperlink" Target="https://techcombank.com/thong-tin/blog/no-nhom-3" TargetMode="External"/><Relationship Id="rId599" Type="http://schemas.openxmlformats.org/officeDocument/2006/relationships/hyperlink" Target="https://techcombank.com/thong-tin/blog/cach-lay-lai-tien-da-chuyen-khoan-khi-bi-lua" TargetMode="External"/><Relationship Id="rId119" Type="http://schemas.openxmlformats.org/officeDocument/2006/relationships/hyperlink" Target="https://techcombank.com/thong-tin/blog/quyet-toan-thue-thu-nhap-ca-nhan" TargetMode="External"/><Relationship Id="rId110" Type="http://schemas.openxmlformats.org/officeDocument/2006/relationships/hyperlink" Target="https://techcombank.com/thong-tin/blog/ma-buu-chinh-the-tin-dung" TargetMode="External"/><Relationship Id="rId594" Type="http://schemas.openxmlformats.org/officeDocument/2006/relationships/hyperlink" Target="https://techcombank.com/thong-tin/blog/cac-loai-hinh-doanh-nghiep" TargetMode="External"/><Relationship Id="rId593" Type="http://schemas.openxmlformats.org/officeDocument/2006/relationships/hyperlink" Target="https://techcombank.com/thong-tin/blog/bi-quyet-lua-chon-trai-phieu-an-toan-cho-nha-dau-tu" TargetMode="External"/><Relationship Id="rId592" Type="http://schemas.openxmlformats.org/officeDocument/2006/relationships/hyperlink" Target="https://techcombank.com/thong-tin/blog/bao-nhieu-tuoi-duoc-mo-tai-khoan-ngan-hang" TargetMode="External"/><Relationship Id="rId591" Type="http://schemas.openxmlformats.org/officeDocument/2006/relationships/hyperlink" Target="https://techcombank.com/thong-tin/blog/bao-hiem-tu-ky-la-gi" TargetMode="External"/><Relationship Id="rId114" Type="http://schemas.openxmlformats.org/officeDocument/2006/relationships/hyperlink" Target="https://techcombank.com/thong-tin/blog/nen-mua-xe-tra-gop-hay-tra-thang" TargetMode="External"/><Relationship Id="rId598" Type="http://schemas.openxmlformats.org/officeDocument/2006/relationships/hyperlink" Target="https://techcombank.com/thong-tin/blog/cach-doc-bao-cao-tai-chinh" TargetMode="External"/><Relationship Id="rId113" Type="http://schemas.openxmlformats.org/officeDocument/2006/relationships/hyperlink" Target="https://techcombank.com/thong-tin/blog/nen-gui-tiet-kiem-6-thang-hay-1-nam" TargetMode="External"/><Relationship Id="rId597" Type="http://schemas.openxmlformats.org/officeDocument/2006/relationships/hyperlink" Target="https://techcombank.com/thong-tin/blog/cach-dau-tu" TargetMode="External"/><Relationship Id="rId112" Type="http://schemas.openxmlformats.org/officeDocument/2006/relationships/hyperlink" Target="https://techcombank.com/thong-tin/blog/mat-the-tin-dung-co-lam-lai-duoc-khong" TargetMode="External"/><Relationship Id="rId596" Type="http://schemas.openxmlformats.org/officeDocument/2006/relationships/hyperlink" Target="https://techcombank.com/thong-tin/blog/cach-dang-ky-the-visa" TargetMode="External"/><Relationship Id="rId111" Type="http://schemas.openxmlformats.org/officeDocument/2006/relationships/hyperlink" Target="https://techcombank.com/thong-tin/blog/mat-the-tin-dung-co-bi-mat-tien-khong" TargetMode="External"/><Relationship Id="rId595" Type="http://schemas.openxmlformats.org/officeDocument/2006/relationships/hyperlink" Target="https://techcombank.com/thong-tin/blog/cach-dang-ky-dinh-danh-muc-2" TargetMode="External"/><Relationship Id="rId547" Type="http://schemas.openxmlformats.org/officeDocument/2006/relationships/hyperlink" Target="https://techcombank.com/thong-tin/blog/thue-doanh-nghiep-2025" TargetMode="External"/><Relationship Id="rId546" Type="http://schemas.openxmlformats.org/officeDocument/2006/relationships/hyperlink" Target="https://techcombank.com/thong-tin/blog/thu-tuc-vay-von-ngan-hang-de-xay-nha" TargetMode="External"/><Relationship Id="rId545" Type="http://schemas.openxmlformats.org/officeDocument/2006/relationships/hyperlink" Target="https://techcombank.com/thong-tin/blog/thu-tuc-vay-ngan-hang-mua-nha" TargetMode="External"/><Relationship Id="rId544" Type="http://schemas.openxmlformats.org/officeDocument/2006/relationships/hyperlink" Target="https://techcombank.com/thong-tin/blog/thu-tuc-chuyen-tien-ra-nuoc-ngoai" TargetMode="External"/><Relationship Id="rId549" Type="http://schemas.openxmlformats.org/officeDocument/2006/relationships/hyperlink" Target="https://techcombank.com/thong-tin/blog/tien-dai-loan" TargetMode="External"/><Relationship Id="rId548" Type="http://schemas.openxmlformats.org/officeDocument/2006/relationships/hyperlink" Target="https://techcombank.com/thong-tin/blog/tich-diem-doi-qua" TargetMode="External"/><Relationship Id="rId543" Type="http://schemas.openxmlformats.org/officeDocument/2006/relationships/hyperlink" Target="https://techcombank.com/thong-tin/blog/the-visa-co-may-loai" TargetMode="External"/><Relationship Id="rId542" Type="http://schemas.openxmlformats.org/officeDocument/2006/relationships/hyperlink" Target="https://techcombank.com/thong-tin/blog/the-visa-ao-la-gi" TargetMode="External"/><Relationship Id="rId541" Type="http://schemas.openxmlformats.org/officeDocument/2006/relationships/hyperlink" Target="https://techcombank.com/thong-tin/blog/the-nao-la-tiet-kiem" TargetMode="External"/><Relationship Id="rId540" Type="http://schemas.openxmlformats.org/officeDocument/2006/relationships/hyperlink" Target="https://techcombank.com/thong-tin/blog/the-mastercard-la-gi" TargetMode="External"/><Relationship Id="rId536" Type="http://schemas.openxmlformats.org/officeDocument/2006/relationships/hyperlink" Target="https://techcombank.com/thong-tin/blog/the-debit" TargetMode="External"/><Relationship Id="rId535" Type="http://schemas.openxmlformats.org/officeDocument/2006/relationships/hyperlink" Target="https://techcombank.com/thong-tin/blog/the-atm-tu" TargetMode="External"/><Relationship Id="rId534" Type="http://schemas.openxmlformats.org/officeDocument/2006/relationships/hyperlink" Target="https://techcombank.com/thong-tin/blog/the-atm-gan-chip" TargetMode="External"/><Relationship Id="rId533" Type="http://schemas.openxmlformats.org/officeDocument/2006/relationships/hyperlink" Target="https://techcombank.com/thong-tin/blog/thanh-toan-ve-may-bay-online" TargetMode="External"/><Relationship Id="rId539" Type="http://schemas.openxmlformats.org/officeDocument/2006/relationships/hyperlink" Target="https://techcombank.com/thong-tin/blog/the-he-ke-can" TargetMode="External"/><Relationship Id="rId538" Type="http://schemas.openxmlformats.org/officeDocument/2006/relationships/hyperlink" Target="https://techcombank.com/thong-tin/blog/the-ghi-no-noi-dia" TargetMode="External"/><Relationship Id="rId537" Type="http://schemas.openxmlformats.org/officeDocument/2006/relationships/hyperlink" Target="https://techcombank.com/thong-tin/blog/the-ghi-no-la-gi" TargetMode="External"/><Relationship Id="rId532" Type="http://schemas.openxmlformats.org/officeDocument/2006/relationships/hyperlink" Target="https://techcombank.com/thong-tin/blog/thanh-toan-qr-thai-lan" TargetMode="External"/><Relationship Id="rId531" Type="http://schemas.openxmlformats.org/officeDocument/2006/relationships/hyperlink" Target="https://techcombank.com/thong-tin/blog/thanh-toan-ma-qr-tro-thanh-phuong-thuc-duoc-ua-chuong-va-trien-khai-manh-me" TargetMode="External"/><Relationship Id="rId530" Type="http://schemas.openxmlformats.org/officeDocument/2006/relationships/hyperlink" Target="https://techcombank.com/thong-tin/blog/thanh-toan-khoan-vay" TargetMode="External"/><Relationship Id="rId569" Type="http://schemas.openxmlformats.org/officeDocument/2006/relationships/hyperlink" Target="https://techcombank.com/thong-tin/blog/xac-thuc-sinh-trac-hoc-khi-chuyen-tien" TargetMode="External"/><Relationship Id="rId568" Type="http://schemas.openxmlformats.org/officeDocument/2006/relationships/hyperlink" Target="https://techcombank.com/thong-tin/blog/voucher-xanh-sm" TargetMode="External"/><Relationship Id="rId567" Type="http://schemas.openxmlformats.org/officeDocument/2006/relationships/hyperlink" Target="https://techcombank.com/thong-tin/blog/voucher-phuc-long" TargetMode="External"/><Relationship Id="rId566" Type="http://schemas.openxmlformats.org/officeDocument/2006/relationships/hyperlink" Target="https://techcombank.com/thong-tin/blog/viet-kieu-co-mo-duoc-tai-khoan-ngan-hang-khong" TargetMode="External"/><Relationship Id="rId561" Type="http://schemas.openxmlformats.org/officeDocument/2006/relationships/hyperlink" Target="https://techcombank.com/thong-tin/blog/vay-tin-chap-cho-doanh-nghiep-moi-thanh-lap" TargetMode="External"/><Relationship Id="rId560" Type="http://schemas.openxmlformats.org/officeDocument/2006/relationships/hyperlink" Target="https://techcombank.com/thong-tin/blog/vay-sinh-vien" TargetMode="External"/><Relationship Id="rId565" Type="http://schemas.openxmlformats.org/officeDocument/2006/relationships/hyperlink" Target="https://techcombank.com/thong-tin/blog/vi-tra-sau" TargetMode="External"/><Relationship Id="rId564" Type="http://schemas.openxmlformats.org/officeDocument/2006/relationships/hyperlink" Target="https://techcombank.com/thong-tin/blog/vi-dien-tu" TargetMode="External"/><Relationship Id="rId563" Type="http://schemas.openxmlformats.org/officeDocument/2006/relationships/hyperlink" Target="https://techcombank.com/thong-tin/blog/vay-von-doanh-nghiep-khong-the-chap" TargetMode="External"/><Relationship Id="rId562" Type="http://schemas.openxmlformats.org/officeDocument/2006/relationships/hyperlink" Target="https://techcombank.com/thong-tin/blog/vay-tin-chap-khong-tra-duoc-co-sao-khong" TargetMode="External"/><Relationship Id="rId558" Type="http://schemas.openxmlformats.org/officeDocument/2006/relationships/hyperlink" Target="https://techcombank.com/thong-tin/blog/vay-kinh-doanh-online" TargetMode="External"/><Relationship Id="rId557" Type="http://schemas.openxmlformats.org/officeDocument/2006/relationships/hyperlink" Target="https://techcombank.com/thong-tin/blog/vay-50-trieu" TargetMode="External"/><Relationship Id="rId556" Type="http://schemas.openxmlformats.org/officeDocument/2006/relationships/hyperlink" Target="https://techcombank.com/thong-tin/blog/ung-dung-cong-nghe" TargetMode="External"/><Relationship Id="rId555" Type="http://schemas.openxmlformats.org/officeDocument/2006/relationships/hyperlink" Target="https://techcombank.com/thong-tin/blog/tra-cuu-hoa-don-tien-dien" TargetMode="External"/><Relationship Id="rId559" Type="http://schemas.openxmlformats.org/officeDocument/2006/relationships/hyperlink" Target="https://techcombank.com/thong-tin/blog/vay-ngan-han" TargetMode="External"/><Relationship Id="rId550" Type="http://schemas.openxmlformats.org/officeDocument/2006/relationships/hyperlink" Target="https://techcombank.com/thong-tin/blog/tien-indonesia" TargetMode="External"/><Relationship Id="rId554" Type="http://schemas.openxmlformats.org/officeDocument/2006/relationships/hyperlink" Target="https://techcombank.com/thong-tin/blog/tin-chap-doanh-nghiep" TargetMode="External"/><Relationship Id="rId553" Type="http://schemas.openxmlformats.org/officeDocument/2006/relationships/hyperlink" Target="https://techcombank.com/thong-tin/blog/tieu-dung-ben-vung" TargetMode="External"/><Relationship Id="rId552" Type="http://schemas.openxmlformats.org/officeDocument/2006/relationships/hyperlink" Target="https://techcombank.com/thong-tin/blog/tien-thai-lan" TargetMode="External"/><Relationship Id="rId551" Type="http://schemas.openxmlformats.org/officeDocument/2006/relationships/hyperlink" Target="https://techcombank.com/thong-tin/blog/tien-lao" TargetMode="External"/><Relationship Id="rId495" Type="http://schemas.openxmlformats.org/officeDocument/2006/relationships/hyperlink" Target="https://techcombank.com/thong-tin/blog/phi-chuyen-doi-ngoai-te" TargetMode="External"/><Relationship Id="rId494" Type="http://schemas.openxmlformats.org/officeDocument/2006/relationships/hyperlink" Target="https://techcombank.com/thong-tin/blog/phan-bo-tai-san" TargetMode="External"/><Relationship Id="rId493" Type="http://schemas.openxmlformats.org/officeDocument/2006/relationships/hyperlink" Target="https://techcombank.com/thong-tin/blog/npv-la-gi" TargetMode="External"/><Relationship Id="rId492" Type="http://schemas.openxmlformats.org/officeDocument/2006/relationships/hyperlink" Target="https://techcombank.com/thong-tin/blog/ngan-hang-xanh" TargetMode="External"/><Relationship Id="rId499" Type="http://schemas.openxmlformats.org/officeDocument/2006/relationships/hyperlink" Target="https://techcombank.com/thong-tin/blog/qr-dong" TargetMode="External"/><Relationship Id="rId498" Type="http://schemas.openxmlformats.org/officeDocument/2006/relationships/hyperlink" Target="https://techcombank.com/thong-tin/blog/qr-code-phuong-thuc-thanh-toan-toi-uu-trong-ky-nguyen-so" TargetMode="External"/><Relationship Id="rId497" Type="http://schemas.openxmlformats.org/officeDocument/2006/relationships/hyperlink" Target="https://techcombank.com/thong-tin/blog/qr-code-doanh-nghiep" TargetMode="External"/><Relationship Id="rId496" Type="http://schemas.openxmlformats.org/officeDocument/2006/relationships/hyperlink" Target="https://techcombank.com/thong-tin/blog/pos" TargetMode="External"/><Relationship Id="rId409" Type="http://schemas.openxmlformats.org/officeDocument/2006/relationships/hyperlink" Target="https://techcombank.com/thong-tin/blog/99999-co-y-nghia-gi" TargetMode="External"/><Relationship Id="rId404" Type="http://schemas.openxmlformats.org/officeDocument/2006/relationships/hyperlink" Target="https://techcombank.com/thong-tin/blog/100-riel-bang-bao-nhieu-tien-viet-nam" TargetMode="External"/><Relationship Id="rId403" Type="http://schemas.openxmlformats.org/officeDocument/2006/relationships/hyperlink" Target="https://techcombank.com/thong-tin/blog/1-won-bang-bao-nhieu-tien-viet" TargetMode="External"/><Relationship Id="rId402" Type="http://schemas.openxmlformats.org/officeDocument/2006/relationships/hyperlink" Target="https://techcombank.com/thong-tin/blog/1-van-tien-dai-loan-bang-bao-nhieu-tien-viet" TargetMode="External"/><Relationship Id="rId401" Type="http://schemas.openxmlformats.org/officeDocument/2006/relationships/hyperlink" Target="https://techcombank.com/thong-tin/blog/1-van-te-bang-bao-nhieu-tien-viet" TargetMode="External"/><Relationship Id="rId408" Type="http://schemas.openxmlformats.org/officeDocument/2006/relationships/hyperlink" Target="https://techcombank.com/thong-tin/blog/8868" TargetMode="External"/><Relationship Id="rId407" Type="http://schemas.openxmlformats.org/officeDocument/2006/relationships/hyperlink" Target="https://techcombank.com/thong-tin/blog/88-la-gi" TargetMode="External"/><Relationship Id="rId406" Type="http://schemas.openxmlformats.org/officeDocument/2006/relationships/hyperlink" Target="https://techcombank.com/thong-tin/blog/66666-co-y-nghia-gi" TargetMode="External"/><Relationship Id="rId405" Type="http://schemas.openxmlformats.org/officeDocument/2006/relationships/hyperlink" Target="https://techcombank.com/thong-tin/blog/1000-te-bang-bao-nhieu-tien-viet" TargetMode="External"/><Relationship Id="rId400" Type="http://schemas.openxmlformats.org/officeDocument/2006/relationships/hyperlink" Target="https://techcombank.com/thong-tin/blog/1-trieu-do-bang-bao-nhieu-tien-viet" TargetMode="External"/><Relationship Id="rId469" Type="http://schemas.openxmlformats.org/officeDocument/2006/relationships/hyperlink" Target="https://techcombank.com/thong-tin/blog/li-xi-so-dep" TargetMode="External"/><Relationship Id="rId468" Type="http://schemas.openxmlformats.org/officeDocument/2006/relationships/hyperlink" Target="https://techcombank.com/thong-tin/blog/lap-ke-hoach-tai-chinh-ca-nhan" TargetMode="External"/><Relationship Id="rId467" Type="http://schemas.openxmlformats.org/officeDocument/2006/relationships/hyperlink" Target="https://techcombank.com/thong-tin/blog/lap-ke-hoach-chi-tieu-ca-nhan" TargetMode="External"/><Relationship Id="rId462" Type="http://schemas.openxmlformats.org/officeDocument/2006/relationships/hyperlink" Target="https://techcombank.com/thong-tin/blog/lai-kep-ngan-hang" TargetMode="External"/><Relationship Id="rId461" Type="http://schemas.openxmlformats.org/officeDocument/2006/relationships/hyperlink" Target="https://techcombank.com/thong-tin/blog/khoi-nghiep-truoc-chinh-sach-thue-moi" TargetMode="External"/><Relationship Id="rId460" Type="http://schemas.openxmlformats.org/officeDocument/2006/relationships/hyperlink" Target="https://techcombank.com/thong-tin/blog/khau-vi-nha-dau-tu-tpdn-thay-doi-the-nao-sau-nhung-bien-dong-vua-qua" TargetMode="External"/><Relationship Id="rId466" Type="http://schemas.openxmlformats.org/officeDocument/2006/relationships/hyperlink" Target="https://techcombank.com/thong-tin/blog/lam-the-visa-online" TargetMode="External"/><Relationship Id="rId465" Type="http://schemas.openxmlformats.org/officeDocument/2006/relationships/hyperlink" Target="https://techcombank.com/thong-tin/blog/lam-the-visa-mat-bao-lau" TargetMode="External"/><Relationship Id="rId464" Type="http://schemas.openxmlformats.org/officeDocument/2006/relationships/hyperlink" Target="https://techcombank.com/thong-tin/blog/lam-ma-qr-ngan-hang-co-mat-phi-khong" TargetMode="External"/><Relationship Id="rId463" Type="http://schemas.openxmlformats.org/officeDocument/2006/relationships/hyperlink" Target="https://techcombank.com/thong-tin/blog/lai-suat-chung-chi-tien-gui-cac-ngan-hang" TargetMode="External"/><Relationship Id="rId459" Type="http://schemas.openxmlformats.org/officeDocument/2006/relationships/hyperlink" Target="https://techcombank.com/thong-tin/blog/in-ma-qr-ngan-hang" TargetMode="External"/><Relationship Id="rId458" Type="http://schemas.openxmlformats.org/officeDocument/2006/relationships/hyperlink" Target="https://techcombank.com/thong-tin/blog/iban-la-gi" TargetMode="External"/><Relationship Id="rId457" Type="http://schemas.openxmlformats.org/officeDocument/2006/relationships/hyperlink" Target="https://techcombank.com/thong-tin/blog/huong-dan-dang-ky-thanh-lap-doanh-nghiep" TargetMode="External"/><Relationship Id="rId456" Type="http://schemas.openxmlformats.org/officeDocument/2006/relationships/hyperlink" Target="https://techcombank.com/thong-tin/blog/hu-chi-tieu" TargetMode="External"/><Relationship Id="rId451" Type="http://schemas.openxmlformats.org/officeDocument/2006/relationships/hyperlink" Target="https://techcombank.com/thong-tin/blog/gui-ma-qr-ngan-hang" TargetMode="External"/><Relationship Id="rId450" Type="http://schemas.openxmlformats.org/officeDocument/2006/relationships/hyperlink" Target="https://techcombank.com/thong-tin/blog/giao-thong-xanh" TargetMode="External"/><Relationship Id="rId455" Type="http://schemas.openxmlformats.org/officeDocument/2006/relationships/hyperlink" Target="https://techcombank.com/thong-tin/blog/ho-so-vay-tin-chap" TargetMode="External"/><Relationship Id="rId454" Type="http://schemas.openxmlformats.org/officeDocument/2006/relationships/hyperlink" Target="https://techcombank.com/thong-tin/blog/ho-so-thu-tuc-xoa-the-chap" TargetMode="External"/><Relationship Id="rId453" Type="http://schemas.openxmlformats.org/officeDocument/2006/relationships/hyperlink" Target="https://techcombank.com/thong-tin/blog/gui-tien-du-hoc" TargetMode="External"/><Relationship Id="rId452" Type="http://schemas.openxmlformats.org/officeDocument/2006/relationships/hyperlink" Target="https://techcombank.com/thong-tin/blog/gui-them-tien-vao-so-tiet-kiem" TargetMode="External"/><Relationship Id="rId491" Type="http://schemas.openxmlformats.org/officeDocument/2006/relationships/hyperlink" Target="https://techcombank.com/thong-tin/blog/ngan-hang-thu-huong-la-gi" TargetMode="External"/><Relationship Id="rId490" Type="http://schemas.openxmlformats.org/officeDocument/2006/relationships/hyperlink" Target="https://techcombank.com/thong-tin/blog/ngan-hang-so-cho-doanh-nghiep" TargetMode="External"/><Relationship Id="rId489" Type="http://schemas.openxmlformats.org/officeDocument/2006/relationships/hyperlink" Target="https://techcombank.com/thong-tin/blog/nen-vay-tin-chap-o-dau" TargetMode="External"/><Relationship Id="rId484" Type="http://schemas.openxmlformats.org/officeDocument/2006/relationships/hyperlink" Target="https://techcombank.com/thong-tin/blog/mo-tai-khoan-ngan-hang-online-co-an-toan-khong" TargetMode="External"/><Relationship Id="rId483" Type="http://schemas.openxmlformats.org/officeDocument/2006/relationships/hyperlink" Target="https://techcombank.com/thong-tin/blog/mo-tai-khoan-ngan-hang-duoi-18-tuoi" TargetMode="External"/><Relationship Id="rId482" Type="http://schemas.openxmlformats.org/officeDocument/2006/relationships/hyperlink" Target="https://techcombank.com/thong-tin/blog/mo-tai-khoan-ngan-hang-co-mat-phi-khong" TargetMode="External"/><Relationship Id="rId481" Type="http://schemas.openxmlformats.org/officeDocument/2006/relationships/hyperlink" Target="https://techcombank.com/thong-tin/blog/merchant-la-gi" TargetMode="External"/><Relationship Id="rId488" Type="http://schemas.openxmlformats.org/officeDocument/2006/relationships/hyperlink" Target="https://techcombank.com/thong-tin/blog/nen-mo-tai-khoan-ngan-hang-nao-cho-doanh-nghiep" TargetMode="External"/><Relationship Id="rId487" Type="http://schemas.openxmlformats.org/officeDocument/2006/relationships/hyperlink" Target="https://techcombank.com/thong-tin/blog/nap-tien-vao-tai-khoan-ngan-hang" TargetMode="External"/><Relationship Id="rId486" Type="http://schemas.openxmlformats.org/officeDocument/2006/relationships/hyperlink" Target="https://techcombank.com/thong-tin/blog/mr-eco" TargetMode="External"/><Relationship Id="rId485" Type="http://schemas.openxmlformats.org/officeDocument/2006/relationships/hyperlink" Target="https://techcombank.com/thong-tin/blog/mo-the-ghi-no" TargetMode="External"/><Relationship Id="rId480" Type="http://schemas.openxmlformats.org/officeDocument/2006/relationships/hyperlink" Target="https://techcombank.com/thong-tin/blog/mau-mo-tai-khoan-doanh-nghiep-techcombank" TargetMode="External"/><Relationship Id="rId479" Type="http://schemas.openxmlformats.org/officeDocument/2006/relationships/hyperlink" Target="https://techcombank.com/thong-tin/blog/mat-so-tiet-kiem" TargetMode="External"/><Relationship Id="rId478" Type="http://schemas.openxmlformats.org/officeDocument/2006/relationships/hyperlink" Target="https://techcombank.com/thong-tin/blog/ma-swift-ngan-hang" TargetMode="External"/><Relationship Id="rId473" Type="http://schemas.openxmlformats.org/officeDocument/2006/relationships/hyperlink" Target="https://techcombank.com/thong-tin/blog/ma-giao-dich-la-gi" TargetMode="External"/><Relationship Id="rId472" Type="http://schemas.openxmlformats.org/officeDocument/2006/relationships/hyperlink" Target="https://techcombank.com/thong-tin/blog/luu-y-khi-chuyen-tien-vao-tai-khoan-cong-ty" TargetMode="External"/><Relationship Id="rId471" Type="http://schemas.openxmlformats.org/officeDocument/2006/relationships/hyperlink" Target="https://techcombank.com/thong-tin/blog/luong-huu" TargetMode="External"/><Relationship Id="rId470" Type="http://schemas.openxmlformats.org/officeDocument/2006/relationships/hyperlink" Target="https://techcombank.com/thong-tin/blog/loi-ich-cua-viec-tiet-kiem-tien" TargetMode="External"/><Relationship Id="rId477" Type="http://schemas.openxmlformats.org/officeDocument/2006/relationships/hyperlink" Target="https://techcombank.com/thong-tin/blog/ma-qr-techcombank" TargetMode="External"/><Relationship Id="rId476" Type="http://schemas.openxmlformats.org/officeDocument/2006/relationships/hyperlink" Target="https://techcombank.com/thong-tin/blog/ma-qr-lam-gia-duoc-khong" TargetMode="External"/><Relationship Id="rId475" Type="http://schemas.openxmlformats.org/officeDocument/2006/relationships/hyperlink" Target="https://techcombank.com/thong-tin/blog/ma-pin-the-atm" TargetMode="External"/><Relationship Id="rId474" Type="http://schemas.openxmlformats.org/officeDocument/2006/relationships/hyperlink" Target="https://techcombank.com/thong-tin/blog/ma-mcc" TargetMode="External"/><Relationship Id="rId426" Type="http://schemas.openxmlformats.org/officeDocument/2006/relationships/hyperlink" Target="https://techcombank.com/thong-tin/blog/cach-nhan-tien-tu-nuoc-ngoai-ve-viet-nam" TargetMode="External"/><Relationship Id="rId425" Type="http://schemas.openxmlformats.org/officeDocument/2006/relationships/hyperlink" Target="https://techcombank.com/thong-tin/blog/cach-nap-the" TargetMode="External"/><Relationship Id="rId424" Type="http://schemas.openxmlformats.org/officeDocument/2006/relationships/hyperlink" Target="https://techcombank.com/thong-tin/blog/cach-lien-ket-tai-khoan-ngan-hang-voi-vneid" TargetMode="External"/><Relationship Id="rId423" Type="http://schemas.openxmlformats.org/officeDocument/2006/relationships/hyperlink" Target="https://techcombank.com/thong-tin/blog/cach-kiem-tra-tai-khoan-ngan-hang" TargetMode="External"/><Relationship Id="rId429" Type="http://schemas.openxmlformats.org/officeDocument/2006/relationships/hyperlink" Target="https://techcombank.com/thong-tin/blog/cach-tiet-kiem-tien" TargetMode="External"/><Relationship Id="rId428" Type="http://schemas.openxmlformats.org/officeDocument/2006/relationships/hyperlink" Target="https://techcombank.com/thong-tin/blog/cach-sao-ke-tai-khoan-ngan-hang" TargetMode="External"/><Relationship Id="rId427" Type="http://schemas.openxmlformats.org/officeDocument/2006/relationships/hyperlink" Target="https://techcombank.com/thong-tin/blog/cach-quan-ly-tai-san" TargetMode="External"/><Relationship Id="rId422" Type="http://schemas.openxmlformats.org/officeDocument/2006/relationships/hyperlink" Target="https://techcombank.com/thong-tin/blog/cach-dong-tien-dien-qua-tai-khoan-ngan-hang" TargetMode="External"/><Relationship Id="rId421" Type="http://schemas.openxmlformats.org/officeDocument/2006/relationships/hyperlink" Target="https://techcombank.com/thong-tin/blog/cach-doi-mat-khau-tai-khoan-ngan-hang" TargetMode="External"/><Relationship Id="rId420" Type="http://schemas.openxmlformats.org/officeDocument/2006/relationships/hyperlink" Target="https://techcombank.com/thong-tin/blog/cac-loai-hinh-bao-hiem-nhan-tho" TargetMode="External"/><Relationship Id="rId415" Type="http://schemas.openxmlformats.org/officeDocument/2006/relationships/hyperlink" Target="https://techcombank.com/thong-tin/blog/bao-hiem-du-lich-quoc-te-nao-tot" TargetMode="External"/><Relationship Id="rId414" Type="http://schemas.openxmlformats.org/officeDocument/2006/relationships/hyperlink" Target="https://techcombank.com/thong-tin/blog/atm-la-gi" TargetMode="External"/><Relationship Id="rId413" Type="http://schemas.openxmlformats.org/officeDocument/2006/relationships/hyperlink" Target="https://techcombank.com/thong-tin/blog/app-tra-luong" TargetMode="External"/><Relationship Id="rId412" Type="http://schemas.openxmlformats.org/officeDocument/2006/relationships/hyperlink" Target="https://techcombank.com/thong-tin/blog/app-quan-ly-chi-tieu" TargetMode="External"/><Relationship Id="rId419" Type="http://schemas.openxmlformats.org/officeDocument/2006/relationships/hyperlink" Target="https://techcombank.com/thong-tin/blog/cac-chung-chi-quy-o-viet-nam" TargetMode="External"/><Relationship Id="rId418" Type="http://schemas.openxmlformats.org/officeDocument/2006/relationships/hyperlink" Target="https://techcombank.com/thong-tin/blog/bien-dong-ty-gia-voi-doanh-nghiep-sme" TargetMode="External"/><Relationship Id="rId417" Type="http://schemas.openxmlformats.org/officeDocument/2006/relationships/hyperlink" Target="https://techcombank.com/thong-tin/blog/bib-techcombank" TargetMode="External"/><Relationship Id="rId416" Type="http://schemas.openxmlformats.org/officeDocument/2006/relationships/hyperlink" Target="https://techcombank.com/thong-tin/blog/bi-quyet-tiet-kiem-tien-mua-nha" TargetMode="External"/><Relationship Id="rId411" Type="http://schemas.openxmlformats.org/officeDocument/2006/relationships/hyperlink" Target="https://techcombank.com/thong-tin/blog/app-ngan-hang" TargetMode="External"/><Relationship Id="rId410" Type="http://schemas.openxmlformats.org/officeDocument/2006/relationships/hyperlink" Target="https://techcombank.com/thong-tin/blog/app-mua-truoc-tra-sau" TargetMode="External"/><Relationship Id="rId448" Type="http://schemas.openxmlformats.org/officeDocument/2006/relationships/hyperlink" Target="https://techcombank.com/thong-tin/blog/gia-ca-phe-hom-nay" TargetMode="External"/><Relationship Id="rId447" Type="http://schemas.openxmlformats.org/officeDocument/2006/relationships/hyperlink" Target="https://techcombank.com/thong-tin/blog/ghi-chep-chi-tieu" TargetMode="External"/><Relationship Id="rId446" Type="http://schemas.openxmlformats.org/officeDocument/2006/relationships/hyperlink" Target="https://techcombank.com/thong-tin/blog/dong-tai-khoan-ngan-hang-cong-ty" TargetMode="External"/><Relationship Id="rId445" Type="http://schemas.openxmlformats.org/officeDocument/2006/relationships/hyperlink" Target="https://techcombank.com/thong-tin/blog/doi-tien-do-o-dau" TargetMode="External"/><Relationship Id="rId449" Type="http://schemas.openxmlformats.org/officeDocument/2006/relationships/hyperlink" Target="https://techcombank.com/thong-tin/blog/gia-tri-tai-san-rong" TargetMode="External"/><Relationship Id="rId440" Type="http://schemas.openxmlformats.org/officeDocument/2006/relationships/hyperlink" Target="https://techcombank.com/thong-tin/blog/dau-tu-ngan-han" TargetMode="External"/><Relationship Id="rId444" Type="http://schemas.openxmlformats.org/officeDocument/2006/relationships/hyperlink" Target="https://techcombank.com/thong-tin/blog/doanh-nghiep-moi-thanh-lap-duoc-uu-dai-gi" TargetMode="External"/><Relationship Id="rId443" Type="http://schemas.openxmlformats.org/officeDocument/2006/relationships/hyperlink" Target="https://techcombank.com/thong-tin/blog/dinh-cu-chau-au" TargetMode="External"/><Relationship Id="rId442" Type="http://schemas.openxmlformats.org/officeDocument/2006/relationships/hyperlink" Target="https://techcombank.com/thong-tin/blog/diem-loyalty-la-gi" TargetMode="External"/><Relationship Id="rId441" Type="http://schemas.openxmlformats.org/officeDocument/2006/relationships/hyperlink" Target="https://techcombank.com/thong-tin/blog/dau-tu-tai-chinh-ca-nhan" TargetMode="External"/><Relationship Id="rId437" Type="http://schemas.openxmlformats.org/officeDocument/2006/relationships/hyperlink" Target="https://techcombank.com/thong-tin/blog/chuyen-tien-tro-cap-than-nhan-o-nuoc-ngoai" TargetMode="External"/><Relationship Id="rId436" Type="http://schemas.openxmlformats.org/officeDocument/2006/relationships/hyperlink" Target="https://techcombank.com/thong-tin/blog/chuyen-doi-the-atm" TargetMode="External"/><Relationship Id="rId435" Type="http://schemas.openxmlformats.org/officeDocument/2006/relationships/hyperlink" Target="https://techcombank.com/thong-tin/blog/chung-chi-tien-gui-co-phai-la-trai-phieu-khong" TargetMode="External"/><Relationship Id="rId434" Type="http://schemas.openxmlformats.org/officeDocument/2006/relationships/hyperlink" Target="https://techcombank.com/thong-tin/blog/chung-chi-tien-gui-co-duoc-bao-hiem-khong" TargetMode="External"/><Relationship Id="rId439" Type="http://schemas.openxmlformats.org/officeDocument/2006/relationships/hyperlink" Target="https://techcombank.com/thong-tin/blog/dat-xe-xanh-sm" TargetMode="External"/><Relationship Id="rId438" Type="http://schemas.openxmlformats.org/officeDocument/2006/relationships/hyperlink" Target="https://techcombank.com/thong-tin/blog/cua-hang-tien-loi" TargetMode="External"/><Relationship Id="rId433" Type="http://schemas.openxmlformats.org/officeDocument/2006/relationships/hyperlink" Target="https://techcombank.com/thong-tin/blog/chung-chi-quy-va-co-phieu" TargetMode="External"/><Relationship Id="rId432" Type="http://schemas.openxmlformats.org/officeDocument/2006/relationships/hyperlink" Target="https://techcombank.com/thong-tin/blog/chi-phi-mo-tai-khoan-ngan-hang-cho-cong-ty" TargetMode="External"/><Relationship Id="rId431" Type="http://schemas.openxmlformats.org/officeDocument/2006/relationships/hyperlink" Target="https://techcombank.com/thong-tin/blog/cam-nang-dinh-cu-my" TargetMode="External"/><Relationship Id="rId430" Type="http://schemas.openxmlformats.org/officeDocument/2006/relationships/hyperlink" Target="https://techcombank.com/thong-tin/blog/cach-tiet-kiem-tien-cua-nguoi-nhat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nop-thue-dat-qua-ngan-hang" TargetMode="External"/><Relationship Id="rId3" Type="http://schemas.openxmlformats.org/officeDocument/2006/relationships/hyperlink" Target="https://techcombank.com/thong-tin/blog/cach-nop-thue-dien-tu" TargetMode="External"/><Relationship Id="rId4" Type="http://schemas.openxmlformats.org/officeDocument/2006/relationships/hyperlink" Target="https://techcombank.com/thong-tin/blog/thue-thu-nhap-doanh-nghiep" TargetMode="External"/><Relationship Id="rId9" Type="http://schemas.openxmlformats.org/officeDocument/2006/relationships/hyperlink" Target="https://techcombank.com/thong-tin/blog/cach-tinh-thue-thu-nhap-doanh-nghiep" TargetMode="External"/><Relationship Id="rId5" Type="http://schemas.openxmlformats.org/officeDocument/2006/relationships/hyperlink" Target="https://techcombank.com/thong-tin/blog/thue-vat-la-gi" TargetMode="External"/><Relationship Id="rId6" Type="http://schemas.openxmlformats.org/officeDocument/2006/relationships/hyperlink" Target="https://techcombank.com/thong-tin/blog/tra-cuu-no-thue-doanh-nghiep" TargetMode="External"/><Relationship Id="rId7" Type="http://schemas.openxmlformats.org/officeDocument/2006/relationships/hyperlink" Target="https://techcombank.com/thong-tin/blog/thue-doanh-nghiep" TargetMode="External"/><Relationship Id="rId8" Type="http://schemas.openxmlformats.org/officeDocument/2006/relationships/hyperlink" Target="https://techcombank.com/thong-tin/blog/cong-ty-su-dung-tai-khoan-ca-nhan" TargetMode="External"/><Relationship Id="rId40" Type="http://schemas.openxmlformats.org/officeDocument/2006/relationships/hyperlink" Target="https://techcombank.com/thong-tin/blog/1-dong-do-la-my-bang-bao-nhieu-tien-viet-nam" TargetMode="External"/><Relationship Id="rId42" Type="http://schemas.openxmlformats.org/officeDocument/2006/relationships/hyperlink" Target="https://techcombank.com/thong-tin/blog/1-yen-bang-bao-nhieu-tien-viet-nam" TargetMode="External"/><Relationship Id="rId41" Type="http://schemas.openxmlformats.org/officeDocument/2006/relationships/hyperlink" Target="https://techcombank.com/thong-tin/blog/tien-nhat" TargetMode="External"/><Relationship Id="rId44" Type="http://schemas.openxmlformats.org/officeDocument/2006/relationships/hyperlink" Target="https://techcombank.com/thong-tin/blog/tien-dai-loan" TargetMode="External"/><Relationship Id="rId43" Type="http://schemas.openxmlformats.org/officeDocument/2006/relationships/hyperlink" Target="https://techcombank.com/thong-tin/blog/1-won-bang-bao-nhieu-tien-viet" TargetMode="External"/><Relationship Id="rId46" Type="http://schemas.openxmlformats.org/officeDocument/2006/relationships/hyperlink" Target="https://techcombank.com/thong-tin/blog/tien-thai-lan" TargetMode="External"/><Relationship Id="rId45" Type="http://schemas.openxmlformats.org/officeDocument/2006/relationships/hyperlink" Target="https://techcombank.com/thong-tin/blog/1-man-bang-bao-nhieu-tien-viet" TargetMode="External"/><Relationship Id="rId48" Type="http://schemas.openxmlformats.org/officeDocument/2006/relationships/hyperlink" Target="https://techcombank.com/thong-tin/blog/1000-won-bang-bao-nhieu-tien-viet" TargetMode="External"/><Relationship Id="rId47" Type="http://schemas.openxmlformats.org/officeDocument/2006/relationships/hyperlink" Target="https://techcombank.com/thong-tin/blog/1-trieu-do-bang-bao-nhieu-tien-viet" TargetMode="External"/><Relationship Id="rId49" Type="http://schemas.openxmlformats.org/officeDocument/2006/relationships/hyperlink" Target="https://techcombank.com/thong-tin/blog/cach-nhan-tien-tu-nuoc-ngoai-ve-viet-nam" TargetMode="External"/><Relationship Id="rId31" Type="http://schemas.openxmlformats.org/officeDocument/2006/relationships/hyperlink" Target="https://techcombank.com/thong-tin/blog/lam-the-tin-dung" TargetMode="External"/><Relationship Id="rId30" Type="http://schemas.openxmlformats.org/officeDocument/2006/relationships/hyperlink" Target="https://techcombank.com/thong-tin/blog/rut-tien-mat-tu-the-tin-dung" TargetMode="External"/><Relationship Id="rId33" Type="http://schemas.openxmlformats.org/officeDocument/2006/relationships/hyperlink" Target="https://techcombank.com/thong-tin/blog/the-tin-dung-hoan-tien" TargetMode="External"/><Relationship Id="rId32" Type="http://schemas.openxmlformats.org/officeDocument/2006/relationships/hyperlink" Target="https://techcombank.com/khach-hang-ca-nhan/chi-tieu/the/the-tin-dung/techcombank-everyday" TargetMode="External"/><Relationship Id="rId35" Type="http://schemas.openxmlformats.org/officeDocument/2006/relationships/hyperlink" Target="https://techcombank.com/thong-tin/blog/xep-hang-tin-dung" TargetMode="External"/><Relationship Id="rId34" Type="http://schemas.openxmlformats.org/officeDocument/2006/relationships/hyperlink" Target="https://techcombank.com/thong-tin/blog/cach-huy-the-tin-dung" TargetMode="External"/><Relationship Id="rId37" Type="http://schemas.openxmlformats.org/officeDocument/2006/relationships/hyperlink" Target="https://techcombank.com/thong-tin/blog/chung-chi-tien-gui-la-gi" TargetMode="External"/><Relationship Id="rId36" Type="http://schemas.openxmlformats.org/officeDocument/2006/relationships/hyperlink" Target="https://techcombank.com/thong-tin/blog/cach-thanh-toan-the-tin-dung" TargetMode="External"/><Relationship Id="rId39" Type="http://schemas.openxmlformats.org/officeDocument/2006/relationships/hyperlink" Target="https://techcombank.com/thong-tin/blog/1-te-bang-bao-nhieu-tien-viet-nam" TargetMode="External"/><Relationship Id="rId38" Type="http://schemas.openxmlformats.org/officeDocument/2006/relationships/hyperlink" Target="https://techcombank.com/thong-tin/blog/lai-suat-chung-chi-tien-gui-cac-ngan-hang" TargetMode="External"/><Relationship Id="rId20" Type="http://schemas.openxmlformats.org/officeDocument/2006/relationships/hyperlink" Target="https://techcombank.com/thong-tin/blog/nap-tien-vao-tai-khoan-ngan-hang" TargetMode="External"/><Relationship Id="rId22" Type="http://schemas.openxmlformats.org/officeDocument/2006/relationships/hyperlink" Target="https://techcombank.com/thong-tin/blog/day-so-phat-tai-phat-loc" TargetMode="External"/><Relationship Id="rId21" Type="http://schemas.openxmlformats.org/officeDocument/2006/relationships/hyperlink" Target="https://techcombank.com/thong-tin/blog/cach-sao-ke-tai-khoan-ngan-hang" TargetMode="External"/><Relationship Id="rId24" Type="http://schemas.openxmlformats.org/officeDocument/2006/relationships/hyperlink" Target="https://techcombank.com/thong-tin/blog/ten-dang-nhap-tai-khoan-ngan-hang-la-gi" TargetMode="External"/><Relationship Id="rId23" Type="http://schemas.openxmlformats.org/officeDocument/2006/relationships/hyperlink" Target="https://techcombank.com/thong-tin/blog/kiem-tra-thue-thu-nhap-ca-nhan" TargetMode="External"/><Relationship Id="rId26" Type="http://schemas.openxmlformats.org/officeDocument/2006/relationships/hyperlink" Target="https://techcombank.com/thong-tin/blog/rut-tien-bang-ma-qr-la-gi-cach-thuc-hien-nhu-the-nao" TargetMode="External"/><Relationship Id="rId25" Type="http://schemas.openxmlformats.org/officeDocument/2006/relationships/hyperlink" Target="https://techcombank.com/thong-tin/blog/thue-thu-nhap-ca-nhan" TargetMode="External"/><Relationship Id="rId28" Type="http://schemas.openxmlformats.org/officeDocument/2006/relationships/hyperlink" Target="https://techcombank.com/thong-tin/blog/eco-card" TargetMode="External"/><Relationship Id="rId27" Type="http://schemas.openxmlformats.org/officeDocument/2006/relationships/hyperlink" Target="https://techcombank.com/thong-tin/blog/cach-quet-nfc-cccd-tren-iphone" TargetMode="External"/><Relationship Id="rId29" Type="http://schemas.openxmlformats.org/officeDocument/2006/relationships/hyperlink" Target="https://techcombank.com/thong-tin/blog/cic-la-gi" TargetMode="External"/><Relationship Id="rId11" Type="http://schemas.openxmlformats.org/officeDocument/2006/relationships/hyperlink" Target="https://techcombank.com/thong-tin/blog/cach-tinh-tien-dien-sinh-hoat" TargetMode="External"/><Relationship Id="rId10" Type="http://schemas.openxmlformats.org/officeDocument/2006/relationships/hyperlink" Target="https://techcombank.com/thong-tin/blog/cach-nap-the-viettel" TargetMode="External"/><Relationship Id="rId13" Type="http://schemas.openxmlformats.org/officeDocument/2006/relationships/hyperlink" Target="https://techcombank.com/thong-tin/blog/cach-kiem-tra-tai-khoan-ngan-hang" TargetMode="External"/><Relationship Id="rId12" Type="http://schemas.openxmlformats.org/officeDocument/2006/relationships/hyperlink" Target="https://techcombank.com/thong-tin/blog/cach-tinh-thue-thu-nhap-ca-nhan-2025" TargetMode="External"/><Relationship Id="rId15" Type="http://schemas.openxmlformats.org/officeDocument/2006/relationships/hyperlink" Target="https://techcombank.com/thong-tin/blog/ngan-hang-uy-tin" TargetMode="External"/><Relationship Id="rId14" Type="http://schemas.openxmlformats.org/officeDocument/2006/relationships/hyperlink" Target="https://techcombank.com/thong-tin/blog/cach-mo-tai-khoan" TargetMode="External"/><Relationship Id="rId17" Type="http://schemas.openxmlformats.org/officeDocument/2006/relationships/hyperlink" Target="https://techcombank.com/thong-tin/blog/bao-nhieu-tuoi-duoc-mo-tai-khoan-ngan-hang" TargetMode="External"/><Relationship Id="rId16" Type="http://schemas.openxmlformats.org/officeDocument/2006/relationships/hyperlink" Target="https://techcombank.com/thong-tin/blog/chuyen-khoan-thanh-cong-nhung-khong-nhan-duoc-tien" TargetMode="External"/><Relationship Id="rId19" Type="http://schemas.openxmlformats.org/officeDocument/2006/relationships/hyperlink" Target="https://techcombank.com/thong-tin/blog/mo-tai-khoan-ngan-hang-duoi-18-tuoi" TargetMode="External"/><Relationship Id="rId18" Type="http://schemas.openxmlformats.org/officeDocument/2006/relationships/hyperlink" Target="https://techcombank.com/thong-tin/blog/cach-mo-tai-khoan" TargetMode="External"/><Relationship Id="rId73" Type="http://schemas.openxmlformats.org/officeDocument/2006/relationships/hyperlink" Target="https://techcombank.com/thong-tin/blog/nen-vay-tin-chap-o-dau" TargetMode="External"/><Relationship Id="rId72" Type="http://schemas.openxmlformats.org/officeDocument/2006/relationships/hyperlink" Target="https://techcombank.com/thong-tin/blog/kiem-tra-no-xau" TargetMode="External"/><Relationship Id="rId75" Type="http://schemas.openxmlformats.org/officeDocument/2006/relationships/hyperlink" Target="https://techcombank.com/thong-tin/blog/vay-tin-chap-khong-tra-duoc-co-sao-khong" TargetMode="External"/><Relationship Id="rId74" Type="http://schemas.openxmlformats.org/officeDocument/2006/relationships/hyperlink" Target="https://techcombank.com/thong-tin/blog/no-xau-la-gi" TargetMode="External"/><Relationship Id="rId77" Type="http://schemas.openxmlformats.org/officeDocument/2006/relationships/drawing" Target="../drawings/drawing7.xml"/><Relationship Id="rId76" Type="http://schemas.openxmlformats.org/officeDocument/2006/relationships/hyperlink" Target="https://techcombank.com/thong-tin/blog/phuong-phap-dau-tu-chung-chi-quy" TargetMode="External"/><Relationship Id="rId71" Type="http://schemas.openxmlformats.org/officeDocument/2006/relationships/hyperlink" Target="https://techcombank.com/thong-tin/blog/vay-thau-chi-la-gi" TargetMode="External"/><Relationship Id="rId70" Type="http://schemas.openxmlformats.org/officeDocument/2006/relationships/hyperlink" Target="https://techcombank.com/thong-tin/blog/lai-suat-vay-ngan-hang" TargetMode="External"/><Relationship Id="rId62" Type="http://schemas.openxmlformats.org/officeDocument/2006/relationships/hyperlink" Target="https://techcombank.com/thong-tin/blog/cach-tinh-lai-suat-tien-gui-tiet-kiem" TargetMode="External"/><Relationship Id="rId61" Type="http://schemas.openxmlformats.org/officeDocument/2006/relationships/hyperlink" Target="https://techcombank.com/thong-tin/blog/lai-suat-tiet-kiem" TargetMode="External"/><Relationship Id="rId64" Type="http://schemas.openxmlformats.org/officeDocument/2006/relationships/hyperlink" Target="https://techcombank.com/thong-tin/blog/so-tiet-kiem-ngan-hang" TargetMode="External"/><Relationship Id="rId63" Type="http://schemas.openxmlformats.org/officeDocument/2006/relationships/hyperlink" Target="https://techcombank.com/thong-tin/blog/rut-tien-tiet-kiem-truoc-thoi-han" TargetMode="External"/><Relationship Id="rId66" Type="http://schemas.openxmlformats.org/officeDocument/2006/relationships/hyperlink" Target="https://techcombank.com/thong-tin/blog/rui-ro-khi-gui-tiet-kiem-online" TargetMode="External"/><Relationship Id="rId65" Type="http://schemas.openxmlformats.org/officeDocument/2006/relationships/hyperlink" Target="https://techcombank.com/thong-tin/blog/cach-tiet-kiem-tien" TargetMode="External"/><Relationship Id="rId68" Type="http://schemas.openxmlformats.org/officeDocument/2006/relationships/hyperlink" Target="https://techcombank.com/cong-cu-tien-ich/cong-cu-tinh-toan/bang-tinh-lai-suat-tiet-kiem" TargetMode="External"/><Relationship Id="rId67" Type="http://schemas.openxmlformats.org/officeDocument/2006/relationships/hyperlink" Target="https://techcombank.com/cong-cu-tien-ich/cong-cu-tinh-toan/bang-tinh-lai-suat-vay" TargetMode="External"/><Relationship Id="rId60" Type="http://schemas.openxmlformats.org/officeDocument/2006/relationships/hyperlink" Target="https://techcombank.com/thong-tin/blog/ho-so-thu-tuc-xoa-the-chap" TargetMode="External"/><Relationship Id="rId69" Type="http://schemas.openxmlformats.org/officeDocument/2006/relationships/hyperlink" Target="https://techcombank.com/thong-tin/blog/app-vay-tien-nhanh" TargetMode="External"/><Relationship Id="rId51" Type="http://schemas.openxmlformats.org/officeDocument/2006/relationships/hyperlink" Target="https://techcombank.com/thong-tin/blog/vay-ngan-hang-1-ty-moi-thang-tra-bao-nhieu" TargetMode="External"/><Relationship Id="rId50" Type="http://schemas.openxmlformats.org/officeDocument/2006/relationships/hyperlink" Target="https://techcombank.com/thong-tin/blog/doi-tien-do-o-dau" TargetMode="External"/><Relationship Id="rId53" Type="http://schemas.openxmlformats.org/officeDocument/2006/relationships/hyperlink" Target="https://techcombank.com/thong-tin/blog/ho-kinh-doanh-dong-thue-nhu-nao" TargetMode="External"/><Relationship Id="rId52" Type="http://schemas.openxmlformats.org/officeDocument/2006/relationships/hyperlink" Target="https://techcombank.com/thong-tin/blog/traveloka-voucher" TargetMode="External"/><Relationship Id="rId55" Type="http://schemas.openxmlformats.org/officeDocument/2006/relationships/hyperlink" Target="https://techcombank.com/thong-tin/blog/gui-ma-qr-ngan-hang" TargetMode="External"/><Relationship Id="rId54" Type="http://schemas.openxmlformats.org/officeDocument/2006/relationships/hyperlink" Target="https://techcombank.com/thong-tin/blog/mo-hinh-kinh-doanh-la-gi" TargetMode="External"/><Relationship Id="rId57" Type="http://schemas.openxmlformats.org/officeDocument/2006/relationships/hyperlink" Target="https://techcombank.com/thong-tin/blog/cach-tinh-thue-ho-kinh-doanh-nho-le" TargetMode="External"/><Relationship Id="rId56" Type="http://schemas.openxmlformats.org/officeDocument/2006/relationships/hyperlink" Target="https://techcombank.com/thong-tin/blog/mo-tai-khoan-ho-kinh-doanh" TargetMode="External"/><Relationship Id="rId59" Type="http://schemas.openxmlformats.org/officeDocument/2006/relationships/hyperlink" Target="https://techcombank.com/thong-tin/blog/lai-suat-vay-the-chap-so-do" TargetMode="External"/><Relationship Id="rId58" Type="http://schemas.openxmlformats.org/officeDocument/2006/relationships/hyperlink" Target="https://techcombank.com/thong-tin/blog/cach-tinh-lai-vay-ngan-hang" TargetMode="External"/></Relationships>
</file>

<file path=xl/worksheets/_rels/sheet8.xml.rels><?xml version="1.0" encoding="UTF-8" standalone="yes"?><Relationships xmlns="http://schemas.openxmlformats.org/package/2006/relationships"><Relationship Id="rId392" Type="http://schemas.openxmlformats.org/officeDocument/2006/relationships/hyperlink" Target="https://techcombank.com/thong-tin/blog/di-du-lich-nuoc-ngoai-can-chuan-bi-gi" TargetMode="External"/><Relationship Id="rId391" Type="http://schemas.openxmlformats.org/officeDocument/2006/relationships/hyperlink" Target="https://techcombank.com/thong-tin/blog/tien-thai-lan" TargetMode="External"/><Relationship Id="rId390" Type="http://schemas.openxmlformats.org/officeDocument/2006/relationships/hyperlink" Target="https://techcombank.com/thong-tin/blog/han-muc-mua-ngoai-te-khi-di-du-lich" TargetMode="External"/><Relationship Id="rId1" Type="http://schemas.openxmlformats.org/officeDocument/2006/relationships/hyperlink" Target="https://techcombank.com/thong-tin/blog/lai-suat-vay-mua-o-to" TargetMode="External"/><Relationship Id="rId2" Type="http://schemas.openxmlformats.org/officeDocument/2006/relationships/hyperlink" Target="https://techcombank.com/thong-tin/blog/vay-mua-xe-tra-gop-ngan-hang-nao-tot-nhat" TargetMode="External"/><Relationship Id="rId3" Type="http://schemas.openxmlformats.org/officeDocument/2006/relationships/hyperlink" Target="https://techcombank.com/thong-tin/blog/lai-suat-vay-mua-o-to" TargetMode="External"/><Relationship Id="rId4" Type="http://schemas.openxmlformats.org/officeDocument/2006/relationships/hyperlink" Target="https://techcombank.com/thong-tin/blog/co-nen-mua-o-to-tra-gop" TargetMode="External"/><Relationship Id="rId9" Type="http://schemas.openxmlformats.org/officeDocument/2006/relationships/hyperlink" Target="https://techcombank.com/thong-tin/blog/lai-suat-vay-mua-o-to" TargetMode="External"/><Relationship Id="rId385" Type="http://schemas.openxmlformats.org/officeDocument/2006/relationships/hyperlink" Target="https://techcombank.com/thong-tin/blog/tien-thai-lan" TargetMode="External"/><Relationship Id="rId384" Type="http://schemas.openxmlformats.org/officeDocument/2006/relationships/hyperlink" Target="https://techcombank.com/thong-tin/blog/thanh-toan-khi-du-lich-nhat-ban" TargetMode="External"/><Relationship Id="rId383" Type="http://schemas.openxmlformats.org/officeDocument/2006/relationships/hyperlink" Target="https://techcombank.com/thong-tin/blog/1-man-bang-bao-nhieu-tien-viet" TargetMode="External"/><Relationship Id="rId382" Type="http://schemas.openxmlformats.org/officeDocument/2006/relationships/hyperlink" Target="https://techcombank.com/thong-tin/blog/chuyen-tien-tu-nhat-ve-viet-nam" TargetMode="External"/><Relationship Id="rId5" Type="http://schemas.openxmlformats.org/officeDocument/2006/relationships/hyperlink" Target="https://techcombank.com/thong-tin/blog/lai-suat-vay-mua-o-to" TargetMode="External"/><Relationship Id="rId389" Type="http://schemas.openxmlformats.org/officeDocument/2006/relationships/hyperlink" Target="https://techcombank.com/thong-tin/blog/tien-thai-lan" TargetMode="External"/><Relationship Id="rId6" Type="http://schemas.openxmlformats.org/officeDocument/2006/relationships/hyperlink" Target="https://techcombank.com/thong-tin/blog/thu-tuc-mua-xe-tra-gop" TargetMode="External"/><Relationship Id="rId388" Type="http://schemas.openxmlformats.org/officeDocument/2006/relationships/hyperlink" Target="https://techcombank.com/thong-tin/blog/thanh-toan-qr-thai-lan" TargetMode="External"/><Relationship Id="rId7" Type="http://schemas.openxmlformats.org/officeDocument/2006/relationships/hyperlink" Target="https://techcombank.com/thong-tin/blog/lai-suat-vay-mua-o-to" TargetMode="External"/><Relationship Id="rId387" Type="http://schemas.openxmlformats.org/officeDocument/2006/relationships/hyperlink" Target="https://techcombank.com/thong-tin/blog/tien-thai-lan" TargetMode="External"/><Relationship Id="rId8" Type="http://schemas.openxmlformats.org/officeDocument/2006/relationships/hyperlink" Target="https://techcombank.com/thong-tin/blog/nen-mua-xe-tra-gop-hay-tra-thang" TargetMode="External"/><Relationship Id="rId386" Type="http://schemas.openxmlformats.org/officeDocument/2006/relationships/hyperlink" Target="https://techcombank.com/thong-tin/blog/thanh-toan-khi-du-lich-thai-lan" TargetMode="External"/><Relationship Id="rId381" Type="http://schemas.openxmlformats.org/officeDocument/2006/relationships/hyperlink" Target="https://techcombank.com/thong-tin/blog/1-man-bang-bao-nhieu-tien-viet" TargetMode="External"/><Relationship Id="rId380" Type="http://schemas.openxmlformats.org/officeDocument/2006/relationships/hyperlink" Target="https://techcombank.com/thong-tin/blog/1000-yen-bang-bao-nhieu-tien-viet" TargetMode="External"/><Relationship Id="rId379" Type="http://schemas.openxmlformats.org/officeDocument/2006/relationships/hyperlink" Target="https://techcombank.com/thong-tin/blog/1-man-bang-bao-nhieu-tien-viet" TargetMode="External"/><Relationship Id="rId374" Type="http://schemas.openxmlformats.org/officeDocument/2006/relationships/hyperlink" Target="https://techcombank.com/thong-tin/blog/han-muc-mua-ngoai-te-khi-di-du-lich" TargetMode="External"/><Relationship Id="rId373" Type="http://schemas.openxmlformats.org/officeDocument/2006/relationships/hyperlink" Target="https://techcombank.com/thong-tin/blog/tien-dai-loan" TargetMode="External"/><Relationship Id="rId372" Type="http://schemas.openxmlformats.org/officeDocument/2006/relationships/hyperlink" Target="https://techcombank.com/thong-tin/blog/ty-gia-cac-ngan-hang" TargetMode="External"/><Relationship Id="rId371" Type="http://schemas.openxmlformats.org/officeDocument/2006/relationships/hyperlink" Target="https://techcombank.com/thong-tin/blog/tien-dai-loan" TargetMode="External"/><Relationship Id="rId378" Type="http://schemas.openxmlformats.org/officeDocument/2006/relationships/hyperlink" Target="https://techcombank.com/thong-tin/blog/1-yen-bang-bao-nhieu-tien-viet-nam" TargetMode="External"/><Relationship Id="rId377" Type="http://schemas.openxmlformats.org/officeDocument/2006/relationships/hyperlink" Target="https://techcombank.com/thong-tin/blog/1-man-bang-bao-nhieu-tien-viet" TargetMode="External"/><Relationship Id="rId376" Type="http://schemas.openxmlformats.org/officeDocument/2006/relationships/hyperlink" Target="https://techcombank.com/thong-tin/blog/tien-nhat" TargetMode="External"/><Relationship Id="rId375" Type="http://schemas.openxmlformats.org/officeDocument/2006/relationships/hyperlink" Target="https://techcombank.com/thong-tin/blog/1-man-bang-bao-nhieu-tien-viet" TargetMode="External"/><Relationship Id="rId396" Type="http://schemas.openxmlformats.org/officeDocument/2006/relationships/hyperlink" Target="https://techcombank.com/thong-tin/blog/1-dong-do-la-my-bang-bao-nhieu-tien-viet-nam" TargetMode="External"/><Relationship Id="rId395" Type="http://schemas.openxmlformats.org/officeDocument/2006/relationships/hyperlink" Target="https://techcombank.com/thong-tin/blog/1-trieu-do-bang-bao-nhieu-tien-viet" TargetMode="External"/><Relationship Id="rId394" Type="http://schemas.openxmlformats.org/officeDocument/2006/relationships/hyperlink" Target="https://techcombank.com/thong-tin/blog/thanh-toan-bang-the-quoc-te" TargetMode="External"/><Relationship Id="rId393" Type="http://schemas.openxmlformats.org/officeDocument/2006/relationships/hyperlink" Target="https://techcombank.com/thong-tin/blog/tien-thai-lan" TargetMode="External"/><Relationship Id="rId399" Type="http://schemas.openxmlformats.org/officeDocument/2006/relationships/hyperlink" Target="https://techcombank.com/thong-tin/blog/1-trieu-do-bang-bao-nhieu-tien-viet" TargetMode="External"/><Relationship Id="rId398" Type="http://schemas.openxmlformats.org/officeDocument/2006/relationships/hyperlink" Target="https://techcombank.com/thong-tin/blog/high-net-worth-client-va-ultra-high-net-worth-client" TargetMode="External"/><Relationship Id="rId397" Type="http://schemas.openxmlformats.org/officeDocument/2006/relationships/hyperlink" Target="https://techcombank.com/thong-tin/blog/1-trieu-do-bang-bao-nhieu-tien-viet" TargetMode="External"/><Relationship Id="rId40" Type="http://schemas.openxmlformats.org/officeDocument/2006/relationships/hyperlink" Target="https://techcombank.com/thong-tin/blog/chuyen-doi-hoa-don-dien-tu" TargetMode="External"/><Relationship Id="rId42" Type="http://schemas.openxmlformats.org/officeDocument/2006/relationships/hyperlink" Target="https://techcombank.com/thong-tin/blog/thue-thuong-mai-dien-tu" TargetMode="External"/><Relationship Id="rId41" Type="http://schemas.openxmlformats.org/officeDocument/2006/relationships/hyperlink" Target="https://techcombank.com/thong-tin/blog/thue-vat-la-gi" TargetMode="External"/><Relationship Id="rId44" Type="http://schemas.openxmlformats.org/officeDocument/2006/relationships/hyperlink" Target="https://techcombank.com/thong-tin/blog/kiem-tra-ma-so-thue-doanh-nghiep" TargetMode="External"/><Relationship Id="rId43" Type="http://schemas.openxmlformats.org/officeDocument/2006/relationships/hyperlink" Target="https://techcombank.com/thong-tin/blog/tra-cuu-no-thue-doanh-nghiep" TargetMode="External"/><Relationship Id="rId46" Type="http://schemas.openxmlformats.org/officeDocument/2006/relationships/hyperlink" Target="https://techcombank.com/thong-tin/blog/tra-cuu-no-thue-hai-quan" TargetMode="External"/><Relationship Id="rId45" Type="http://schemas.openxmlformats.org/officeDocument/2006/relationships/hyperlink" Target="https://techcombank.com/thong-tin/blog/tra-cuu-no-thue-doanh-nghiep" TargetMode="External"/><Relationship Id="rId48" Type="http://schemas.openxmlformats.org/officeDocument/2006/relationships/hyperlink" Target="https://techcombank.com/thong-tin/blog/quyet-toan-thue-doanh-nghiep" TargetMode="External"/><Relationship Id="rId47" Type="http://schemas.openxmlformats.org/officeDocument/2006/relationships/hyperlink" Target="https://techcombank.com/thong-tin/blog/tra-cuu-no-thue-doanh-nghiep" TargetMode="External"/><Relationship Id="rId49" Type="http://schemas.openxmlformats.org/officeDocument/2006/relationships/hyperlink" Target="https://techcombank.com/thong-tin/blog/tra-cuu-no-thue-doanh-nghiep" TargetMode="External"/><Relationship Id="rId31" Type="http://schemas.openxmlformats.org/officeDocument/2006/relationships/hyperlink" Target="https://techcombank.com/thong-tin/blog/thue-thu-nhap-doanh-nghiep" TargetMode="External"/><Relationship Id="rId30" Type="http://schemas.openxmlformats.org/officeDocument/2006/relationships/hyperlink" Target="https://techcombank.com/thong-tin/blog/doanh-nghiep-moi-thanh-lap-duoc-uu-dai-gi" TargetMode="External"/><Relationship Id="rId33" Type="http://schemas.openxmlformats.org/officeDocument/2006/relationships/hyperlink" Target="https://techcombank.com/thong-tin/blog/thue-thu-nhap-doanh-nghiep" TargetMode="External"/><Relationship Id="rId32" Type="http://schemas.openxmlformats.org/officeDocument/2006/relationships/hyperlink" Target="https://techcombank.com/thong-tin/blog/loi-nhuan" TargetMode="External"/><Relationship Id="rId35" Type="http://schemas.openxmlformats.org/officeDocument/2006/relationships/hyperlink" Target="https://techcombank.com/thong-tin/blog/thue-vat-la-gi" TargetMode="External"/><Relationship Id="rId34" Type="http://schemas.openxmlformats.org/officeDocument/2006/relationships/hyperlink" Target="https://techcombank.com/thong-tin/blog/hoan-thue-doanh-nghiep" TargetMode="External"/><Relationship Id="rId37" Type="http://schemas.openxmlformats.org/officeDocument/2006/relationships/hyperlink" Target="https://techcombank.com/thong-tin/blog/thue-vat-la-gi" TargetMode="External"/><Relationship Id="rId36" Type="http://schemas.openxmlformats.org/officeDocument/2006/relationships/hyperlink" Target="https://techcombank.com/thong-tin/blog/ke-khai-thue-doanh-nghiep" TargetMode="External"/><Relationship Id="rId39" Type="http://schemas.openxmlformats.org/officeDocument/2006/relationships/hyperlink" Target="https://techcombank.com/thong-tin/blog/thue-vat-la-gi" TargetMode="External"/><Relationship Id="rId38" Type="http://schemas.openxmlformats.org/officeDocument/2006/relationships/hyperlink" Target="https://techcombank.com/thong-tin/blog/hoan-thue-doanh-nghiep" TargetMode="External"/><Relationship Id="rId20" Type="http://schemas.openxmlformats.org/officeDocument/2006/relationships/hyperlink" Target="https://techcombank.com/thong-tin/blog/ke-khai-thue-ho-kinh-doanh-ca-the-online" TargetMode="External"/><Relationship Id="rId22" Type="http://schemas.openxmlformats.org/officeDocument/2006/relationships/hyperlink" Target="https://techcombank.com/thong-tin/blog/hoan-thue-thu-nhap-ca-nhan" TargetMode="External"/><Relationship Id="rId21" Type="http://schemas.openxmlformats.org/officeDocument/2006/relationships/hyperlink" Target="https://techcombank.com/thong-tin/blog/cach-nop-thue-dien-tu" TargetMode="External"/><Relationship Id="rId24" Type="http://schemas.openxmlformats.org/officeDocument/2006/relationships/hyperlink" Target="https://techcombank.com/thong-tin/blog/nop-thue-hai-quan" TargetMode="External"/><Relationship Id="rId23" Type="http://schemas.openxmlformats.org/officeDocument/2006/relationships/hyperlink" Target="https://techcombank.com/thong-tin/blog/cach-nop-thue-dien-tu" TargetMode="External"/><Relationship Id="rId26" Type="http://schemas.openxmlformats.org/officeDocument/2006/relationships/hyperlink" Target="https://techcombank.com/thong-tin/blog/nhung-chi-phi-khong-duoc-tru-khi-tinh-thue-tndn" TargetMode="External"/><Relationship Id="rId25" Type="http://schemas.openxmlformats.org/officeDocument/2006/relationships/hyperlink" Target="https://techcombank.com/thong-tin/blog/thue-thu-nhap-doanh-nghiep" TargetMode="External"/><Relationship Id="rId28" Type="http://schemas.openxmlformats.org/officeDocument/2006/relationships/hyperlink" Target="https://techcombank.com/thong-tin/blog/quyet-toan-thue-doanh-nghiep" TargetMode="External"/><Relationship Id="rId27" Type="http://schemas.openxmlformats.org/officeDocument/2006/relationships/hyperlink" Target="https://techcombank.com/thong-tin/blog/thue-thu-nhap-doanh-nghiep" TargetMode="External"/><Relationship Id="rId29" Type="http://schemas.openxmlformats.org/officeDocument/2006/relationships/hyperlink" Target="https://techcombank.com/thong-tin/blog/thue-thu-nhap-doanh-nghiep" TargetMode="External"/><Relationship Id="rId11" Type="http://schemas.openxmlformats.org/officeDocument/2006/relationships/hyperlink" Target="https://techcombank.com/thong-tin/blog/nop-thue-dat-qua-ngan-hang" TargetMode="External"/><Relationship Id="rId10" Type="http://schemas.openxmlformats.org/officeDocument/2006/relationships/hyperlink" Target="https://techcombank.com/thong-tin/blog/vay-the-chap-xe-o-to-cu" TargetMode="External"/><Relationship Id="rId13" Type="http://schemas.openxmlformats.org/officeDocument/2006/relationships/hyperlink" Target="https://techcombank.com/thong-tin/blog/nop-thue-dat-qua-ngan-hang" TargetMode="External"/><Relationship Id="rId12" Type="http://schemas.openxmlformats.org/officeDocument/2006/relationships/hyperlink" Target="https://techcombank.com/thong-tin/blog/lien-ket-tai-khoan-ngan-hang-voi-etax-mobile" TargetMode="External"/><Relationship Id="rId15" Type="http://schemas.openxmlformats.org/officeDocument/2006/relationships/hyperlink" Target="https://techcombank.com/thong-tin/blog/cach-nop-thue-dien-tu" TargetMode="External"/><Relationship Id="rId14" Type="http://schemas.openxmlformats.org/officeDocument/2006/relationships/hyperlink" Target="https://techcombank.com/thong-tin/blog/cach-nop-thue-dien-tu" TargetMode="External"/><Relationship Id="rId17" Type="http://schemas.openxmlformats.org/officeDocument/2006/relationships/hyperlink" Target="https://techcombank.com/thong-tin/blog/cach-nop-thue-dien-tu" TargetMode="External"/><Relationship Id="rId16" Type="http://schemas.openxmlformats.org/officeDocument/2006/relationships/hyperlink" Target="https://techcombank.com/thong-tin/blog/lien-ket-tai-khoan-ngan-hang-voi-etax-mobile" TargetMode="External"/><Relationship Id="rId19" Type="http://schemas.openxmlformats.org/officeDocument/2006/relationships/hyperlink" Target="https://techcombank.com/thong-tin/blog/cach-nop-thue-dien-tu" TargetMode="External"/><Relationship Id="rId18" Type="http://schemas.openxmlformats.org/officeDocument/2006/relationships/hyperlink" Target="https://techcombank.com/thong-tin/blog/quyet-toan-thue-thu-nhap-ca-nhan" TargetMode="External"/><Relationship Id="rId84" Type="http://schemas.openxmlformats.org/officeDocument/2006/relationships/hyperlink" Target="https://techcombank.com/thong-tin/blog/cach-nap-the-vina" TargetMode="External"/><Relationship Id="rId83" Type="http://schemas.openxmlformats.org/officeDocument/2006/relationships/hyperlink" Target="https://techcombank.com/thong-tin/blog/cach-nap-the-viettel" TargetMode="External"/><Relationship Id="rId86" Type="http://schemas.openxmlformats.org/officeDocument/2006/relationships/hyperlink" Target="https://techcombank.com/thong-tin/blog/cach-nap-the-mobi" TargetMode="External"/><Relationship Id="rId85" Type="http://schemas.openxmlformats.org/officeDocument/2006/relationships/hyperlink" Target="https://techcombank.com/thong-tin/blog/cach-nap-the-viettel" TargetMode="External"/><Relationship Id="rId88" Type="http://schemas.openxmlformats.org/officeDocument/2006/relationships/hyperlink" Target="https://techcombank.com/thong-tin/blog/gia-dien-sinh-hoat" TargetMode="External"/><Relationship Id="rId87" Type="http://schemas.openxmlformats.org/officeDocument/2006/relationships/hyperlink" Target="https://techcombank.com/thong-tin/blog/cach-tinh-tien-dien-sinh-hoat" TargetMode="External"/><Relationship Id="rId89" Type="http://schemas.openxmlformats.org/officeDocument/2006/relationships/hyperlink" Target="https://techcombank.com/thong-tin/blog/cach-tinh-tien-dien-sinh-hoat" TargetMode="External"/><Relationship Id="rId80" Type="http://schemas.openxmlformats.org/officeDocument/2006/relationships/hyperlink" Target="https://techcombank.com/thong-tin/blog/nap-tien-dien-thoai-online" TargetMode="External"/><Relationship Id="rId82" Type="http://schemas.openxmlformats.org/officeDocument/2006/relationships/hyperlink" Target="https://techcombank.com/thong-tin/blog/thanh-toan-tra-sau-viettel-bang-tai-khoan-ngan-hang" TargetMode="External"/><Relationship Id="rId81" Type="http://schemas.openxmlformats.org/officeDocument/2006/relationships/hyperlink" Target="https://techcombank.com/thong-tin/blog/cach-nap-the-viettel" TargetMode="External"/><Relationship Id="rId73" Type="http://schemas.openxmlformats.org/officeDocument/2006/relationships/hyperlink" Target="https://techcombank.com/thong-tin/blog/cach-tinh-thue-thu-nhap-doanh-nghiep" TargetMode="External"/><Relationship Id="rId72" Type="http://schemas.openxmlformats.org/officeDocument/2006/relationships/hyperlink" Target="https://techcombank.com/thong-tin/blog/khau-hao" TargetMode="External"/><Relationship Id="rId75" Type="http://schemas.openxmlformats.org/officeDocument/2006/relationships/hyperlink" Target="https://techcombank.com/thong-tin/blog/cach-tinh-thue-thu-nhap-doanh-nghiep" TargetMode="External"/><Relationship Id="rId74" Type="http://schemas.openxmlformats.org/officeDocument/2006/relationships/hyperlink" Target="https://techcombank.com/thong-tin/blog/loi-nhuan-rong" TargetMode="External"/><Relationship Id="rId77" Type="http://schemas.openxmlformats.org/officeDocument/2006/relationships/hyperlink" Target="https://techcombank.com/thong-tin/blog/cach-nap-the-viettel" TargetMode="External"/><Relationship Id="rId76" Type="http://schemas.openxmlformats.org/officeDocument/2006/relationships/hyperlink" Target="https://techcombank.com/thong-tin/blog/cach-doc-bao-cao-tai-chinh" TargetMode="External"/><Relationship Id="rId79" Type="http://schemas.openxmlformats.org/officeDocument/2006/relationships/hyperlink" Target="https://techcombank.com/thong-tin/blog/cach-nap-the-viettel" TargetMode="External"/><Relationship Id="rId78" Type="http://schemas.openxmlformats.org/officeDocument/2006/relationships/hyperlink" Target="https://techcombank.com/thong-tin/blog/cach-nap-the" TargetMode="External"/><Relationship Id="rId71" Type="http://schemas.openxmlformats.org/officeDocument/2006/relationships/hyperlink" Target="https://techcombank.com/thong-tin/blog/cach-tinh-thue-thu-nhap-doanh-nghiep" TargetMode="External"/><Relationship Id="rId70" Type="http://schemas.openxmlformats.org/officeDocument/2006/relationships/hyperlink" Target="https://techcombank.com/thong-tin/blog/nhung-chi-phi-khong-duoc-tru-khi-tinh-thue-tndn" TargetMode="External"/><Relationship Id="rId62" Type="http://schemas.openxmlformats.org/officeDocument/2006/relationships/hyperlink" Target="https://techcombank.com/thong-tin/blog/mo-tai-khoan-doanh-nghiep" TargetMode="External"/><Relationship Id="rId61" Type="http://schemas.openxmlformats.org/officeDocument/2006/relationships/hyperlink" Target="https://techcombank.com/thong-tin/blog/cong-ty-su-dung-tai-khoan-ca-nhan" TargetMode="External"/><Relationship Id="rId64" Type="http://schemas.openxmlformats.org/officeDocument/2006/relationships/hyperlink" Target="https://techcombank.com/thong-tin/blog/luu-y-khi-chuyen-tien-vao-tai-khoan-cong-ty" TargetMode="External"/><Relationship Id="rId63" Type="http://schemas.openxmlformats.org/officeDocument/2006/relationships/hyperlink" Target="https://techcombank.com/thong-tin/blog/cong-ty-su-dung-tai-khoan-ca-nhan" TargetMode="External"/><Relationship Id="rId66" Type="http://schemas.openxmlformats.org/officeDocument/2006/relationships/hyperlink" Target="https://techcombank.com/thong-tin/blog/cach-su-dung-tai-khoan-cong-ty" TargetMode="External"/><Relationship Id="rId65" Type="http://schemas.openxmlformats.org/officeDocument/2006/relationships/hyperlink" Target="https://techcombank.com/thong-tin/blog/cong-ty-su-dung-tai-khoan-ca-nhan" TargetMode="External"/><Relationship Id="rId68" Type="http://schemas.openxmlformats.org/officeDocument/2006/relationships/hyperlink" Target="https://techcombank.com/thong-tin/blog/tien-chuyen-vao-tai-khoan-co-bi-tinh-thue-khong" TargetMode="External"/><Relationship Id="rId67" Type="http://schemas.openxmlformats.org/officeDocument/2006/relationships/hyperlink" Target="https://techcombank.com/thong-tin/blog/cong-ty-su-dung-tai-khoan-ca-nhan" TargetMode="External"/><Relationship Id="rId60" Type="http://schemas.openxmlformats.org/officeDocument/2006/relationships/hyperlink" Target="https://techcombank.com/thong-tin/blog/thue-doanh-nghiep-2025" TargetMode="External"/><Relationship Id="rId69" Type="http://schemas.openxmlformats.org/officeDocument/2006/relationships/hyperlink" Target="https://techcombank.com/thong-tin/blog/cach-tinh-thue-thu-nhap-doanh-nghiep" TargetMode="External"/><Relationship Id="rId51" Type="http://schemas.openxmlformats.org/officeDocument/2006/relationships/hyperlink" Target="https://techcombank.com/thong-tin/blog/tra-cuu-no-thue-doanh-nghiep" TargetMode="External"/><Relationship Id="rId50" Type="http://schemas.openxmlformats.org/officeDocument/2006/relationships/hyperlink" Target="https://techcombank.com/thong-tin/blog/ke-khai-thue-doanh-nghiep" TargetMode="External"/><Relationship Id="rId53" Type="http://schemas.openxmlformats.org/officeDocument/2006/relationships/hyperlink" Target="https://techcombank.com/thong-tin/blog/thue-doanh-nghiep" TargetMode="External"/><Relationship Id="rId52" Type="http://schemas.openxmlformats.org/officeDocument/2006/relationships/hyperlink" Target="https://techcombank.com/thong-tin/blog/tra-cuu-no-thue-ho-kinh-doanh" TargetMode="External"/><Relationship Id="rId55" Type="http://schemas.openxmlformats.org/officeDocument/2006/relationships/hyperlink" Target="https://techcombank.com/thong-tin/blog/thue-doanh-nghiep" TargetMode="External"/><Relationship Id="rId54" Type="http://schemas.openxmlformats.org/officeDocument/2006/relationships/hyperlink" Target="https://techcombank.com/thong-tin/blog/giai-dap-ve-thue-doanh-nghiep" TargetMode="External"/><Relationship Id="rId57" Type="http://schemas.openxmlformats.org/officeDocument/2006/relationships/hyperlink" Target="https://techcombank.com/thong-tin/blog/thue-doanh-nghiep" TargetMode="External"/><Relationship Id="rId56" Type="http://schemas.openxmlformats.org/officeDocument/2006/relationships/hyperlink" Target="https://techcombank.com/thong-tin/blog/hieu-hiet-ve-tuan-thu-thue-cho-cac-doanh-nghiep-khoi-nghiep" TargetMode="External"/><Relationship Id="rId59" Type="http://schemas.openxmlformats.org/officeDocument/2006/relationships/hyperlink" Target="https://techcombank.com/thong-tin/blog/thue-doanh-nghiep" TargetMode="External"/><Relationship Id="rId58" Type="http://schemas.openxmlformats.org/officeDocument/2006/relationships/hyperlink" Target="https://techcombank.com/thong-tin/blog/thue-phi-co-dinh-khi-chuyen-doi-tu-ho-kinh-doanh-len-doanh-nghiep" TargetMode="External"/><Relationship Id="rId349" Type="http://schemas.openxmlformats.org/officeDocument/2006/relationships/hyperlink" Target="https://techcombank.com/thong-tin/blog/1-yen-bang-bao-nhieu-tien-viet-nam" TargetMode="External"/><Relationship Id="rId348" Type="http://schemas.openxmlformats.org/officeDocument/2006/relationships/hyperlink" Target="https://techcombank.com/thong-tin/blog/1-man-bang-bao-nhieu-tien-viet" TargetMode="External"/><Relationship Id="rId347" Type="http://schemas.openxmlformats.org/officeDocument/2006/relationships/hyperlink" Target="https://techcombank.com/thong-tin/blog/tien-nhat" TargetMode="External"/><Relationship Id="rId346" Type="http://schemas.openxmlformats.org/officeDocument/2006/relationships/hyperlink" Target="https://techcombank.com/thong-tin/blog/1-yen-bang-bao-nhieu-tien-viet-nam" TargetMode="External"/><Relationship Id="rId341" Type="http://schemas.openxmlformats.org/officeDocument/2006/relationships/hyperlink" Target="https://techcombank.com/thong-tin/blog/tien-nhat" TargetMode="External"/><Relationship Id="rId340" Type="http://schemas.openxmlformats.org/officeDocument/2006/relationships/hyperlink" Target="https://techcombank.com/thong-tin/blog/chuyen-tien-tu-my-ve-viet-nam" TargetMode="External"/><Relationship Id="rId345" Type="http://schemas.openxmlformats.org/officeDocument/2006/relationships/hyperlink" Target="https://techcombank.com/thong-tin/blog/tien-nhat" TargetMode="External"/><Relationship Id="rId344" Type="http://schemas.openxmlformats.org/officeDocument/2006/relationships/hyperlink" Target="https://techcombank.com/thong-tin/blog/chuyen-tien-tu-nhat-ve-viet-nam" TargetMode="External"/><Relationship Id="rId343" Type="http://schemas.openxmlformats.org/officeDocument/2006/relationships/hyperlink" Target="https://techcombank.com/thong-tin/blog/tien-nhat" TargetMode="External"/><Relationship Id="rId342" Type="http://schemas.openxmlformats.org/officeDocument/2006/relationships/hyperlink" Target="https://techcombank.com/thong-tin/blog/thanh-toan-khi-du-lich-nhat-ban" TargetMode="External"/><Relationship Id="rId338" Type="http://schemas.openxmlformats.org/officeDocument/2006/relationships/hyperlink" Target="https://techcombank.com/thong-tin/blog/lai-suat-gui-tiet-kiem-usd" TargetMode="External"/><Relationship Id="rId337" Type="http://schemas.openxmlformats.org/officeDocument/2006/relationships/hyperlink" Target="https://techcombank.com/thong-tin/blog/1-dong-do-la-my-bang-bao-nhieu-tien-viet-nam" TargetMode="External"/><Relationship Id="rId336" Type="http://schemas.openxmlformats.org/officeDocument/2006/relationships/hyperlink" Target="https://techcombank.com/thong-tin/blog/1-cent-bang-bao-nhieu-tien-viet" TargetMode="External"/><Relationship Id="rId335" Type="http://schemas.openxmlformats.org/officeDocument/2006/relationships/hyperlink" Target="https://techcombank.com/thong-tin/blog/1-dong-do-la-my-bang-bao-nhieu-tien-viet-nam" TargetMode="External"/><Relationship Id="rId339" Type="http://schemas.openxmlformats.org/officeDocument/2006/relationships/hyperlink" Target="https://techcombank.com/thong-tin/blog/1-dong-do-la-my-bang-bao-nhieu-tien-viet-nam" TargetMode="External"/><Relationship Id="rId330" Type="http://schemas.openxmlformats.org/officeDocument/2006/relationships/hyperlink" Target="https://techcombank.com/thong-tin/blog/thanh-toan-khi-du-lich-trung-quoc" TargetMode="External"/><Relationship Id="rId334" Type="http://schemas.openxmlformats.org/officeDocument/2006/relationships/hyperlink" Target="https://techcombank.com/thong-tin/blog/dieu-kien-mua-usd-tu-ngan-hang" TargetMode="External"/><Relationship Id="rId333" Type="http://schemas.openxmlformats.org/officeDocument/2006/relationships/hyperlink" Target="https://techcombank.com/thong-tin/blog/1-dong-do-la-my-bang-bao-nhieu-tien-viet-nam" TargetMode="External"/><Relationship Id="rId332" Type="http://schemas.openxmlformats.org/officeDocument/2006/relationships/hyperlink" Target="https://techcombank.com/thong-tin/blog/xu-huong-ty-gia-usd" TargetMode="External"/><Relationship Id="rId331" Type="http://schemas.openxmlformats.org/officeDocument/2006/relationships/hyperlink" Target="https://techcombank.com/thong-tin/blog/1-dong-do-la-my-bang-bao-nhieu-tien-viet-nam" TargetMode="External"/><Relationship Id="rId370" Type="http://schemas.openxmlformats.org/officeDocument/2006/relationships/hyperlink" Target="https://techcombank.com/thong-tin/blog/ngoai-te-la-gi" TargetMode="External"/><Relationship Id="rId369" Type="http://schemas.openxmlformats.org/officeDocument/2006/relationships/hyperlink" Target="https://techcombank.com/thong-tin/blog/tien-dai-loan" TargetMode="External"/><Relationship Id="rId368" Type="http://schemas.openxmlformats.org/officeDocument/2006/relationships/hyperlink" Target="https://techcombank.com/thong-tin/blog/1-van-tien-dai-loan-bang-bao-nhieu-tien-viet" TargetMode="External"/><Relationship Id="rId363" Type="http://schemas.openxmlformats.org/officeDocument/2006/relationships/hyperlink" Target="https://techcombank.com/thong-tin/blog/1-won-bang-bao-nhieu-tien-viet" TargetMode="External"/><Relationship Id="rId362" Type="http://schemas.openxmlformats.org/officeDocument/2006/relationships/hyperlink" Target="https://techcombank.com/thong-tin/blog/thanh-toan-khi-du-lich-han-quoc" TargetMode="External"/><Relationship Id="rId361" Type="http://schemas.openxmlformats.org/officeDocument/2006/relationships/hyperlink" Target="https://techcombank.com/thong-tin/blog/1-won-bang-bao-nhieu-tien-viet" TargetMode="External"/><Relationship Id="rId360" Type="http://schemas.openxmlformats.org/officeDocument/2006/relationships/hyperlink" Target="https://techcombank.com/thong-tin/blog/1000-won-bang-bao-nhieu-tien-viet" TargetMode="External"/><Relationship Id="rId367" Type="http://schemas.openxmlformats.org/officeDocument/2006/relationships/hyperlink" Target="https://techcombank.com/thong-tin/blog/tien-dai-loan" TargetMode="External"/><Relationship Id="rId366" Type="http://schemas.openxmlformats.org/officeDocument/2006/relationships/hyperlink" Target="https://techcombank.com/thong-tin/blog/ty-gia-cac-ngan-hang" TargetMode="External"/><Relationship Id="rId365" Type="http://schemas.openxmlformats.org/officeDocument/2006/relationships/hyperlink" Target="https://techcombank.com/thong-tin/blog/1-won-bang-bao-nhieu-tien-viet" TargetMode="External"/><Relationship Id="rId364" Type="http://schemas.openxmlformats.org/officeDocument/2006/relationships/hyperlink" Target="https://techcombank.com/thong-tin/blog/chuyen-tien-tu-han-sang-viet-nam" TargetMode="External"/><Relationship Id="rId95" Type="http://schemas.openxmlformats.org/officeDocument/2006/relationships/hyperlink" Target="https://techcombank.com/thong-tin/blog/cach-tinh-tien-dien-sinh-hoat" TargetMode="External"/><Relationship Id="rId94" Type="http://schemas.openxmlformats.org/officeDocument/2006/relationships/hyperlink" Target="https://techcombank.com/thong-tin/blog/app-dong-tien-dien-online" TargetMode="External"/><Relationship Id="rId97" Type="http://schemas.openxmlformats.org/officeDocument/2006/relationships/hyperlink" Target="https://techcombank.com/thong-tin/blog/cach-tinh-thue-thu-nhap-ca-nhan-2025" TargetMode="External"/><Relationship Id="rId96" Type="http://schemas.openxmlformats.org/officeDocument/2006/relationships/hyperlink" Target="https://techcombank.com/thong-tin/blog/thanh-toan-tien-dien-bang-the-tin-dung" TargetMode="External"/><Relationship Id="rId99" Type="http://schemas.openxmlformats.org/officeDocument/2006/relationships/hyperlink" Target="https://techcombank.com/thong-tin/blog/cach-tinh-thue-thu-nhap-ca-nhan-2025" TargetMode="External"/><Relationship Id="rId98" Type="http://schemas.openxmlformats.org/officeDocument/2006/relationships/hyperlink" Target="https://techcombank.com/thong-tin/blog/quyet-toan-thue-thu-nhap-ca-nhan" TargetMode="External"/><Relationship Id="rId91" Type="http://schemas.openxmlformats.org/officeDocument/2006/relationships/hyperlink" Target="https://techcombank.com/thong-tin/blog/cach-tinh-tien-dien-sinh-hoat" TargetMode="External"/><Relationship Id="rId90" Type="http://schemas.openxmlformats.org/officeDocument/2006/relationships/hyperlink" Target="https://techcombank.com/thong-tin/blog/tra-cuu-hoa-don-tien-dien" TargetMode="External"/><Relationship Id="rId93" Type="http://schemas.openxmlformats.org/officeDocument/2006/relationships/hyperlink" Target="https://techcombank.com/thong-tin/blog/cach-tinh-tien-dien-sinh-hoat" TargetMode="External"/><Relationship Id="rId92" Type="http://schemas.openxmlformats.org/officeDocument/2006/relationships/hyperlink" Target="https://techcombank.com/thong-tin/blog/cach-dong-tien-dien-qua-tai-khoan-ngan-hang" TargetMode="External"/><Relationship Id="rId359" Type="http://schemas.openxmlformats.org/officeDocument/2006/relationships/hyperlink" Target="https://techcombank.com/thong-tin/blog/1-won-bang-bao-nhieu-tien-viet" TargetMode="External"/><Relationship Id="rId358" Type="http://schemas.openxmlformats.org/officeDocument/2006/relationships/hyperlink" Target="https://techcombank.com/thong-tin/blog/1-trieu-won-bang-bao-nhieu-tien-viet" TargetMode="External"/><Relationship Id="rId357" Type="http://schemas.openxmlformats.org/officeDocument/2006/relationships/hyperlink" Target="https://techcombank.com/thong-tin/blog/1-won-bang-bao-nhieu-tien-viet" TargetMode="External"/><Relationship Id="rId352" Type="http://schemas.openxmlformats.org/officeDocument/2006/relationships/hyperlink" Target="https://techcombank.com/thong-tin/blog/tien-nhat" TargetMode="External"/><Relationship Id="rId351" Type="http://schemas.openxmlformats.org/officeDocument/2006/relationships/hyperlink" Target="https://techcombank.com/thong-tin/blog/1-yen-bang-bao-nhieu-tien-viet-nam" TargetMode="External"/><Relationship Id="rId350" Type="http://schemas.openxmlformats.org/officeDocument/2006/relationships/hyperlink" Target="https://techcombank.com/thong-tin/blog/1000-yen-bang-bao-nhieu-tien-viet" TargetMode="External"/><Relationship Id="rId356" Type="http://schemas.openxmlformats.org/officeDocument/2006/relationships/hyperlink" Target="https://techcombank.com/thong-tin/blog/chuyen-tien-tu-nhat-ve-viet-nam" TargetMode="External"/><Relationship Id="rId355" Type="http://schemas.openxmlformats.org/officeDocument/2006/relationships/hyperlink" Target="https://techcombank.com/thong-tin/blog/1-yen-bang-bao-nhieu-tien-viet-nam" TargetMode="External"/><Relationship Id="rId354" Type="http://schemas.openxmlformats.org/officeDocument/2006/relationships/hyperlink" Target="https://techcombank.com/thong-tin/blog/1-man-bang-bao-nhieu-tien-viet" TargetMode="External"/><Relationship Id="rId353" Type="http://schemas.openxmlformats.org/officeDocument/2006/relationships/hyperlink" Target="https://techcombank.com/thong-tin/blog/1-yen-bang-bao-nhieu-tien-viet-nam" TargetMode="External"/><Relationship Id="rId305" Type="http://schemas.openxmlformats.org/officeDocument/2006/relationships/hyperlink" Target="https://techcombank.com/thong-tin/blog/chung-chi-tien-gui-la-gi" TargetMode="External"/><Relationship Id="rId304" Type="http://schemas.openxmlformats.org/officeDocument/2006/relationships/hyperlink" Target="https://techcombank.com/thong-tin/blog/the-tin-dung-mien-lai-55-ngay" TargetMode="External"/><Relationship Id="rId303" Type="http://schemas.openxmlformats.org/officeDocument/2006/relationships/hyperlink" Target="https://techcombank.com/thong-tin/blog/cach-thanh-toan-the-tin-dung" TargetMode="External"/><Relationship Id="rId302" Type="http://schemas.openxmlformats.org/officeDocument/2006/relationships/hyperlink" Target="https://techcombank.com/thong-tin/blog/no-the-tin-dung-qua-han" TargetMode="External"/><Relationship Id="rId309" Type="http://schemas.openxmlformats.org/officeDocument/2006/relationships/hyperlink" Target="https://techcombank.com/thong-tin/blog/chung-chi-tien-gui-la-gi" TargetMode="External"/><Relationship Id="rId308" Type="http://schemas.openxmlformats.org/officeDocument/2006/relationships/hyperlink" Target="https://techcombank.com/thong-tin/blog/chung-chi-tien-gui-co-phai-la-trai-phieu-khong" TargetMode="External"/><Relationship Id="rId307" Type="http://schemas.openxmlformats.org/officeDocument/2006/relationships/hyperlink" Target="https://techcombank.com/thong-tin/blog/chung-chi-tien-gui-la-gi" TargetMode="External"/><Relationship Id="rId306" Type="http://schemas.openxmlformats.org/officeDocument/2006/relationships/hyperlink" Target="https://techcombank.com/thong-tin/blog/chung-chi-tien-gui-khac-gi-so-tiet-kiem" TargetMode="External"/><Relationship Id="rId301" Type="http://schemas.openxmlformats.org/officeDocument/2006/relationships/hyperlink" Target="https://techcombank.com/thong-tin/blog/cach-thanh-toan-the-tin-dung" TargetMode="External"/><Relationship Id="rId300" Type="http://schemas.openxmlformats.org/officeDocument/2006/relationships/hyperlink" Target="https://techcombank.com/thong-tin/blog/sao-ke-the-tin-dung-la-gi" TargetMode="External"/><Relationship Id="rId327" Type="http://schemas.openxmlformats.org/officeDocument/2006/relationships/hyperlink" Target="https://techcombank.com/thong-tin/blog/1-te-bang-bao-nhieu-tien-viet-nam" TargetMode="External"/><Relationship Id="rId326" Type="http://schemas.openxmlformats.org/officeDocument/2006/relationships/hyperlink" Target="https://techcombank.com/thong-tin/blog/1-van-te-bang-bao-nhieu-tien-viet" TargetMode="External"/><Relationship Id="rId325" Type="http://schemas.openxmlformats.org/officeDocument/2006/relationships/hyperlink" Target="https://techcombank.com/thong-tin/blog/1-te-bang-bao-nhieu-tien-viet-nam" TargetMode="External"/><Relationship Id="rId324" Type="http://schemas.openxmlformats.org/officeDocument/2006/relationships/hyperlink" Target="https://techcombank.com/thong-tin/blog/tien-trung-quoc" TargetMode="External"/><Relationship Id="rId329" Type="http://schemas.openxmlformats.org/officeDocument/2006/relationships/hyperlink" Target="https://techcombank.com/thong-tin/blog/1-te-bang-bao-nhieu-tien-viet-nam" TargetMode="External"/><Relationship Id="rId328" Type="http://schemas.openxmlformats.org/officeDocument/2006/relationships/hyperlink" Target="https://techcombank.com/thong-tin/blog/1000-te-bang-bao-nhieu-tien-viet" TargetMode="External"/><Relationship Id="rId323" Type="http://schemas.openxmlformats.org/officeDocument/2006/relationships/hyperlink" Target="https://techcombank.com/thong-tin/blog/1-te-bang-bao-nhieu-tien-viet-nam" TargetMode="External"/><Relationship Id="rId322" Type="http://schemas.openxmlformats.org/officeDocument/2006/relationships/hyperlink" Target="https://techcombank.com/thong-tin/blog/chuyen-nhuong-chung-chi-tien-gui" TargetMode="External"/><Relationship Id="rId321" Type="http://schemas.openxmlformats.org/officeDocument/2006/relationships/hyperlink" Target="https://techcombank.com/thong-tin/blog/lai-suat-chung-chi-tien-gui-cac-ngan-hang" TargetMode="External"/><Relationship Id="rId320" Type="http://schemas.openxmlformats.org/officeDocument/2006/relationships/hyperlink" Target="https://techcombank.com/thong-tin/blog/chung-chi-tien-gui-co-duoc-rut-truoc-han" TargetMode="External"/><Relationship Id="rId316" Type="http://schemas.openxmlformats.org/officeDocument/2006/relationships/hyperlink" Target="https://techcombank.com/thong-tin/blog/cach-tinh-loi-nhuan-chung-chi-tien-gui" TargetMode="External"/><Relationship Id="rId315" Type="http://schemas.openxmlformats.org/officeDocument/2006/relationships/hyperlink" Target="https://techcombank.com/thong-tin/blog/lai-suat-chung-chi-tien-gui-cac-ngan-hang" TargetMode="External"/><Relationship Id="rId314" Type="http://schemas.openxmlformats.org/officeDocument/2006/relationships/hyperlink" Target="https://techcombank.com/thong-tin/blog/tien-nhan-roi-nen-lam-gi" TargetMode="External"/><Relationship Id="rId313" Type="http://schemas.openxmlformats.org/officeDocument/2006/relationships/hyperlink" Target="https://techcombank.com/thong-tin/blog/chung-chi-tien-gui-la-gi" TargetMode="External"/><Relationship Id="rId319" Type="http://schemas.openxmlformats.org/officeDocument/2006/relationships/hyperlink" Target="https://techcombank.com/thong-tin/blog/lai-suat-chung-chi-tien-gui-cac-ngan-hang" TargetMode="External"/><Relationship Id="rId318" Type="http://schemas.openxmlformats.org/officeDocument/2006/relationships/hyperlink" Target="https://techcombank.com/thong-tin/blog/tat-toan-chung-chi-tien-gui" TargetMode="External"/><Relationship Id="rId317" Type="http://schemas.openxmlformats.org/officeDocument/2006/relationships/hyperlink" Target="https://techcombank.com/thong-tin/blog/lai-suat-chung-chi-tien-gui-cac-ngan-hang" TargetMode="External"/><Relationship Id="rId312" Type="http://schemas.openxmlformats.org/officeDocument/2006/relationships/hyperlink" Target="https://techcombank.com/thong-tin/blog/chung-chi-tien-gui-co-an-toan-khong" TargetMode="External"/><Relationship Id="rId311" Type="http://schemas.openxmlformats.org/officeDocument/2006/relationships/hyperlink" Target="https://techcombank.com/thong-tin/blog/chung-chi-tien-gui-la-gi" TargetMode="External"/><Relationship Id="rId310" Type="http://schemas.openxmlformats.org/officeDocument/2006/relationships/hyperlink" Target="https://techcombank.com/thong-tin/blog/co-nen-gui-chung-chi-tien-gui" TargetMode="External"/><Relationship Id="rId297" Type="http://schemas.openxmlformats.org/officeDocument/2006/relationships/hyperlink" Target="https://techcombank.com/thong-tin/blog/cach-thanh-toan-the-tin-dung" TargetMode="External"/><Relationship Id="rId296" Type="http://schemas.openxmlformats.org/officeDocument/2006/relationships/hyperlink" Target="https://techcombank.com/thong-tin/blog/thanh-toan-toi-thieu-the-tin-dung" TargetMode="External"/><Relationship Id="rId295" Type="http://schemas.openxmlformats.org/officeDocument/2006/relationships/hyperlink" Target="https://techcombank.com/thong-tin/blog/cach-thanh-toan-the-tin-dung" TargetMode="External"/><Relationship Id="rId294" Type="http://schemas.openxmlformats.org/officeDocument/2006/relationships/hyperlink" Target="https://techcombank.com/thong-tin/blog/no-xau-co-vay-the-chap-duoc-khong" TargetMode="External"/><Relationship Id="rId299" Type="http://schemas.openxmlformats.org/officeDocument/2006/relationships/hyperlink" Target="https://techcombank.com/thong-tin/blog/cach-thanh-toan-the-tin-dung" TargetMode="External"/><Relationship Id="rId298" Type="http://schemas.openxmlformats.org/officeDocument/2006/relationships/hyperlink" Target="https://techcombank.com/thong-tin/blog/qua-han-thanh-toan-the-tin-dung-1-ngay" TargetMode="External"/><Relationship Id="rId271" Type="http://schemas.openxmlformats.org/officeDocument/2006/relationships/hyperlink" Target="https://techcombank.com/thong-tin/blog/the-tin-dung-hoan-tien" TargetMode="External"/><Relationship Id="rId270" Type="http://schemas.openxmlformats.org/officeDocument/2006/relationships/hyperlink" Target="https://techcombank.com/thong-tin/blog/thanh-toan-tien-dien-bang-the-tin-dung" TargetMode="External"/><Relationship Id="rId269" Type="http://schemas.openxmlformats.org/officeDocument/2006/relationships/hyperlink" Target="https://techcombank.com/thong-tin/blog/the-tin-dung-hoan-tien" TargetMode="External"/><Relationship Id="rId264" Type="http://schemas.openxmlformats.org/officeDocument/2006/relationships/hyperlink" Target="https://techcombank.com/thong-tin/blog/uu-dai-the-tin-dung" TargetMode="External"/><Relationship Id="rId263" Type="http://schemas.openxmlformats.org/officeDocument/2006/relationships/hyperlink" Target="https://techcombank.com/khach-hang-ca-nhan/chi-tieu/the/the-tin-dung/techcombank-everyday" TargetMode="External"/><Relationship Id="rId262" Type="http://schemas.openxmlformats.org/officeDocument/2006/relationships/hyperlink" Target="https://techcombank.com/thong-tin/blog/thoi-gian-hoan-tien-the-tin-dung" TargetMode="External"/><Relationship Id="rId261" Type="http://schemas.openxmlformats.org/officeDocument/2006/relationships/hyperlink" Target="https://techcombank.com/khach-hang-ca-nhan/chi-tieu/the/the-tin-dung/techcombank-everyday" TargetMode="External"/><Relationship Id="rId268" Type="http://schemas.openxmlformats.org/officeDocument/2006/relationships/hyperlink" Target="https://techcombank.com/thong-tin/blog/mo-the-tin-dung-co-loi-ich-gi" TargetMode="External"/><Relationship Id="rId267" Type="http://schemas.openxmlformats.org/officeDocument/2006/relationships/hyperlink" Target="https://techcombank.com/khach-hang-ca-nhan/chi-tieu/the/the-tin-dung/techcombank-everyday" TargetMode="External"/><Relationship Id="rId266" Type="http://schemas.openxmlformats.org/officeDocument/2006/relationships/hyperlink" Target="https://techcombank.com/thong-tin/blog/cac-loai-the-tin-dung" TargetMode="External"/><Relationship Id="rId265" Type="http://schemas.openxmlformats.org/officeDocument/2006/relationships/hyperlink" Target="https://techcombank.com/khach-hang-ca-nhan/chi-tieu/the/the-tin-dung/techcombank-everyday" TargetMode="External"/><Relationship Id="rId260" Type="http://schemas.openxmlformats.org/officeDocument/2006/relationships/hyperlink" Target="https://techcombank.com/thong-tin/blog/the-tin-dung-nao-nhieu-uu-dai-nhat" TargetMode="External"/><Relationship Id="rId259" Type="http://schemas.openxmlformats.org/officeDocument/2006/relationships/hyperlink" Target="https://techcombank.com/khach-hang-ca-nhan/chi-tieu/the/the-tin-dung/techcombank-everyday" TargetMode="External"/><Relationship Id="rId258" Type="http://schemas.openxmlformats.org/officeDocument/2006/relationships/hyperlink" Target="https://techcombank.com/thong-tin/blog/co-nen-dung-the-tin-dung-khong" TargetMode="External"/><Relationship Id="rId253" Type="http://schemas.openxmlformats.org/officeDocument/2006/relationships/hyperlink" Target="https://techcombank.com/thong-tin/blog/lam-the-tin-dung" TargetMode="External"/><Relationship Id="rId252" Type="http://schemas.openxmlformats.org/officeDocument/2006/relationships/hyperlink" Target="https://techcombank.com/thong-tin/blog/mo-the-tin-dung-chi-can-cccd" TargetMode="External"/><Relationship Id="rId251" Type="http://schemas.openxmlformats.org/officeDocument/2006/relationships/hyperlink" Target="https://techcombank.com/thong-tin/blog/lam-the-tin-dung" TargetMode="External"/><Relationship Id="rId250" Type="http://schemas.openxmlformats.org/officeDocument/2006/relationships/hyperlink" Target="https://techcombank.com/thong-tin/blog/the-tin-dung-la-gi" TargetMode="External"/><Relationship Id="rId257" Type="http://schemas.openxmlformats.org/officeDocument/2006/relationships/hyperlink" Target="https://techcombank.com/thong-tin/blog/lam-the-tin-dung" TargetMode="External"/><Relationship Id="rId256" Type="http://schemas.openxmlformats.org/officeDocument/2006/relationships/hyperlink" Target="https://techcombank.com/thong-tin/blog/mo-the-tin-dung-khong-can-chung-minh-thu-nhap" TargetMode="External"/><Relationship Id="rId255" Type="http://schemas.openxmlformats.org/officeDocument/2006/relationships/hyperlink" Target="https://techcombank.com/thong-tin/blog/lam-the-tin-dung" TargetMode="External"/><Relationship Id="rId254" Type="http://schemas.openxmlformats.org/officeDocument/2006/relationships/hyperlink" Target="https://techcombank.com/thong-tin/blog/lam-the-tin-dung-co-mat-phi-khong" TargetMode="External"/><Relationship Id="rId293" Type="http://schemas.openxmlformats.org/officeDocument/2006/relationships/hyperlink" Target="https://techcombank.com/thong-tin/blog/xep-hang-tin-dung" TargetMode="External"/><Relationship Id="rId292" Type="http://schemas.openxmlformats.org/officeDocument/2006/relationships/hyperlink" Target="https://techcombank.com/thong-tin/blog/dieu-kien-vay-von-ngan-hang" TargetMode="External"/><Relationship Id="rId291" Type="http://schemas.openxmlformats.org/officeDocument/2006/relationships/hyperlink" Target="https://techcombank.com/thong-tin/blog/xep-hang-tin-dung" TargetMode="External"/><Relationship Id="rId290" Type="http://schemas.openxmlformats.org/officeDocument/2006/relationships/hyperlink" Target="https://techcombank.com/thong-tin/blog/lich-su-tin-dung" TargetMode="External"/><Relationship Id="rId286" Type="http://schemas.openxmlformats.org/officeDocument/2006/relationships/hyperlink" Target="https://techcombank.com/thong-tin/blog/the-tin-dung-bi-khoa" TargetMode="External"/><Relationship Id="rId285" Type="http://schemas.openxmlformats.org/officeDocument/2006/relationships/hyperlink" Target="https://techcombank.com/thong-tin/blog/cach-huy-the-tin-dung" TargetMode="External"/><Relationship Id="rId284" Type="http://schemas.openxmlformats.org/officeDocument/2006/relationships/hyperlink" Target="https://techcombank.com/thong-tin/blog/cach-khoa-the-ngan-hang" TargetMode="External"/><Relationship Id="rId283" Type="http://schemas.openxmlformats.org/officeDocument/2006/relationships/hyperlink" Target="https://techcombank.com/thong-tin/blog/cach-huy-the-tin-dung" TargetMode="External"/><Relationship Id="rId289" Type="http://schemas.openxmlformats.org/officeDocument/2006/relationships/hyperlink" Target="https://techcombank.com/thong-tin/blog/xep-hang-tin-dung" TargetMode="External"/><Relationship Id="rId288" Type="http://schemas.openxmlformats.org/officeDocument/2006/relationships/hyperlink" Target="https://techcombank.com/thong-tin/blog/the-tin-dung-het-han" TargetMode="External"/><Relationship Id="rId287" Type="http://schemas.openxmlformats.org/officeDocument/2006/relationships/hyperlink" Target="https://techcombank.com/thong-tin/blog/cach-huy-the-tin-dung" TargetMode="External"/><Relationship Id="rId282" Type="http://schemas.openxmlformats.org/officeDocument/2006/relationships/hyperlink" Target="https://techcombank.com/thong-tin/blog/khong-su-dung-the-tin-dung-co-mat-phi-khong" TargetMode="External"/><Relationship Id="rId281" Type="http://schemas.openxmlformats.org/officeDocument/2006/relationships/hyperlink" Target="https://techcombank.com/thong-tin/blog/cach-huy-the-tin-dung" TargetMode="External"/><Relationship Id="rId280" Type="http://schemas.openxmlformats.org/officeDocument/2006/relationships/hyperlink" Target="https://techcombank.com/thong-tin/blog/phi-thuong-nien-la-gi" TargetMode="External"/><Relationship Id="rId275" Type="http://schemas.openxmlformats.org/officeDocument/2006/relationships/hyperlink" Target="https://techcombank.com/thong-tin/blog/the-tin-dung-hoan-tien" TargetMode="External"/><Relationship Id="rId274" Type="http://schemas.openxmlformats.org/officeDocument/2006/relationships/hyperlink" Target="https://techcombank.com/thong-tin/blog/uu-dai-mo-the-tin-dung" TargetMode="External"/><Relationship Id="rId273" Type="http://schemas.openxmlformats.org/officeDocument/2006/relationships/hyperlink" Target="https://techcombank.com/thong-tin/blog/the-tin-dung-hoan-tien" TargetMode="External"/><Relationship Id="rId272" Type="http://schemas.openxmlformats.org/officeDocument/2006/relationships/hyperlink" Target="https://techcombank.com/thong-tin/blog/cashback-the-thanh-toan" TargetMode="External"/><Relationship Id="rId279" Type="http://schemas.openxmlformats.org/officeDocument/2006/relationships/hyperlink" Target="https://techcombank.com/thong-tin/blog/cach-huy-the-tin-dung" TargetMode="External"/><Relationship Id="rId278" Type="http://schemas.openxmlformats.org/officeDocument/2006/relationships/hyperlink" Target="https://techcombank.com/thong-tin/blog/cach-su-dung-the-tin-dung" TargetMode="External"/><Relationship Id="rId277" Type="http://schemas.openxmlformats.org/officeDocument/2006/relationships/hyperlink" Target="https://techcombank.com/thong-tin/blog/the-tin-dung-hoan-tien" TargetMode="External"/><Relationship Id="rId276" Type="http://schemas.openxmlformats.org/officeDocument/2006/relationships/hyperlink" Target="https://techcombank.com/thong-tin/blog/the-tin-dung-mien-phi-thuong-nien" TargetMode="External"/><Relationship Id="rId629" Type="http://schemas.openxmlformats.org/officeDocument/2006/relationships/hyperlink" Target="https://techcombank.com/thong-tin/blog/kiem-tra-no-xau" TargetMode="External"/><Relationship Id="rId624" Type="http://schemas.openxmlformats.org/officeDocument/2006/relationships/hyperlink" Target="https://techcombank.com/thong-tin/blog/thoi-han-vay-thau-chi" TargetMode="External"/><Relationship Id="rId623" Type="http://schemas.openxmlformats.org/officeDocument/2006/relationships/hyperlink" Target="https://techcombank.com/thong-tin/blog/vay-thau-chi-la-gi" TargetMode="External"/><Relationship Id="rId622" Type="http://schemas.openxmlformats.org/officeDocument/2006/relationships/hyperlink" Target="https://techcombank.com/thong-tin/blog/lai-suat-vay-thau-chi" TargetMode="External"/><Relationship Id="rId621" Type="http://schemas.openxmlformats.org/officeDocument/2006/relationships/hyperlink" Target="https://techcombank.com/thong-tin/blog/vay-thau-chi-la-gi" TargetMode="External"/><Relationship Id="rId628" Type="http://schemas.openxmlformats.org/officeDocument/2006/relationships/hyperlink" Target="https://techcombank.com/thong-tin/blog/vay-han-muc-la-gi" TargetMode="External"/><Relationship Id="rId627" Type="http://schemas.openxmlformats.org/officeDocument/2006/relationships/hyperlink" Target="https://techcombank.com/thong-tin/blog/vay-thau-chi-la-gi" TargetMode="External"/><Relationship Id="rId626" Type="http://schemas.openxmlformats.org/officeDocument/2006/relationships/hyperlink" Target="https://techcombank.com/thong-tin/blog/tra-no-vay-thau-chi-nhu-the-nao" TargetMode="External"/><Relationship Id="rId625" Type="http://schemas.openxmlformats.org/officeDocument/2006/relationships/hyperlink" Target="https://techcombank.com/thong-tin/blog/vay-thau-chi-la-gi" TargetMode="External"/><Relationship Id="rId620" Type="http://schemas.openxmlformats.org/officeDocument/2006/relationships/hyperlink" Target="https://techcombank.com/thong-tin/blog/han-muc-thau-chi-la-gi" TargetMode="External"/><Relationship Id="rId619" Type="http://schemas.openxmlformats.org/officeDocument/2006/relationships/hyperlink" Target="https://techcombank.com/thong-tin/blog/vay-thau-chi-la-gi" TargetMode="External"/><Relationship Id="rId618" Type="http://schemas.openxmlformats.org/officeDocument/2006/relationships/hyperlink" Target="https://techcombank.com/thong-tin/blog/lai-suat-qua-han" TargetMode="External"/><Relationship Id="rId613" Type="http://schemas.openxmlformats.org/officeDocument/2006/relationships/hyperlink" Target="https://techcombank.com/thong-tin/blog/lai-suat-vay-ngan-hang" TargetMode="External"/><Relationship Id="rId612" Type="http://schemas.openxmlformats.org/officeDocument/2006/relationships/hyperlink" Target="https://techcombank.com/thong-tin/blog/lai-suat-vay-tieu-dung" TargetMode="External"/><Relationship Id="rId611" Type="http://schemas.openxmlformats.org/officeDocument/2006/relationships/hyperlink" Target="https://techcombank.com/thong-tin/blog/lai-suat-vay-ngan-hang" TargetMode="External"/><Relationship Id="rId610" Type="http://schemas.openxmlformats.org/officeDocument/2006/relationships/hyperlink" Target="https://techcombank.com/thong-tin/blog/lai-suat-la-gi" TargetMode="External"/><Relationship Id="rId617" Type="http://schemas.openxmlformats.org/officeDocument/2006/relationships/hyperlink" Target="https://techcombank.com/thong-tin/blog/lai-suat-vay-ngan-hang" TargetMode="External"/><Relationship Id="rId616" Type="http://schemas.openxmlformats.org/officeDocument/2006/relationships/hyperlink" Target="https://techcombank.com/thong-tin/blog/dieu-kien-vay-von-ngan-hang" TargetMode="External"/><Relationship Id="rId615" Type="http://schemas.openxmlformats.org/officeDocument/2006/relationships/hyperlink" Target="https://techcombank.com/thong-tin/blog/lai-suat-vay-ngan-hang" TargetMode="External"/><Relationship Id="rId614" Type="http://schemas.openxmlformats.org/officeDocument/2006/relationships/hyperlink" Target="https://techcombank.com/thong-tin/blog/lai-suat-vay-tin-chap" TargetMode="External"/><Relationship Id="rId646" Type="http://schemas.openxmlformats.org/officeDocument/2006/relationships/hyperlink" Target="https://techcombank.com/thong-tin/blog/vay-tin-chap-va-vay-the-chap" TargetMode="External"/><Relationship Id="rId645" Type="http://schemas.openxmlformats.org/officeDocument/2006/relationships/hyperlink" Target="https://techcombank.com/thong-tin/blog/nen-vay-tin-chap-o-dau" TargetMode="External"/><Relationship Id="rId644" Type="http://schemas.openxmlformats.org/officeDocument/2006/relationships/hyperlink" Target="https://techcombank.com/thong-tin/blog/vay-tin-chap-toi-da-duoc-bao-nhieu" TargetMode="External"/><Relationship Id="rId643" Type="http://schemas.openxmlformats.org/officeDocument/2006/relationships/hyperlink" Target="https://techcombank.com/thong-tin/blog/nen-vay-tin-chap-o-dau" TargetMode="External"/><Relationship Id="rId649" Type="http://schemas.openxmlformats.org/officeDocument/2006/relationships/hyperlink" Target="https://techcombank.com/thong-tin/blog/no-xau-la-gi" TargetMode="External"/><Relationship Id="rId648" Type="http://schemas.openxmlformats.org/officeDocument/2006/relationships/hyperlink" Target="https://techcombank.com/thong-tin/blog/lai-suat-vay-tin-chap" TargetMode="External"/><Relationship Id="rId647" Type="http://schemas.openxmlformats.org/officeDocument/2006/relationships/hyperlink" Target="https://techcombank.com/thong-tin/blog/nen-vay-tin-chap-o-dau" TargetMode="External"/><Relationship Id="rId642" Type="http://schemas.openxmlformats.org/officeDocument/2006/relationships/hyperlink" Target="https://techcombank.com/thong-tin/blog/ho-so-vay-tin-chap" TargetMode="External"/><Relationship Id="rId641" Type="http://schemas.openxmlformats.org/officeDocument/2006/relationships/hyperlink" Target="https://techcombank.com/thong-tin/blog/nen-vay-tin-chap-o-dau" TargetMode="External"/><Relationship Id="rId640" Type="http://schemas.openxmlformats.org/officeDocument/2006/relationships/hyperlink" Target="https://techcombank.com/thong-tin/blog/vay-tin-chap-la-gi" TargetMode="External"/><Relationship Id="rId635" Type="http://schemas.openxmlformats.org/officeDocument/2006/relationships/hyperlink" Target="https://techcombank.com/thong-tin/blog/kiem-tra-no-xau" TargetMode="External"/><Relationship Id="rId634" Type="http://schemas.openxmlformats.org/officeDocument/2006/relationships/hyperlink" Target="https://techcombank.com/thong-tin/blog/vay-tin-chap-no-xau" TargetMode="External"/><Relationship Id="rId633" Type="http://schemas.openxmlformats.org/officeDocument/2006/relationships/hyperlink" Target="https://techcombank.com/thong-tin/blog/kiem-tra-no-xau" TargetMode="External"/><Relationship Id="rId632" Type="http://schemas.openxmlformats.org/officeDocument/2006/relationships/hyperlink" Target="https://techcombank.com/thong-tin/blog/no-xau-mo-the-tin-dung-duoc-khong" TargetMode="External"/><Relationship Id="rId639" Type="http://schemas.openxmlformats.org/officeDocument/2006/relationships/hyperlink" Target="https://techcombank.com/thong-tin/blog/nen-vay-tin-chap-o-dau" TargetMode="External"/><Relationship Id="rId638" Type="http://schemas.openxmlformats.org/officeDocument/2006/relationships/hyperlink" Target="https://techcombank.com/thong-tin/blog/no-xau-nhom-2" TargetMode="External"/><Relationship Id="rId637" Type="http://schemas.openxmlformats.org/officeDocument/2006/relationships/hyperlink" Target="https://techcombank.com/thong-tin/blog/kiem-tra-no-xau" TargetMode="External"/><Relationship Id="rId636" Type="http://schemas.openxmlformats.org/officeDocument/2006/relationships/hyperlink" Target="https://techcombank.com/thong-tin/blog/no-xau-co-vay-the-chap-duoc-khong" TargetMode="External"/><Relationship Id="rId631" Type="http://schemas.openxmlformats.org/officeDocument/2006/relationships/hyperlink" Target="https://techcombank.com/thong-tin/blog/kiem-tra-no-xau" TargetMode="External"/><Relationship Id="rId630" Type="http://schemas.openxmlformats.org/officeDocument/2006/relationships/hyperlink" Target="https://techcombank.com/thong-tin/blog/no-xau-co-lam-the-visa-duoc-khong" TargetMode="External"/><Relationship Id="rId609" Type="http://schemas.openxmlformats.org/officeDocument/2006/relationships/hyperlink" Target="https://techcombank.com/thong-tin/blog/lai-suat-vay-ngan-hang" TargetMode="External"/><Relationship Id="rId608" Type="http://schemas.openxmlformats.org/officeDocument/2006/relationships/hyperlink" Target="https://techcombank.com/thong-tin/blog/vay-sieu-toc" TargetMode="External"/><Relationship Id="rId607" Type="http://schemas.openxmlformats.org/officeDocument/2006/relationships/hyperlink" Target="https://techcombank.com/thong-tin/blog/app-vay-tien-nhanh" TargetMode="External"/><Relationship Id="rId602" Type="http://schemas.openxmlformats.org/officeDocument/2006/relationships/hyperlink" Target="https://techcombank.com/thong-tin/blog/vay-ngan-hang-chi-can-cccd" TargetMode="External"/><Relationship Id="rId601" Type="http://schemas.openxmlformats.org/officeDocument/2006/relationships/hyperlink" Target="https://techcombank.com/thong-tin/blog/app-vay-tien-nhanh" TargetMode="External"/><Relationship Id="rId600" Type="http://schemas.openxmlformats.org/officeDocument/2006/relationships/hyperlink" Target="https://techcombank.com/thong-tin/blog/vay-tien-online" TargetMode="External"/><Relationship Id="rId606" Type="http://schemas.openxmlformats.org/officeDocument/2006/relationships/hyperlink" Target="https://techcombank.com/thong-tin/blog/vay-50-trieu" TargetMode="External"/><Relationship Id="rId605" Type="http://schemas.openxmlformats.org/officeDocument/2006/relationships/hyperlink" Target="https://techcombank.com/thong-tin/blog/app-vay-tien-nhanh" TargetMode="External"/><Relationship Id="rId604" Type="http://schemas.openxmlformats.org/officeDocument/2006/relationships/hyperlink" Target="https://techcombank.com/thong-tin/blog/vay-30-trieu" TargetMode="External"/><Relationship Id="rId603" Type="http://schemas.openxmlformats.org/officeDocument/2006/relationships/hyperlink" Target="https://techcombank.com/thong-tin/blog/app-vay-tien-nhanh" TargetMode="External"/><Relationship Id="rId228" Type="http://schemas.openxmlformats.org/officeDocument/2006/relationships/hyperlink" Target="https://techcombank.com/thong-tin/blog/the-ghi-no-visa-la-gi" TargetMode="External"/><Relationship Id="rId227" Type="http://schemas.openxmlformats.org/officeDocument/2006/relationships/hyperlink" Target="https://techcombank.com/thong-tin/blog/eco-card" TargetMode="External"/><Relationship Id="rId226" Type="http://schemas.openxmlformats.org/officeDocument/2006/relationships/hyperlink" Target="https://techcombank.com/thong-tin/blog/xu-huong-song-xanh" TargetMode="External"/><Relationship Id="rId225" Type="http://schemas.openxmlformats.org/officeDocument/2006/relationships/hyperlink" Target="https://techcombank.com/thong-tin/blog/eco-card" TargetMode="External"/><Relationship Id="rId229" Type="http://schemas.openxmlformats.org/officeDocument/2006/relationships/hyperlink" Target="https://techcombank.com/thong-tin/blog/cic-la-gi" TargetMode="External"/><Relationship Id="rId220" Type="http://schemas.openxmlformats.org/officeDocument/2006/relationships/hyperlink" Target="https://techcombank.com/thong-tin/blog/mo-tai-khoan-ngan-hang-bang-so-dien-thoai" TargetMode="External"/><Relationship Id="rId224" Type="http://schemas.openxmlformats.org/officeDocument/2006/relationships/hyperlink" Target="https://techcombank.com/thong-tin/blog/san-pham-xanh" TargetMode="External"/><Relationship Id="rId223" Type="http://schemas.openxmlformats.org/officeDocument/2006/relationships/hyperlink" Target="https://techcombank.com/thong-tin/blog/eco-card" TargetMode="External"/><Relationship Id="rId222" Type="http://schemas.openxmlformats.org/officeDocument/2006/relationships/hyperlink" Target="https://techcombank.com/thong-tin/blog/dau-chan-carbon" TargetMode="External"/><Relationship Id="rId221" Type="http://schemas.openxmlformats.org/officeDocument/2006/relationships/hyperlink" Target="https://techcombank.com/thong-tin/blog/eco-card" TargetMode="External"/><Relationship Id="rId217" Type="http://schemas.openxmlformats.org/officeDocument/2006/relationships/hyperlink" Target="https://techcombank.com/thong-tin/blog/cach-quet-nfc-cccd-tren-iphone" TargetMode="External"/><Relationship Id="rId216" Type="http://schemas.openxmlformats.org/officeDocument/2006/relationships/hyperlink" Target="https://techcombank.com/thong-tin/blog/ekyc-la-gi" TargetMode="External"/><Relationship Id="rId215" Type="http://schemas.openxmlformats.org/officeDocument/2006/relationships/hyperlink" Target="https://techcombank.com/thong-tin/blog/cach-quet-nfc-cccd-tren-iphone" TargetMode="External"/><Relationship Id="rId214" Type="http://schemas.openxmlformats.org/officeDocument/2006/relationships/hyperlink" Target="https://techcombank.com/thong-tin/blog/cach-lien-ket-tai-khoan-ngan-hang-voi-vneid" TargetMode="External"/><Relationship Id="rId219" Type="http://schemas.openxmlformats.org/officeDocument/2006/relationships/hyperlink" Target="https://techcombank.com/thong-tin/blog/cach-quet-nfc-cccd-tren-iphone" TargetMode="External"/><Relationship Id="rId218" Type="http://schemas.openxmlformats.org/officeDocument/2006/relationships/hyperlink" Target="https://techcombank.com/thong-tin/blog/cach-dang-ky-dinh-danh-muc-2" TargetMode="External"/><Relationship Id="rId213" Type="http://schemas.openxmlformats.org/officeDocument/2006/relationships/hyperlink" Target="https://techcombank.com/thong-tin/blog/cach-quet-nfc-cccd-tren-iphone" TargetMode="External"/><Relationship Id="rId212" Type="http://schemas.openxmlformats.org/officeDocument/2006/relationships/hyperlink" Target="https://techcombank.com/thong-tin/blog/xac-thuc-sinh-trac-hoc-khi-chuyen-tien" TargetMode="External"/><Relationship Id="rId211" Type="http://schemas.openxmlformats.org/officeDocument/2006/relationships/hyperlink" Target="https://techcombank.com/thong-tin/blog/cach-quet-nfc-cccd-tren-iphone" TargetMode="External"/><Relationship Id="rId210" Type="http://schemas.openxmlformats.org/officeDocument/2006/relationships/hyperlink" Target="https://techcombank.com/thong-tin/blog/cay-atm-gan-day" TargetMode="External"/><Relationship Id="rId249" Type="http://schemas.openxmlformats.org/officeDocument/2006/relationships/hyperlink" Target="https://techcombank.com/thong-tin/blog/lam-the-tin-dung" TargetMode="External"/><Relationship Id="rId248" Type="http://schemas.openxmlformats.org/officeDocument/2006/relationships/hyperlink" Target="https://techcombank.com/thong-tin/blog/lai-suat-the-tin-dung" TargetMode="External"/><Relationship Id="rId247" Type="http://schemas.openxmlformats.org/officeDocument/2006/relationships/hyperlink" Target="https://techcombank.com/thong-tin/blog/rut-tien-mat-tu-the-tin-dung" TargetMode="External"/><Relationship Id="rId242" Type="http://schemas.openxmlformats.org/officeDocument/2006/relationships/hyperlink" Target="https://techcombank.com/thong-tin/blog/the-visa-co-rut-tien-duoc-khong" TargetMode="External"/><Relationship Id="rId241" Type="http://schemas.openxmlformats.org/officeDocument/2006/relationships/hyperlink" Target="https://techcombank.com/thong-tin/blog/rut-tien-mat-tu-the-tin-dung" TargetMode="External"/><Relationship Id="rId240" Type="http://schemas.openxmlformats.org/officeDocument/2006/relationships/hyperlink" Target="https://techcombank.com/thong-tin/blog/phi-rut-tien-mat-the-tin-dung" TargetMode="External"/><Relationship Id="rId246" Type="http://schemas.openxmlformats.org/officeDocument/2006/relationships/hyperlink" Target="https://techcombank.com/thong-tin/blog/han-muc-the-tin-dung" TargetMode="External"/><Relationship Id="rId245" Type="http://schemas.openxmlformats.org/officeDocument/2006/relationships/hyperlink" Target="https://techcombank.com/thong-tin/blog/rut-tien-mat-tu-the-tin-dung" TargetMode="External"/><Relationship Id="rId244" Type="http://schemas.openxmlformats.org/officeDocument/2006/relationships/hyperlink" Target="https://techcombank.com/thong-tin/blog/the-tin-dung-co-chuyen-khoan-duoc-khong" TargetMode="External"/><Relationship Id="rId243" Type="http://schemas.openxmlformats.org/officeDocument/2006/relationships/hyperlink" Target="https://techcombank.com/thong-tin/blog/rut-tien-mat-tu-the-tin-dung" TargetMode="External"/><Relationship Id="rId239" Type="http://schemas.openxmlformats.org/officeDocument/2006/relationships/hyperlink" Target="https://techcombank.com/thong-tin/blog/rut-tien-mat-tu-the-tin-dung" TargetMode="External"/><Relationship Id="rId238" Type="http://schemas.openxmlformats.org/officeDocument/2006/relationships/hyperlink" Target="https://techcombank.com/thong-tin/blog/no-xau-nhom-2" TargetMode="External"/><Relationship Id="rId237" Type="http://schemas.openxmlformats.org/officeDocument/2006/relationships/hyperlink" Target="https://techcombank.com/thong-tin/blog/cic-la-gi" TargetMode="External"/><Relationship Id="rId236" Type="http://schemas.openxmlformats.org/officeDocument/2006/relationships/hyperlink" Target="https://techcombank.com/thong-tin/blog/no-chu-y-la-gi" TargetMode="External"/><Relationship Id="rId231" Type="http://schemas.openxmlformats.org/officeDocument/2006/relationships/hyperlink" Target="https://techcombank.com/thong-tin/blog/cic-la-gi" TargetMode="External"/><Relationship Id="rId230" Type="http://schemas.openxmlformats.org/officeDocument/2006/relationships/hyperlink" Target="https://techcombank.com/thong-tin/blog/diem-tin-dung" TargetMode="External"/><Relationship Id="rId235" Type="http://schemas.openxmlformats.org/officeDocument/2006/relationships/hyperlink" Target="https://techcombank.com/thong-tin/blog/cic-la-gi" TargetMode="External"/><Relationship Id="rId234" Type="http://schemas.openxmlformats.org/officeDocument/2006/relationships/hyperlink" Target="https://techcombank.com/thong-tin/blog/no-nhom-3" TargetMode="External"/><Relationship Id="rId233" Type="http://schemas.openxmlformats.org/officeDocument/2006/relationships/hyperlink" Target="https://techcombank.com/thong-tin/blog/cic-la-gi" TargetMode="External"/><Relationship Id="rId232" Type="http://schemas.openxmlformats.org/officeDocument/2006/relationships/hyperlink" Target="https://techcombank.com/thong-tin/blog/lich-su-tin-dung" TargetMode="External"/><Relationship Id="rId668" Type="http://schemas.openxmlformats.org/officeDocument/2006/relationships/hyperlink" Target="https://techcombank.com/thong-tin/blog/mua-chung-chi-quy" TargetMode="External"/><Relationship Id="rId667" Type="http://schemas.openxmlformats.org/officeDocument/2006/relationships/hyperlink" Target="https://techcombank.com/thong-tin/blog/phuong-phap-dau-tu-chung-chi-quy" TargetMode="External"/><Relationship Id="rId666" Type="http://schemas.openxmlformats.org/officeDocument/2006/relationships/hyperlink" Target="https://techcombank.com/thong-tin/blog/chung-chi-quy" TargetMode="External"/><Relationship Id="rId665" Type="http://schemas.openxmlformats.org/officeDocument/2006/relationships/hyperlink" Target="https://techcombank.com/thong-tin/blog/phuong-phap-dau-tu-chung-chi-quy" TargetMode="External"/><Relationship Id="rId669" Type="http://schemas.openxmlformats.org/officeDocument/2006/relationships/hyperlink" Target="https://techcombank.com/thong-tin/blog/phuong-phap-dau-tu-chung-chi-quy" TargetMode="External"/><Relationship Id="rId660" Type="http://schemas.openxmlformats.org/officeDocument/2006/relationships/hyperlink" Target="https://techcombank.com/thong-tin/blog/lai-suat-qua-han" TargetMode="External"/><Relationship Id="rId664" Type="http://schemas.openxmlformats.org/officeDocument/2006/relationships/hyperlink" Target="https://techcombank.com/thong-tin/blog/vay-tin-chap-la-gi" TargetMode="External"/><Relationship Id="rId663" Type="http://schemas.openxmlformats.org/officeDocument/2006/relationships/hyperlink" Target="https://techcombank.com/thong-tin/blog/vay-tin-chap-khong-tra-duoc-co-sao-khong" TargetMode="External"/><Relationship Id="rId662" Type="http://schemas.openxmlformats.org/officeDocument/2006/relationships/hyperlink" Target="https://techcombank.com/thong-tin/blog/no-the-tin-dung-qua-han" TargetMode="External"/><Relationship Id="rId661" Type="http://schemas.openxmlformats.org/officeDocument/2006/relationships/hyperlink" Target="https://techcombank.com/thong-tin/blog/vay-tin-chap-khong-tra-duoc-co-sao-khong" TargetMode="External"/><Relationship Id="rId657" Type="http://schemas.openxmlformats.org/officeDocument/2006/relationships/hyperlink" Target="https://techcombank.com/thong-tin/blog/vay-tin-chap-khong-tra-duoc-co-sao-khong" TargetMode="External"/><Relationship Id="rId656" Type="http://schemas.openxmlformats.org/officeDocument/2006/relationships/hyperlink" Target="https://techcombank.com/thong-tin/blog/no-the-tin-dung-qua-han" TargetMode="External"/><Relationship Id="rId655" Type="http://schemas.openxmlformats.org/officeDocument/2006/relationships/hyperlink" Target="https://techcombank.com/thong-tin/blog/no-xau-la-gi" TargetMode="External"/><Relationship Id="rId654" Type="http://schemas.openxmlformats.org/officeDocument/2006/relationships/hyperlink" Target="https://techcombank.com/thong-tin/blog/du-no-tin-dung-la-gi" TargetMode="External"/><Relationship Id="rId659" Type="http://schemas.openxmlformats.org/officeDocument/2006/relationships/hyperlink" Target="https://techcombank.com/thong-tin/blog/vay-tin-chap-khong-tra-duoc-co-sao-khong" TargetMode="External"/><Relationship Id="rId658" Type="http://schemas.openxmlformats.org/officeDocument/2006/relationships/hyperlink" Target="https://techcombank.com/thong-tin/blog/vay-the-chap-khong-tra-duoc" TargetMode="External"/><Relationship Id="rId653" Type="http://schemas.openxmlformats.org/officeDocument/2006/relationships/hyperlink" Target="https://techcombank.com/thong-tin/blog/no-xau-la-gi" TargetMode="External"/><Relationship Id="rId652" Type="http://schemas.openxmlformats.org/officeDocument/2006/relationships/hyperlink" Target="https://techcombank.com/thong-tin/blog/no-nhom-3" TargetMode="External"/><Relationship Id="rId651" Type="http://schemas.openxmlformats.org/officeDocument/2006/relationships/hyperlink" Target="https://techcombank.com/thong-tin/blog/no-xau-la-gi" TargetMode="External"/><Relationship Id="rId650" Type="http://schemas.openxmlformats.org/officeDocument/2006/relationships/hyperlink" Target="https://techcombank.com/thong-tin/blog/no-chu-y-la-gi" TargetMode="External"/><Relationship Id="rId206" Type="http://schemas.openxmlformats.org/officeDocument/2006/relationships/hyperlink" Target="https://techcombank.com/thong-tin/blog/the-atm-khong-rut-duoc-tien" TargetMode="External"/><Relationship Id="rId205" Type="http://schemas.openxmlformats.org/officeDocument/2006/relationships/hyperlink" Target="https://techcombank.com/thong-tin/blog/rut-tien-bang-ma-qr-la-gi-cach-thuc-hien-nhu-the-nao" TargetMode="External"/><Relationship Id="rId204" Type="http://schemas.openxmlformats.org/officeDocument/2006/relationships/hyperlink" Target="https://techcombank.com/thong-tin/blog/cach-rut-tien-atm" TargetMode="External"/><Relationship Id="rId203" Type="http://schemas.openxmlformats.org/officeDocument/2006/relationships/hyperlink" Target="https://techcombank.com/thong-tin/blog/rut-tien-bang-ma-qr-la-gi-cach-thuc-hien-nhu-the-nao" TargetMode="External"/><Relationship Id="rId209" Type="http://schemas.openxmlformats.org/officeDocument/2006/relationships/hyperlink" Target="https://techcombank.com/thong-tin/blog/rut-tien-bang-ma-qr-la-gi-cach-thuc-hien-nhu-the-nao" TargetMode="External"/><Relationship Id="rId208" Type="http://schemas.openxmlformats.org/officeDocument/2006/relationships/hyperlink" Target="https://techcombank.com/thong-tin/blog/bi-nuot-the-atm-phai-lam-sao" TargetMode="External"/><Relationship Id="rId207" Type="http://schemas.openxmlformats.org/officeDocument/2006/relationships/hyperlink" Target="https://techcombank.com/thong-tin/blog/rut-tien-bang-ma-qr-la-gi-cach-thuc-hien-nhu-the-nao" TargetMode="External"/><Relationship Id="rId202" Type="http://schemas.openxmlformats.org/officeDocument/2006/relationships/hyperlink" Target="https://techcombank.com/thong-tin/blog/rut-tien-bang-ma-qr-khac-ngan-hang-duoc-khong" TargetMode="External"/><Relationship Id="rId201" Type="http://schemas.openxmlformats.org/officeDocument/2006/relationships/hyperlink" Target="https://techcombank.com/thong-tin/blog/rut-tien-bang-ma-qr-la-gi-cach-thuc-hien-nhu-the-nao" TargetMode="External"/><Relationship Id="rId200" Type="http://schemas.openxmlformats.org/officeDocument/2006/relationships/hyperlink" Target="https://techcombank.com/thong-tin/blog/tra-cuu-no-thue-ca-nhan" TargetMode="External"/><Relationship Id="rId671" Type="http://schemas.openxmlformats.org/officeDocument/2006/relationships/hyperlink" Target="https://techcombank.com/thong-tin/blog/phuong-phap-dau-tu-chung-chi-quy" TargetMode="External"/><Relationship Id="rId670" Type="http://schemas.openxmlformats.org/officeDocument/2006/relationships/hyperlink" Target="https://techcombank.com/thong-tin/blog/dau-tu-quy-mo" TargetMode="External"/><Relationship Id="rId675" Type="http://schemas.openxmlformats.org/officeDocument/2006/relationships/drawing" Target="../drawings/drawing8.xml"/><Relationship Id="rId674" Type="http://schemas.openxmlformats.org/officeDocument/2006/relationships/hyperlink" Target="https://techcombank.com/thong-tin/blog/chung-chi-quy-va-co-phieu" TargetMode="External"/><Relationship Id="rId673" Type="http://schemas.openxmlformats.org/officeDocument/2006/relationships/hyperlink" Target="https://techcombank.com/thong-tin/blog/phuong-phap-dau-tu-chung-chi-quy" TargetMode="External"/><Relationship Id="rId672" Type="http://schemas.openxmlformats.org/officeDocument/2006/relationships/hyperlink" Target="https://techcombank.com/thong-tin/blog/app-theo-doi-chung-chi-quy" TargetMode="External"/><Relationship Id="rId190" Type="http://schemas.openxmlformats.org/officeDocument/2006/relationships/hyperlink" Target="https://techcombank.com/thong-tin/blog/internet-banking" TargetMode="External"/><Relationship Id="rId194" Type="http://schemas.openxmlformats.org/officeDocument/2006/relationships/hyperlink" Target="https://techcombank.com/thong-tin/blog/smart-otp-la-gi" TargetMode="External"/><Relationship Id="rId193" Type="http://schemas.openxmlformats.org/officeDocument/2006/relationships/hyperlink" Target="https://techcombank.com/thong-tin/blog/ten-dang-nhap-tai-khoan-ngan-hang-la-gi" TargetMode="External"/><Relationship Id="rId192" Type="http://schemas.openxmlformats.org/officeDocument/2006/relationships/hyperlink" Target="https://techcombank.com/thong-tin/blog/cach-bao-ve-tai-khoan" TargetMode="External"/><Relationship Id="rId191" Type="http://schemas.openxmlformats.org/officeDocument/2006/relationships/hyperlink" Target="https://techcombank.com/thong-tin/blog/ten-dang-nhap-tai-khoan-ngan-hang-la-gi" TargetMode="External"/><Relationship Id="rId187" Type="http://schemas.openxmlformats.org/officeDocument/2006/relationships/hyperlink" Target="https://techcombank.com/thong-tin/blog/ten-dang-nhap-tai-khoan-ngan-hang-la-gi" TargetMode="External"/><Relationship Id="rId186" Type="http://schemas.openxmlformats.org/officeDocument/2006/relationships/hyperlink" Target="https://techcombank.com/thong-tin/blog/quyet-toan-thue-thu-nhap-ca-nhan" TargetMode="External"/><Relationship Id="rId185" Type="http://schemas.openxmlformats.org/officeDocument/2006/relationships/hyperlink" Target="https://techcombank.com/thong-tin/blog/kiem-tra-thue-thu-nhap-ca-nhan" TargetMode="External"/><Relationship Id="rId184" Type="http://schemas.openxmlformats.org/officeDocument/2006/relationships/hyperlink" Target="https://techcombank.com/thong-tin/blog/hoan-thue-thu-nhap-ca-nhan" TargetMode="External"/><Relationship Id="rId189" Type="http://schemas.openxmlformats.org/officeDocument/2006/relationships/hyperlink" Target="https://techcombank.com/thong-tin/blog/ten-dang-nhap-tai-khoan-ngan-hang-la-gi" TargetMode="External"/><Relationship Id="rId188" Type="http://schemas.openxmlformats.org/officeDocument/2006/relationships/hyperlink" Target="https://techcombank.com/thong-tin/blog/cach-doi-mat-khau-tai-khoan-ngan-hang" TargetMode="External"/><Relationship Id="rId183" Type="http://schemas.openxmlformats.org/officeDocument/2006/relationships/hyperlink" Target="https://techcombank.com/thong-tin/blog/kiem-tra-thue-thu-nhap-ca-nhan" TargetMode="External"/><Relationship Id="rId182" Type="http://schemas.openxmlformats.org/officeDocument/2006/relationships/hyperlink" Target="https://techcombank.com/thong-tin/blog/lien-ket-tai-khoan-ngan-hang-voi-etax-mobile" TargetMode="External"/><Relationship Id="rId181" Type="http://schemas.openxmlformats.org/officeDocument/2006/relationships/hyperlink" Target="https://techcombank.com/thong-tin/blog/kiem-tra-thue-thu-nhap-ca-nhan" TargetMode="External"/><Relationship Id="rId180" Type="http://schemas.openxmlformats.org/officeDocument/2006/relationships/hyperlink" Target="https://techcombank.com/thong-tin/blog/dang-ky-ma-so-thue-ca-nhan" TargetMode="External"/><Relationship Id="rId176" Type="http://schemas.openxmlformats.org/officeDocument/2006/relationships/hyperlink" Target="https://techcombank.com/thong-tin/blog/li-xi-so-dep" TargetMode="External"/><Relationship Id="rId175" Type="http://schemas.openxmlformats.org/officeDocument/2006/relationships/hyperlink" Target="https://techcombank.com/thong-tin/blog/day-so-phat-tai-phat-loc" TargetMode="External"/><Relationship Id="rId174" Type="http://schemas.openxmlformats.org/officeDocument/2006/relationships/hyperlink" Target="https://techcombank.com/thong-tin/blog/cach-chon-so-tai-khoan-dep" TargetMode="External"/><Relationship Id="rId173" Type="http://schemas.openxmlformats.org/officeDocument/2006/relationships/hyperlink" Target="https://techcombank.com/thong-tin/blog/day-so-phat-tai-phat-loc" TargetMode="External"/><Relationship Id="rId179" Type="http://schemas.openxmlformats.org/officeDocument/2006/relationships/hyperlink" Target="https://techcombank.com/thong-tin/blog/kiem-tra-thue-thu-nhap-ca-nhan" TargetMode="External"/><Relationship Id="rId178" Type="http://schemas.openxmlformats.org/officeDocument/2006/relationships/hyperlink" Target="https://techcombank.com/thong-tin/blog/tra-cuu-no-thue-ca-nhan" TargetMode="External"/><Relationship Id="rId177" Type="http://schemas.openxmlformats.org/officeDocument/2006/relationships/hyperlink" Target="https://techcombank.com/thong-tin/blog/kiem-tra-thue-thu-nhap-ca-nhan" TargetMode="External"/><Relationship Id="rId198" Type="http://schemas.openxmlformats.org/officeDocument/2006/relationships/hyperlink" Target="https://techcombank.com/thong-tin/blog/tien-chuyen-vao-tai-khoan-co-bi-tinh-thue-khong" TargetMode="External"/><Relationship Id="rId197" Type="http://schemas.openxmlformats.org/officeDocument/2006/relationships/hyperlink" Target="https://techcombank.com/thong-tin/blog/thue-thu-nhap-ca-nhan" TargetMode="External"/><Relationship Id="rId196" Type="http://schemas.openxmlformats.org/officeDocument/2006/relationships/hyperlink" Target="https://techcombank.com/thong-tin/blog/mat-so-dien-thoai-dang-ky-tai-khoan-ngan-hang" TargetMode="External"/><Relationship Id="rId195" Type="http://schemas.openxmlformats.org/officeDocument/2006/relationships/hyperlink" Target="https://techcombank.com/thong-tin/blog/ten-dang-nhap-tai-khoan-ngan-hang-la-gi" TargetMode="External"/><Relationship Id="rId199" Type="http://schemas.openxmlformats.org/officeDocument/2006/relationships/hyperlink" Target="https://techcombank.com/thong-tin/blog/thue-thu-nhap-ca-nhan" TargetMode="External"/><Relationship Id="rId150" Type="http://schemas.openxmlformats.org/officeDocument/2006/relationships/hyperlink" Target="https://techcombank.com/thong-tin/blog/mo-tai-khoan-ngan-hang-bang-so-dien-thoai" TargetMode="External"/><Relationship Id="rId149" Type="http://schemas.openxmlformats.org/officeDocument/2006/relationships/hyperlink" Target="https://techcombank.com/thong-tin/blog/mo-tai-khoan-ngan-hang-duoi-18-tuoi" TargetMode="External"/><Relationship Id="rId148" Type="http://schemas.openxmlformats.org/officeDocument/2006/relationships/hyperlink" Target="https://techcombank.com/thong-tin/blog/mo-tai-khoan-tiet-kiem-cho-con" TargetMode="External"/><Relationship Id="rId143" Type="http://schemas.openxmlformats.org/officeDocument/2006/relationships/hyperlink" Target="https://techcombank.com/thong-tin/blog/bao-nhieu-tuoi-duoc-mo-tai-khoan-ngan-hang" TargetMode="External"/><Relationship Id="rId142" Type="http://schemas.openxmlformats.org/officeDocument/2006/relationships/hyperlink" Target="https://techcombank.com/thong-tin/blog/hoc-sinh-sinh-vien-nen-lam-the-ngan-hang-nao" TargetMode="External"/><Relationship Id="rId141" Type="http://schemas.openxmlformats.org/officeDocument/2006/relationships/hyperlink" Target="https://techcombank.com/thong-tin/blog/bao-nhieu-tuoi-duoc-mo-tai-khoan-ngan-hang" TargetMode="External"/><Relationship Id="rId140" Type="http://schemas.openxmlformats.org/officeDocument/2006/relationships/hyperlink" Target="https://techcombank.com/thong-tin/blog/mo-tai-khoan-ngan-hang-cho-tre-em" TargetMode="External"/><Relationship Id="rId147" Type="http://schemas.openxmlformats.org/officeDocument/2006/relationships/hyperlink" Target="https://techcombank.com/thong-tin/blog/mo-tai-khoan-ngan-hang-duoi-18-tuoi" TargetMode="External"/><Relationship Id="rId146" Type="http://schemas.openxmlformats.org/officeDocument/2006/relationships/hyperlink" Target="https://techcombank.com/thong-tin/blog/the-debit-cho-con" TargetMode="External"/><Relationship Id="rId145" Type="http://schemas.openxmlformats.org/officeDocument/2006/relationships/hyperlink" Target="https://techcombank.com/thong-tin/blog/mo-tai-khoan-ngan-hang-duoi-18-tuoi" TargetMode="External"/><Relationship Id="rId144" Type="http://schemas.openxmlformats.org/officeDocument/2006/relationships/hyperlink" Target="https://techcombank.com/thong-tin/blog/cach-lam-the-atm" TargetMode="External"/><Relationship Id="rId139" Type="http://schemas.openxmlformats.org/officeDocument/2006/relationships/hyperlink" Target="https://techcombank.com/thong-tin/blog/bao-nhieu-tuoi-duoc-mo-tai-khoan-ngan-hang" TargetMode="External"/><Relationship Id="rId138" Type="http://schemas.openxmlformats.org/officeDocument/2006/relationships/hyperlink" Target="https://techcombank.com/thong-tin/blog/ngan-hang-thu-huong-la-gi" TargetMode="External"/><Relationship Id="rId137" Type="http://schemas.openxmlformats.org/officeDocument/2006/relationships/hyperlink" Target="https://techcombank.com/thong-tin/blog/chuyen-khoan-thanh-cong-nhung-khong-nhan-duoc-tien" TargetMode="External"/><Relationship Id="rId132" Type="http://schemas.openxmlformats.org/officeDocument/2006/relationships/hyperlink" Target="https://techcombank.com/thong-tin/blog/chuyen-khoan-lien-ngan-hang" TargetMode="External"/><Relationship Id="rId131" Type="http://schemas.openxmlformats.org/officeDocument/2006/relationships/hyperlink" Target="https://techcombank.com/thong-tin/blog/chuyen-khoan-thanh-cong-nhung-khong-nhan-duoc-tien" TargetMode="External"/><Relationship Id="rId130" Type="http://schemas.openxmlformats.org/officeDocument/2006/relationships/hyperlink" Target="https://techcombank.com/thong-tin/blog/cach-chuyen-tien" TargetMode="External"/><Relationship Id="rId136" Type="http://schemas.openxmlformats.org/officeDocument/2006/relationships/hyperlink" Target="https://techcombank.com/thong-tin/blog/chuyen-nham-tien-co-lay-lai-duoc-khong" TargetMode="External"/><Relationship Id="rId135" Type="http://schemas.openxmlformats.org/officeDocument/2006/relationships/hyperlink" Target="https://techcombank.com/thong-tin/blog/chuyen-khoan-thanh-cong-nhung-khong-nhan-duoc-tien" TargetMode="External"/><Relationship Id="rId134" Type="http://schemas.openxmlformats.org/officeDocument/2006/relationships/hyperlink" Target="https://techcombank.com/thong-tin/blog/ma-giao-dich-la-gi" TargetMode="External"/><Relationship Id="rId133" Type="http://schemas.openxmlformats.org/officeDocument/2006/relationships/hyperlink" Target="https://techcombank.com/thong-tin/blog/chuyen-khoan-thanh-cong-nhung-khong-nhan-duoc-tien" TargetMode="External"/><Relationship Id="rId172" Type="http://schemas.openxmlformats.org/officeDocument/2006/relationships/hyperlink" Target="https://techcombank.com/thong-tin/blog/so-tai-khoan-dep" TargetMode="External"/><Relationship Id="rId171" Type="http://schemas.openxmlformats.org/officeDocument/2006/relationships/hyperlink" Target="https://techcombank.com/thong-tin/blog/day-so-phat-tai-phat-loc" TargetMode="External"/><Relationship Id="rId170" Type="http://schemas.openxmlformats.org/officeDocument/2006/relationships/hyperlink" Target="https://techcombank.com/thong-tin/blog/so-6868" TargetMode="External"/><Relationship Id="rId165" Type="http://schemas.openxmlformats.org/officeDocument/2006/relationships/hyperlink" Target="https://techcombank.com/thong-tin/blog/cach-sao-ke-tai-khoan-ngan-hang" TargetMode="External"/><Relationship Id="rId164" Type="http://schemas.openxmlformats.org/officeDocument/2006/relationships/hyperlink" Target="https://techcombank.com/thong-tin/blog/sao-ke-tai-khoan-doanh-nghiep" TargetMode="External"/><Relationship Id="rId163" Type="http://schemas.openxmlformats.org/officeDocument/2006/relationships/hyperlink" Target="https://techcombank.com/thong-tin/blog/cach-sao-ke-tai-khoan-ngan-hang" TargetMode="External"/><Relationship Id="rId162" Type="http://schemas.openxmlformats.org/officeDocument/2006/relationships/hyperlink" Target="https://techcombank.com/thong-tin/blog/sao-ke-luong" TargetMode="External"/><Relationship Id="rId169" Type="http://schemas.openxmlformats.org/officeDocument/2006/relationships/hyperlink" Target="https://techcombank.com/thong-tin/blog/day-so-phat-tai-phat-loc" TargetMode="External"/><Relationship Id="rId168" Type="http://schemas.openxmlformats.org/officeDocument/2006/relationships/hyperlink" Target="https://techcombank.com/thong-tin/blog/88-la-gi" TargetMode="External"/><Relationship Id="rId167" Type="http://schemas.openxmlformats.org/officeDocument/2006/relationships/hyperlink" Target="https://techcombank.com/thong-tin/blog/day-so-phat-tai-phat-loc" TargetMode="External"/><Relationship Id="rId166" Type="http://schemas.openxmlformats.org/officeDocument/2006/relationships/hyperlink" Target="https://techcombank.com/thong-tin/blog/vay-the-chap-qua-luong" TargetMode="External"/><Relationship Id="rId161" Type="http://schemas.openxmlformats.org/officeDocument/2006/relationships/hyperlink" Target="https://techcombank.com/thong-tin/blog/cach-sao-ke-tai-khoan-ngan-hang" TargetMode="External"/><Relationship Id="rId160" Type="http://schemas.openxmlformats.org/officeDocument/2006/relationships/hyperlink" Target="https://techcombank.com/thong-tin/blog/cay-atm-gan-day" TargetMode="External"/><Relationship Id="rId159" Type="http://schemas.openxmlformats.org/officeDocument/2006/relationships/hyperlink" Target="https://techcombank.com/thong-tin/blog/nap-tien-vao-tai-khoan-ngan-hang" TargetMode="External"/><Relationship Id="rId154" Type="http://schemas.openxmlformats.org/officeDocument/2006/relationships/hyperlink" Target="https://techcombank.com/thong-tin/blog/cach-nap-tien-vao-the-ghi-no" TargetMode="External"/><Relationship Id="rId153" Type="http://schemas.openxmlformats.org/officeDocument/2006/relationships/hyperlink" Target="https://techcombank.com/thong-tin/blog/nap-tien-vao-tai-khoan-ngan-hang" TargetMode="External"/><Relationship Id="rId152" Type="http://schemas.openxmlformats.org/officeDocument/2006/relationships/hyperlink" Target="https://techcombank.com/thong-tin/blog/cdm" TargetMode="External"/><Relationship Id="rId151" Type="http://schemas.openxmlformats.org/officeDocument/2006/relationships/hyperlink" Target="https://techcombank.com/thong-tin/blog/nap-tien-vao-tai-khoan-ngan-hang" TargetMode="External"/><Relationship Id="rId158" Type="http://schemas.openxmlformats.org/officeDocument/2006/relationships/hyperlink" Target="https://techcombank.com/thong-tin/blog/nop-tien-mat-vao-tai-khoan-cong-ty" TargetMode="External"/><Relationship Id="rId157" Type="http://schemas.openxmlformats.org/officeDocument/2006/relationships/hyperlink" Target="https://techcombank.com/thong-tin/blog/nap-tien-vao-tai-khoan-ngan-hang" TargetMode="External"/><Relationship Id="rId156" Type="http://schemas.openxmlformats.org/officeDocument/2006/relationships/hyperlink" Target="https://techcombank.com/thong-tin/blog/tai-khoan-ngan-hang-con-0-dong-co-sao-khong" TargetMode="External"/><Relationship Id="rId155" Type="http://schemas.openxmlformats.org/officeDocument/2006/relationships/hyperlink" Target="https://techcombank.com/thong-tin/blog/nap-tien-vao-tai-khoan-ngan-hang" TargetMode="External"/><Relationship Id="rId509" Type="http://schemas.openxmlformats.org/officeDocument/2006/relationships/hyperlink" Target="https://techcombank.com/thong-tin/blog/lai-suat-vay-the-chap-so-do" TargetMode="External"/><Relationship Id="rId508" Type="http://schemas.openxmlformats.org/officeDocument/2006/relationships/hyperlink" Target="https://techcombank.com/thong-tin/blog/kinh-nghiem-vay-the-chap-ngan-hang" TargetMode="External"/><Relationship Id="rId503" Type="http://schemas.openxmlformats.org/officeDocument/2006/relationships/hyperlink" Target="https://techcombank.com/thong-tin/blog/lai-suat-vay-the-chap-so-do" TargetMode="External"/><Relationship Id="rId502" Type="http://schemas.openxmlformats.org/officeDocument/2006/relationships/hyperlink" Target="https://techcombank.com/thong-tin/blog/vay-tra-gop" TargetMode="External"/><Relationship Id="rId501" Type="http://schemas.openxmlformats.org/officeDocument/2006/relationships/hyperlink" Target="https://techcombank.com/thong-tin/blog/cach-tinh-lai-vay-ngan-hang" TargetMode="External"/><Relationship Id="rId500" Type="http://schemas.openxmlformats.org/officeDocument/2006/relationships/hyperlink" Target="https://techcombank.com/thong-tin/blog/cong-thuc-tinh-lai-suat-thuc" TargetMode="External"/><Relationship Id="rId507" Type="http://schemas.openxmlformats.org/officeDocument/2006/relationships/hyperlink" Target="https://techcombank.com/thong-tin/blog/lai-suat-vay-the-chap-so-do" TargetMode="External"/><Relationship Id="rId506" Type="http://schemas.openxmlformats.org/officeDocument/2006/relationships/hyperlink" Target="https://techcombank.com/thong-tin/blog/vay-the-chap-so-hong" TargetMode="External"/><Relationship Id="rId505" Type="http://schemas.openxmlformats.org/officeDocument/2006/relationships/hyperlink" Target="https://techcombank.com/thong-tin/blog/lai-suat-vay-the-chap-so-do" TargetMode="External"/><Relationship Id="rId504" Type="http://schemas.openxmlformats.org/officeDocument/2006/relationships/hyperlink" Target="https://techcombank.com/thong-tin/blog/han-muc-vay-the-chap-so-do" TargetMode="External"/><Relationship Id="rId525" Type="http://schemas.openxmlformats.org/officeDocument/2006/relationships/hyperlink" Target="https://techcombank.com/thong-tin/blog/lai-suat-tiet-kiem" TargetMode="External"/><Relationship Id="rId524" Type="http://schemas.openxmlformats.org/officeDocument/2006/relationships/hyperlink" Target="https://techcombank.com/thong-tin/blog/co-nen-gui-tiet-kiem-ngan-hang" TargetMode="External"/><Relationship Id="rId523" Type="http://schemas.openxmlformats.org/officeDocument/2006/relationships/hyperlink" Target="https://techcombank.com/thong-tin/blog/lai-suat-tiet-kiem" TargetMode="External"/><Relationship Id="rId522" Type="http://schemas.openxmlformats.org/officeDocument/2006/relationships/hyperlink" Target="https://techcombank.com/thong-tin/blog/tai-sao-gui-tiet-kiem-online-lai-suat-cao-hon" TargetMode="External"/><Relationship Id="rId529" Type="http://schemas.openxmlformats.org/officeDocument/2006/relationships/hyperlink" Target="https://techcombank.com/thong-tin/blog/cach-tinh-lai-suat-tien-gui-tiet-kiem" TargetMode="External"/><Relationship Id="rId528" Type="http://schemas.openxmlformats.org/officeDocument/2006/relationships/hyperlink" Target="https://techcombank.com/thong-tin/blog/so-sanh-gui-tiet-kiem-online-va-tai-quay" TargetMode="External"/><Relationship Id="rId527" Type="http://schemas.openxmlformats.org/officeDocument/2006/relationships/hyperlink" Target="https://techcombank.com/thong-tin/blog/lai-suat-tiet-kiem" TargetMode="External"/><Relationship Id="rId526" Type="http://schemas.openxmlformats.org/officeDocument/2006/relationships/hyperlink" Target="https://techcombank.com/thong-tin/blog/tien-gui-co-ky-han" TargetMode="External"/><Relationship Id="rId521" Type="http://schemas.openxmlformats.org/officeDocument/2006/relationships/hyperlink" Target="https://techcombank.com/thong-tin/blog/lai-suat-tiet-kiem" TargetMode="External"/><Relationship Id="rId520" Type="http://schemas.openxmlformats.org/officeDocument/2006/relationships/hyperlink" Target="https://techcombank.com/thong-tin/blog/nen-gui-tiet-kiem-6-thang-hay-1-nam" TargetMode="External"/><Relationship Id="rId519" Type="http://schemas.openxmlformats.org/officeDocument/2006/relationships/hyperlink" Target="https://techcombank.com/thong-tin/blog/lai-suat-tiet-kiem" TargetMode="External"/><Relationship Id="rId514" Type="http://schemas.openxmlformats.org/officeDocument/2006/relationships/hyperlink" Target="https://techcombank.com/thong-tin/blog/quy-trinh-tat-toan-khoan-vay-the-chap" TargetMode="External"/><Relationship Id="rId513" Type="http://schemas.openxmlformats.org/officeDocument/2006/relationships/hyperlink" Target="https://techcombank.com/thong-tin/blog/ho-so-thu-tuc-xoa-the-chap" TargetMode="External"/><Relationship Id="rId512" Type="http://schemas.openxmlformats.org/officeDocument/2006/relationships/hyperlink" Target="https://techcombank.com/thong-tin/blog/vay-the-chap-la-gi" TargetMode="External"/><Relationship Id="rId511" Type="http://schemas.openxmlformats.org/officeDocument/2006/relationships/hyperlink" Target="https://techcombank.com/thong-tin/blog/lai-suat-vay-the-chap-so-do" TargetMode="External"/><Relationship Id="rId518" Type="http://schemas.openxmlformats.org/officeDocument/2006/relationships/hyperlink" Target="https://techcombank.com/thong-tin/blog/the-chap-la-gi" TargetMode="External"/><Relationship Id="rId517" Type="http://schemas.openxmlformats.org/officeDocument/2006/relationships/hyperlink" Target="https://techcombank.com/thong-tin/blog/ho-so-thu-tuc-xoa-the-chap" TargetMode="External"/><Relationship Id="rId516" Type="http://schemas.openxmlformats.org/officeDocument/2006/relationships/hyperlink" Target="https://techcombank.com/thong-tin/blog/tat-toan" TargetMode="External"/><Relationship Id="rId515" Type="http://schemas.openxmlformats.org/officeDocument/2006/relationships/hyperlink" Target="https://techcombank.com/thong-tin/blog/ho-so-thu-tuc-xoa-the-chap" TargetMode="External"/><Relationship Id="rId510" Type="http://schemas.openxmlformats.org/officeDocument/2006/relationships/hyperlink" Target="https://techcombank.com/thong-tin/blog/nen-vay-the-chap-ngan-hang-nao" TargetMode="External"/><Relationship Id="rId590" Type="http://schemas.openxmlformats.org/officeDocument/2006/relationships/hyperlink" Target="https://techcombank.com/thong-tin/blog/cach-tiet-kiem-100-trieu-1-nam" TargetMode="External"/><Relationship Id="rId107" Type="http://schemas.openxmlformats.org/officeDocument/2006/relationships/hyperlink" Target="https://techcombank.com/thong-tin/blog/cach-kiem-tra-tai-khoan-ngan-hang" TargetMode="External"/><Relationship Id="rId106" Type="http://schemas.openxmlformats.org/officeDocument/2006/relationships/hyperlink" Target="https://techcombank.com/thong-tin/blog/so-du-kha-dung" TargetMode="External"/><Relationship Id="rId105" Type="http://schemas.openxmlformats.org/officeDocument/2006/relationships/hyperlink" Target="https://techcombank.com/thong-tin/blog/cach-kiem-tra-tai-khoan-ngan-hang" TargetMode="External"/><Relationship Id="rId589" Type="http://schemas.openxmlformats.org/officeDocument/2006/relationships/hyperlink" Target="https://techcombank.com/cong-cu-tien-ich/cong-cu-tinh-toan/bang-tinh-lai-suat-tiet-kiem" TargetMode="External"/><Relationship Id="rId104" Type="http://schemas.openxmlformats.org/officeDocument/2006/relationships/hyperlink" Target="https://techcombank.com/thong-tin/blog/so-tai-khoan-ngan-hang" TargetMode="External"/><Relationship Id="rId588" Type="http://schemas.openxmlformats.org/officeDocument/2006/relationships/hyperlink" Target="https://techcombank.com/thong-tin/blog/dang-vay-tra-gop-co-vay-them-duoc-khong" TargetMode="External"/><Relationship Id="rId109" Type="http://schemas.openxmlformats.org/officeDocument/2006/relationships/hyperlink" Target="https://techcombank.com/thong-tin/blog/cach-kiem-tra-tai-khoan-ngan-hang" TargetMode="External"/><Relationship Id="rId108" Type="http://schemas.openxmlformats.org/officeDocument/2006/relationships/hyperlink" Target="https://techcombank.com/thong-tin/blog/ma-giao-dich-la-gi" TargetMode="External"/><Relationship Id="rId583" Type="http://schemas.openxmlformats.org/officeDocument/2006/relationships/hyperlink" Target="https://techcombank.com/cong-cu-tien-ich/cong-cu-tinh-toan/bang-tinh-lai-suat-vay" TargetMode="External"/><Relationship Id="rId582" Type="http://schemas.openxmlformats.org/officeDocument/2006/relationships/hyperlink" Target="https://techcombank.com/thong-tin/blog/vay-200-trieu" TargetMode="External"/><Relationship Id="rId581" Type="http://schemas.openxmlformats.org/officeDocument/2006/relationships/hyperlink" Target="https://techcombank.com/cong-cu-tien-ich/cong-cu-tinh-toan/bang-tinh-lai-suat-vay" TargetMode="External"/><Relationship Id="rId580" Type="http://schemas.openxmlformats.org/officeDocument/2006/relationships/hyperlink" Target="https://techcombank.com/thong-tin/blog/vay-100-trieu" TargetMode="External"/><Relationship Id="rId103" Type="http://schemas.openxmlformats.org/officeDocument/2006/relationships/hyperlink" Target="https://techcombank.com/thong-tin/blog/cach-kiem-tra-tai-khoan-ngan-hang" TargetMode="External"/><Relationship Id="rId587" Type="http://schemas.openxmlformats.org/officeDocument/2006/relationships/hyperlink" Target="https://techcombank.com/cong-cu-tien-ich/cong-cu-tinh-toan/bang-tinh-lai-suat-vay" TargetMode="External"/><Relationship Id="rId102" Type="http://schemas.openxmlformats.org/officeDocument/2006/relationships/hyperlink" Target="https://techcombank.com/thong-tin/blog/dang-ky-ma-so-thue-ca-nhan" TargetMode="External"/><Relationship Id="rId586" Type="http://schemas.openxmlformats.org/officeDocument/2006/relationships/hyperlink" Target="https://techcombank.com/thong-tin/blog/vay-tra-gop" TargetMode="External"/><Relationship Id="rId101" Type="http://schemas.openxmlformats.org/officeDocument/2006/relationships/hyperlink" Target="https://techcombank.com/thong-tin/blog/cach-tinh-thue-thu-nhap-ca-nhan-2025" TargetMode="External"/><Relationship Id="rId585" Type="http://schemas.openxmlformats.org/officeDocument/2006/relationships/hyperlink" Target="https://techcombank.com/cong-cu-tien-ich/cong-cu-tinh-toan/bang-tinh-lai-suat-vay" TargetMode="External"/><Relationship Id="rId100" Type="http://schemas.openxmlformats.org/officeDocument/2006/relationships/hyperlink" Target="https://techcombank.com/thong-tin/blog/hoan-thue-thu-nhap-ca-nhan" TargetMode="External"/><Relationship Id="rId584" Type="http://schemas.openxmlformats.org/officeDocument/2006/relationships/hyperlink" Target="https://techcombank.com/thong-tin/blog/vay-300-trieu" TargetMode="External"/><Relationship Id="rId579" Type="http://schemas.openxmlformats.org/officeDocument/2006/relationships/hyperlink" Target="https://techcombank.com/cong-cu-tien-ich/cong-cu-tinh-toan/bang-tinh-lai-suat-vay" TargetMode="External"/><Relationship Id="rId578" Type="http://schemas.openxmlformats.org/officeDocument/2006/relationships/hyperlink" Target="https://techcombank.com/thong-tin/blog/rui-ro-khi-gui-tiet-kiem-ngan-hang" TargetMode="External"/><Relationship Id="rId577" Type="http://schemas.openxmlformats.org/officeDocument/2006/relationships/hyperlink" Target="https://techcombank.com/thong-tin/blog/rui-ro-khi-gui-tiet-kiem-online" TargetMode="External"/><Relationship Id="rId572" Type="http://schemas.openxmlformats.org/officeDocument/2006/relationships/hyperlink" Target="https://techcombank.com/thong-tin/blog/gui-tiet-kiem-online-bi-mat-tien" TargetMode="External"/><Relationship Id="rId571" Type="http://schemas.openxmlformats.org/officeDocument/2006/relationships/hyperlink" Target="https://techcombank.com/thong-tin/blog/rui-ro-khi-gui-tiet-kiem-online" TargetMode="External"/><Relationship Id="rId570" Type="http://schemas.openxmlformats.org/officeDocument/2006/relationships/hyperlink" Target="https://techcombank.com/thong-tin/blog/co-nen-gui-tiet-kiem-online" TargetMode="External"/><Relationship Id="rId576" Type="http://schemas.openxmlformats.org/officeDocument/2006/relationships/hyperlink" Target="https://techcombank.com/thong-tin/blog/cach-gui-tiet-kiem-online" TargetMode="External"/><Relationship Id="rId575" Type="http://schemas.openxmlformats.org/officeDocument/2006/relationships/hyperlink" Target="https://techcombank.com/thong-tin/blog/rui-ro-khi-gui-tiet-kiem-online" TargetMode="External"/><Relationship Id="rId574" Type="http://schemas.openxmlformats.org/officeDocument/2006/relationships/hyperlink" Target="https://techcombank.com/thong-tin/blog/kinh-nghiem-gui-tiet-kiem-online" TargetMode="External"/><Relationship Id="rId573" Type="http://schemas.openxmlformats.org/officeDocument/2006/relationships/hyperlink" Target="https://techcombank.com/thong-tin/blog/rui-ro-khi-gui-tiet-kiem-online" TargetMode="External"/><Relationship Id="rId129" Type="http://schemas.openxmlformats.org/officeDocument/2006/relationships/hyperlink" Target="https://techcombank.com/thong-tin/blog/chuyen-khoan-thanh-cong-nhung-khong-nhan-duoc-tien" TargetMode="External"/><Relationship Id="rId128" Type="http://schemas.openxmlformats.org/officeDocument/2006/relationships/hyperlink" Target="https://techcombank.com/thong-tin/blog/nen-mo-tai-khoan-ngan-hang-nao-cho-doanh-nghiep" TargetMode="External"/><Relationship Id="rId127" Type="http://schemas.openxmlformats.org/officeDocument/2006/relationships/hyperlink" Target="https://techcombank.com/thong-tin/blog/ngan-hang-uy-tin" TargetMode="External"/><Relationship Id="rId126" Type="http://schemas.openxmlformats.org/officeDocument/2006/relationships/hyperlink" Target="https://techcombank.com/thong-tin/blog/gui-tien-ngan-hang-co-an-toan-khong" TargetMode="External"/><Relationship Id="rId121" Type="http://schemas.openxmlformats.org/officeDocument/2006/relationships/hyperlink" Target="https://techcombank.com/thong-tin/blog/cach-mo-tai-khoan" TargetMode="External"/><Relationship Id="rId120" Type="http://schemas.openxmlformats.org/officeDocument/2006/relationships/hyperlink" Target="https://techcombank.com/thong-tin/blog/mo-tai-khoan-ngan-hang-co-mat-phi-khong" TargetMode="External"/><Relationship Id="rId125" Type="http://schemas.openxmlformats.org/officeDocument/2006/relationships/hyperlink" Target="https://techcombank.com/thong-tin/blog/ngan-hang-uy-tin" TargetMode="External"/><Relationship Id="rId124" Type="http://schemas.openxmlformats.org/officeDocument/2006/relationships/hyperlink" Target="https://techcombank.com/thong-tin/blog/app-ngan-hang-uy-tin" TargetMode="External"/><Relationship Id="rId123" Type="http://schemas.openxmlformats.org/officeDocument/2006/relationships/hyperlink" Target="https://techcombank.com/thong-tin/blog/ngan-hang-uy-tin" TargetMode="External"/><Relationship Id="rId122" Type="http://schemas.openxmlformats.org/officeDocument/2006/relationships/hyperlink" Target="https://techcombank.com/thong-tin/blog/1-cmnd-dang-ky-duoc-may-tai-khoan-ngan-hang" TargetMode="External"/><Relationship Id="rId118" Type="http://schemas.openxmlformats.org/officeDocument/2006/relationships/hyperlink" Target="https://techcombank.com/thong-tin/blog/mo-tai-khoan-ngan-hang-online-co-an-toan-khong" TargetMode="External"/><Relationship Id="rId117" Type="http://schemas.openxmlformats.org/officeDocument/2006/relationships/hyperlink" Target="https://techcombank.com/thong-tin/blog/cach-mo-tai-khoan" TargetMode="External"/><Relationship Id="rId116" Type="http://schemas.openxmlformats.org/officeDocument/2006/relationships/hyperlink" Target="https://techcombank.com/thong-tin/blog/tai-khoan-thanh-toan-la-gi" TargetMode="External"/><Relationship Id="rId115" Type="http://schemas.openxmlformats.org/officeDocument/2006/relationships/hyperlink" Target="https://techcombank.com/thong-tin/blog/cach-mo-tai-khoan" TargetMode="External"/><Relationship Id="rId599" Type="http://schemas.openxmlformats.org/officeDocument/2006/relationships/hyperlink" Target="https://techcombank.com/thong-tin/blog/app-vay-tien-nhanh" TargetMode="External"/><Relationship Id="rId119" Type="http://schemas.openxmlformats.org/officeDocument/2006/relationships/hyperlink" Target="https://techcombank.com/thong-tin/blog/cach-mo-tai-khoan" TargetMode="External"/><Relationship Id="rId110" Type="http://schemas.openxmlformats.org/officeDocument/2006/relationships/hyperlink" Target="https://techcombank.com/thong-tin/blog/sms-banking" TargetMode="External"/><Relationship Id="rId594" Type="http://schemas.openxmlformats.org/officeDocument/2006/relationships/hyperlink" Target="https://techcombank.com/thong-tin/blog/gui-tiet-kiem-tich-luy-la-gi" TargetMode="External"/><Relationship Id="rId593" Type="http://schemas.openxmlformats.org/officeDocument/2006/relationships/hyperlink" Target="https://techcombank.com/cong-cu-tien-ich/cong-cu-tinh-toan/bang-tinh-lai-suat-tiet-kiem" TargetMode="External"/><Relationship Id="rId592" Type="http://schemas.openxmlformats.org/officeDocument/2006/relationships/hyperlink" Target="https://techcombank.com/thong-tin/blog/co-50-trieu-nen-mua-vang-hay-gui-tiet-kiem" TargetMode="External"/><Relationship Id="rId591" Type="http://schemas.openxmlformats.org/officeDocument/2006/relationships/hyperlink" Target="https://techcombank.com/cong-cu-tien-ich/cong-cu-tinh-toan/bang-tinh-lai-suat-tiet-kiem" TargetMode="External"/><Relationship Id="rId114" Type="http://schemas.openxmlformats.org/officeDocument/2006/relationships/hyperlink" Target="https://techcombank.com/thong-tin/blog/tai-khoan-ngan-hang-la-gi" TargetMode="External"/><Relationship Id="rId598" Type="http://schemas.openxmlformats.org/officeDocument/2006/relationships/hyperlink" Target="https://techcombank.com/thong-tin/blog/nen-de-tien-trong-the-hay-gui-tiet-kiem" TargetMode="External"/><Relationship Id="rId113" Type="http://schemas.openxmlformats.org/officeDocument/2006/relationships/hyperlink" Target="https://techcombank.com/thong-tin/blog/cach-mo-tai-khoan" TargetMode="External"/><Relationship Id="rId597" Type="http://schemas.openxmlformats.org/officeDocument/2006/relationships/hyperlink" Target="https://techcombank.com/cong-cu-tien-ich/cong-cu-tinh-toan/bang-tinh-lai-suat-tiet-kiem" TargetMode="External"/><Relationship Id="rId112" Type="http://schemas.openxmlformats.org/officeDocument/2006/relationships/hyperlink" Target="https://techcombank.com/thong-tin/blog/cach-kiem-tra-tai-khoan-ngan-hang-cua-cong-ty" TargetMode="External"/><Relationship Id="rId596" Type="http://schemas.openxmlformats.org/officeDocument/2006/relationships/hyperlink" Target="https://techcombank.com/thong-tin/blog/quy-trinh-gui-tien-tiet-kiem" TargetMode="External"/><Relationship Id="rId111" Type="http://schemas.openxmlformats.org/officeDocument/2006/relationships/hyperlink" Target="https://techcombank.com/thong-tin/blog/cach-kiem-tra-tai-khoan-ngan-hang" TargetMode="External"/><Relationship Id="rId595" Type="http://schemas.openxmlformats.org/officeDocument/2006/relationships/hyperlink" Target="https://techcombank.com/cong-cu-tien-ich/cong-cu-tinh-toan/bang-tinh-lai-suat-tiet-kiem" TargetMode="External"/><Relationship Id="rId547" Type="http://schemas.openxmlformats.org/officeDocument/2006/relationships/hyperlink" Target="https://techcombank.com/thong-tin/blog/rut-tien-tiet-kiem-truoc-thoi-han" TargetMode="External"/><Relationship Id="rId546" Type="http://schemas.openxmlformats.org/officeDocument/2006/relationships/hyperlink" Target="https://techcombank.com/thong-tin/blog/mat-so-tiet-kiem" TargetMode="External"/><Relationship Id="rId545" Type="http://schemas.openxmlformats.org/officeDocument/2006/relationships/hyperlink" Target="https://techcombank.com/thong-tin/blog/rut-tien-tiet-kiem-truoc-thoi-han" TargetMode="External"/><Relationship Id="rId544" Type="http://schemas.openxmlformats.org/officeDocument/2006/relationships/hyperlink" Target="https://techcombank.com/thong-tin/blog/vay-thau-chi-bang-so-tiet-kiem" TargetMode="External"/><Relationship Id="rId549" Type="http://schemas.openxmlformats.org/officeDocument/2006/relationships/hyperlink" Target="https://techcombank.com/thong-tin/blog/so-tiet-kiem-ngan-hang" TargetMode="External"/><Relationship Id="rId548" Type="http://schemas.openxmlformats.org/officeDocument/2006/relationships/hyperlink" Target="https://techcombank.com/thong-tin/blog/gui-them-tien-vao-so-tiet-kiem" TargetMode="External"/><Relationship Id="rId543" Type="http://schemas.openxmlformats.org/officeDocument/2006/relationships/hyperlink" Target="https://techcombank.com/thong-tin/blog/rut-tien-tiet-kiem-truoc-thoi-han" TargetMode="External"/><Relationship Id="rId542" Type="http://schemas.openxmlformats.org/officeDocument/2006/relationships/hyperlink" Target="https://techcombank.com/thong-tin/blog/gui-tiet-kiem-online-co-rut-truoc-han-duoc-khong" TargetMode="External"/><Relationship Id="rId541" Type="http://schemas.openxmlformats.org/officeDocument/2006/relationships/hyperlink" Target="https://techcombank.com/thong-tin/blog/rut-tien-tiet-kiem-truoc-thoi-han" TargetMode="External"/><Relationship Id="rId540" Type="http://schemas.openxmlformats.org/officeDocument/2006/relationships/hyperlink" Target="https://techcombank.com/thong-tin/blog/tat-toan-so-tiet-kiem" TargetMode="External"/><Relationship Id="rId536" Type="http://schemas.openxmlformats.org/officeDocument/2006/relationships/hyperlink" Target="https://techcombank.com/thong-tin/blog/tien-gui-khong-ky-han" TargetMode="External"/><Relationship Id="rId535" Type="http://schemas.openxmlformats.org/officeDocument/2006/relationships/hyperlink" Target="https://techcombank.com/thong-tin/blog/cach-tinh-lai-suat-tien-gui-tiet-kiem" TargetMode="External"/><Relationship Id="rId534" Type="http://schemas.openxmlformats.org/officeDocument/2006/relationships/hyperlink" Target="https://techcombank.com/thong-tin/blog/gui-tiet-kiem-hang-thang" TargetMode="External"/><Relationship Id="rId533" Type="http://schemas.openxmlformats.org/officeDocument/2006/relationships/hyperlink" Target="https://techcombank.com/thong-tin/blog/cach-tinh-lai-suat-tien-gui-tiet-kiem" TargetMode="External"/><Relationship Id="rId539" Type="http://schemas.openxmlformats.org/officeDocument/2006/relationships/hyperlink" Target="https://techcombank.com/thong-tin/blog/rut-tien-tiet-kiem-truoc-thoi-han" TargetMode="External"/><Relationship Id="rId538" Type="http://schemas.openxmlformats.org/officeDocument/2006/relationships/hyperlink" Target="https://techcombank.com/thong-tin/blog/dao-han-la-gi" TargetMode="External"/><Relationship Id="rId537" Type="http://schemas.openxmlformats.org/officeDocument/2006/relationships/hyperlink" Target="https://techcombank.com/thong-tin/blog/cach-tinh-lai-suat-tien-gui-tiet-kiem" TargetMode="External"/><Relationship Id="rId532" Type="http://schemas.openxmlformats.org/officeDocument/2006/relationships/hyperlink" Target="https://techcombank.com/thong-tin/blog/gui-tiet-kiem-lay-lai-hang-thang" TargetMode="External"/><Relationship Id="rId531" Type="http://schemas.openxmlformats.org/officeDocument/2006/relationships/hyperlink" Target="https://techcombank.com/thong-tin/blog/cach-tinh-lai-suat-tien-gui-tiet-kiem" TargetMode="External"/><Relationship Id="rId530" Type="http://schemas.openxmlformats.org/officeDocument/2006/relationships/hyperlink" Target="https://techcombank.com/thong-tin/blog/lai-kep-ngan-hang" TargetMode="External"/><Relationship Id="rId569" Type="http://schemas.openxmlformats.org/officeDocument/2006/relationships/hyperlink" Target="https://techcombank.com/thong-tin/blog/rui-ro-khi-gui-tiet-kiem-online" TargetMode="External"/><Relationship Id="rId568" Type="http://schemas.openxmlformats.org/officeDocument/2006/relationships/hyperlink" Target="https://techcombank.com/thong-tin/blog/the-nao-la-tiet-kiem" TargetMode="External"/><Relationship Id="rId567" Type="http://schemas.openxmlformats.org/officeDocument/2006/relationships/hyperlink" Target="https://techcombank.com/thong-tin/blog/cach-tiet-kiem-tien" TargetMode="External"/><Relationship Id="rId566" Type="http://schemas.openxmlformats.org/officeDocument/2006/relationships/hyperlink" Target="https://techcombank.com/thong-tin/blog/loi-ich-cua-viec-tiet-kiem-tien" TargetMode="External"/><Relationship Id="rId561" Type="http://schemas.openxmlformats.org/officeDocument/2006/relationships/hyperlink" Target="https://techcombank.com/thong-tin/blog/cach-tiet-kiem-tien" TargetMode="External"/><Relationship Id="rId560" Type="http://schemas.openxmlformats.org/officeDocument/2006/relationships/hyperlink" Target="https://techcombank.com/thong-tin/blog/cach-tiet-kiem-tien-theo-tuan" TargetMode="External"/><Relationship Id="rId565" Type="http://schemas.openxmlformats.org/officeDocument/2006/relationships/hyperlink" Target="https://techcombank.com/thong-tin/blog/cach-tiet-kiem-tien" TargetMode="External"/><Relationship Id="rId564" Type="http://schemas.openxmlformats.org/officeDocument/2006/relationships/hyperlink" Target="https://techcombank.com/thong-tin/blog/hoc-cach-tiet-kiem-tien-luong" TargetMode="External"/><Relationship Id="rId563" Type="http://schemas.openxmlformats.org/officeDocument/2006/relationships/hyperlink" Target="https://techcombank.com/thong-tin/blog/cach-tiet-kiem-tien" TargetMode="External"/><Relationship Id="rId562" Type="http://schemas.openxmlformats.org/officeDocument/2006/relationships/hyperlink" Target="https://techcombank.com/thong-tin/blog/tiet-kiem-tien-moi-ngay" TargetMode="External"/><Relationship Id="rId558" Type="http://schemas.openxmlformats.org/officeDocument/2006/relationships/hyperlink" Target="https://techcombank.com/thong-tin/blog/quy-trinh-gui-tien-tiet-kiem" TargetMode="External"/><Relationship Id="rId557" Type="http://schemas.openxmlformats.org/officeDocument/2006/relationships/hyperlink" Target="https://techcombank.com/thong-tin/blog/so-tiet-kiem-ngan-hang" TargetMode="External"/><Relationship Id="rId556" Type="http://schemas.openxmlformats.org/officeDocument/2006/relationships/hyperlink" Target="https://techcombank.com/thong-tin/blog/gui-them-tien-vao-so-tiet-kiem" TargetMode="External"/><Relationship Id="rId555" Type="http://schemas.openxmlformats.org/officeDocument/2006/relationships/hyperlink" Target="https://techcombank.com/thong-tin/blog/so-tiet-kiem-ngan-hang" TargetMode="External"/><Relationship Id="rId559" Type="http://schemas.openxmlformats.org/officeDocument/2006/relationships/hyperlink" Target="https://techcombank.com/thong-tin/blog/cach-tiet-kiem-tien" TargetMode="External"/><Relationship Id="rId550" Type="http://schemas.openxmlformats.org/officeDocument/2006/relationships/hyperlink" Target="https://techcombank.com/thong-tin/blog/mo-so-tiet-kiem-can-bao-nhieu-tien" TargetMode="External"/><Relationship Id="rId554" Type="http://schemas.openxmlformats.org/officeDocument/2006/relationships/hyperlink" Target="https://techcombank.com/thong-tin/blog/mat-so-tiet-kiem" TargetMode="External"/><Relationship Id="rId553" Type="http://schemas.openxmlformats.org/officeDocument/2006/relationships/hyperlink" Target="https://techcombank.com/thong-tin/blog/so-tiet-kiem-ngan-hang" TargetMode="External"/><Relationship Id="rId552" Type="http://schemas.openxmlformats.org/officeDocument/2006/relationships/hyperlink" Target="https://techcombank.com/thong-tin/blog/tai-khoan-tiet-kiem" TargetMode="External"/><Relationship Id="rId551" Type="http://schemas.openxmlformats.org/officeDocument/2006/relationships/hyperlink" Target="https://techcombank.com/thong-tin/blog/so-tiet-kiem-ngan-hang" TargetMode="External"/><Relationship Id="rId495" Type="http://schemas.openxmlformats.org/officeDocument/2006/relationships/hyperlink" Target="https://techcombank.com/thong-tin/blog/cach-tinh-lai-vay-ngan-hang" TargetMode="External"/><Relationship Id="rId494" Type="http://schemas.openxmlformats.org/officeDocument/2006/relationships/hyperlink" Target="https://techcombank.com/thong-tin/blog/du-no-la-gi" TargetMode="External"/><Relationship Id="rId493" Type="http://schemas.openxmlformats.org/officeDocument/2006/relationships/hyperlink" Target="https://techcombank.com/thong-tin/blog/cach-tinh-lai-vay-ngan-hang" TargetMode="External"/><Relationship Id="rId492" Type="http://schemas.openxmlformats.org/officeDocument/2006/relationships/hyperlink" Target="https://techcombank.com/thong-tin/blog/ho-kinh-doanh-ca-the" TargetMode="External"/><Relationship Id="rId499" Type="http://schemas.openxmlformats.org/officeDocument/2006/relationships/hyperlink" Target="https://techcombank.com/thong-tin/blog/cach-tinh-lai-vay-ngan-hang" TargetMode="External"/><Relationship Id="rId498" Type="http://schemas.openxmlformats.org/officeDocument/2006/relationships/hyperlink" Target="https://techcombank.com/thong-tin/blog/lai-suat-tha-noi" TargetMode="External"/><Relationship Id="rId497" Type="http://schemas.openxmlformats.org/officeDocument/2006/relationships/hyperlink" Target="https://techcombank.com/thong-tin/blog/cach-tinh-lai-vay-ngan-hang" TargetMode="External"/><Relationship Id="rId496" Type="http://schemas.openxmlformats.org/officeDocument/2006/relationships/hyperlink" Target="https://techcombank.com/thong-tin/blog/an-han-no-goc-la-gi" TargetMode="External"/><Relationship Id="rId409" Type="http://schemas.openxmlformats.org/officeDocument/2006/relationships/hyperlink" Target="https://techcombank.com/thong-tin/blog/cach-nhan-tien-tu-nuoc-ngoai-ve-viet-nam" TargetMode="External"/><Relationship Id="rId404" Type="http://schemas.openxmlformats.org/officeDocument/2006/relationships/hyperlink" Target="https://techcombank.com/thong-tin/blog/1-trieu-won-bang-bao-nhieu-tien-viet" TargetMode="External"/><Relationship Id="rId403" Type="http://schemas.openxmlformats.org/officeDocument/2006/relationships/hyperlink" Target="https://techcombank.com/thong-tin/blog/1000-won-bang-bao-nhieu-tien-viet" TargetMode="External"/><Relationship Id="rId402" Type="http://schemas.openxmlformats.org/officeDocument/2006/relationships/hyperlink" Target="https://techcombank.com/thong-tin/blog/1-won-bang-bao-nhieu-tien-viet" TargetMode="External"/><Relationship Id="rId401" Type="http://schemas.openxmlformats.org/officeDocument/2006/relationships/hyperlink" Target="https://techcombank.com/thong-tin/blog/1000-won-bang-bao-nhieu-tien-viet" TargetMode="External"/><Relationship Id="rId408" Type="http://schemas.openxmlformats.org/officeDocument/2006/relationships/hyperlink" Target="https://techcombank.com/thong-tin/blog/chuyen-tien-tu-han-sang-viet-nam" TargetMode="External"/><Relationship Id="rId407" Type="http://schemas.openxmlformats.org/officeDocument/2006/relationships/hyperlink" Target="https://techcombank.com/thong-tin/blog/1000-won-bang-bao-nhieu-tien-viet" TargetMode="External"/><Relationship Id="rId406" Type="http://schemas.openxmlformats.org/officeDocument/2006/relationships/hyperlink" Target="https://techcombank.com/thong-tin/blog/thanh-toan-khi-du-lich-han-quoc" TargetMode="External"/><Relationship Id="rId405" Type="http://schemas.openxmlformats.org/officeDocument/2006/relationships/hyperlink" Target="https://techcombank.com/thong-tin/blog/1000-won-bang-bao-nhieu-tien-viet" TargetMode="External"/><Relationship Id="rId400" Type="http://schemas.openxmlformats.org/officeDocument/2006/relationships/hyperlink" Target="https://techcombank.com/thong-tin/blog/xu-huong-ty-gia-usd" TargetMode="External"/><Relationship Id="rId469" Type="http://schemas.openxmlformats.org/officeDocument/2006/relationships/hyperlink" Target="https://techcombank.com/thong-tin/blog/gui-ma-qr-ngan-hang" TargetMode="External"/><Relationship Id="rId468" Type="http://schemas.openxmlformats.org/officeDocument/2006/relationships/hyperlink" Target="https://techcombank.com/thong-tin/blog/lo-ma-qr-ngan-hang-co-sao-khong" TargetMode="External"/><Relationship Id="rId467" Type="http://schemas.openxmlformats.org/officeDocument/2006/relationships/hyperlink" Target="https://techcombank.com/thong-tin/blog/gui-ma-qr-ngan-hang" TargetMode="External"/><Relationship Id="rId462" Type="http://schemas.openxmlformats.org/officeDocument/2006/relationships/hyperlink" Target="https://techcombank.com/thong-tin/blog/one-stop-shop" TargetMode="External"/><Relationship Id="rId461" Type="http://schemas.openxmlformats.org/officeDocument/2006/relationships/hyperlink" Target="https://techcombank.com/thong-tin/blog/mo-hinh-kinh-doanh-la-gi" TargetMode="External"/><Relationship Id="rId460" Type="http://schemas.openxmlformats.org/officeDocument/2006/relationships/hyperlink" Target="https://techcombank.com/thong-tin/blog/kinh-doanh-online" TargetMode="External"/><Relationship Id="rId466" Type="http://schemas.openxmlformats.org/officeDocument/2006/relationships/hyperlink" Target="https://techcombank.com/thong-tin/blog/in-ma-qr-ngan-hang" TargetMode="External"/><Relationship Id="rId465" Type="http://schemas.openxmlformats.org/officeDocument/2006/relationships/hyperlink" Target="https://techcombank.com/thong-tin/blog/gui-ma-qr-ngan-hang" TargetMode="External"/><Relationship Id="rId464" Type="http://schemas.openxmlformats.org/officeDocument/2006/relationships/hyperlink" Target="https://techcombank.com/thong-tin/blog/cach-tao-ma-qr" TargetMode="External"/><Relationship Id="rId463" Type="http://schemas.openxmlformats.org/officeDocument/2006/relationships/hyperlink" Target="https://techcombank.com/thong-tin/blog/gui-ma-qr-ngan-hang" TargetMode="External"/><Relationship Id="rId459" Type="http://schemas.openxmlformats.org/officeDocument/2006/relationships/hyperlink" Target="https://techcombank.com/thong-tin/blog/mo-hinh-kinh-doanh-la-gi" TargetMode="External"/><Relationship Id="rId458" Type="http://schemas.openxmlformats.org/officeDocument/2006/relationships/hyperlink" Target="https://techcombank.com/thong-tin/blog/nhuong-quyen-la-gi" TargetMode="External"/><Relationship Id="rId457" Type="http://schemas.openxmlformats.org/officeDocument/2006/relationships/hyperlink" Target="https://techcombank.com/thong-tin/blog/mo-hinh-kinh-doanh-la-gi" TargetMode="External"/><Relationship Id="rId456" Type="http://schemas.openxmlformats.org/officeDocument/2006/relationships/hyperlink" Target="https://techcombank.com/thong-tin/blog/thue-ho-kinh-doanh-2025" TargetMode="External"/><Relationship Id="rId451" Type="http://schemas.openxmlformats.org/officeDocument/2006/relationships/hyperlink" Target="https://techcombank.com/thong-tin/blog/ho-kinh-doanh-dong-thue-nhu-nao" TargetMode="External"/><Relationship Id="rId450" Type="http://schemas.openxmlformats.org/officeDocument/2006/relationships/hyperlink" Target="https://techcombank.com/thong-tin/blog/thue-khoan-ho-kinh-doanh-la-gi" TargetMode="External"/><Relationship Id="rId455" Type="http://schemas.openxmlformats.org/officeDocument/2006/relationships/hyperlink" Target="https://techcombank.com/thong-tin/blog/ho-kinh-doanh-dong-thue-nhu-nao" TargetMode="External"/><Relationship Id="rId454" Type="http://schemas.openxmlformats.org/officeDocument/2006/relationships/hyperlink" Target="https://techcombank.com/thong-tin/blog/truy-thu-thue-ho-kinh-doanh" TargetMode="External"/><Relationship Id="rId453" Type="http://schemas.openxmlformats.org/officeDocument/2006/relationships/hyperlink" Target="https://techcombank.com/thong-tin/blog/ho-kinh-doanh-dong-thue-nhu-nao" TargetMode="External"/><Relationship Id="rId452" Type="http://schemas.openxmlformats.org/officeDocument/2006/relationships/hyperlink" Target="https://techcombank.com/thong-tin/blog/nhung-ho-kinh-doanh-duoc-mien-thue" TargetMode="External"/><Relationship Id="rId491" Type="http://schemas.openxmlformats.org/officeDocument/2006/relationships/hyperlink" Target="https://techcombank.com/thong-tin/blog/cach-tinh-thue-ho-kinh-doanh-nho-le" TargetMode="External"/><Relationship Id="rId490" Type="http://schemas.openxmlformats.org/officeDocument/2006/relationships/hyperlink" Target="https://techcombank.com/thong-tin/blog/chinh-sach-thue-moi" TargetMode="External"/><Relationship Id="rId489" Type="http://schemas.openxmlformats.org/officeDocument/2006/relationships/hyperlink" Target="https://techcombank.com/thong-tin/blog/cach-tinh-thue-ho-kinh-doanh-nho-le" TargetMode="External"/><Relationship Id="rId484" Type="http://schemas.openxmlformats.org/officeDocument/2006/relationships/hyperlink" Target="https://techcombank.com/thong-tin/blog/ke-khai-thue-ho-kinh-doanh-ca-the-online" TargetMode="External"/><Relationship Id="rId483" Type="http://schemas.openxmlformats.org/officeDocument/2006/relationships/hyperlink" Target="https://techcombank.com/thong-tin/blog/cach-tinh-thue-ho-kinh-doanh-nho-le" TargetMode="External"/><Relationship Id="rId482" Type="http://schemas.openxmlformats.org/officeDocument/2006/relationships/hyperlink" Target="https://techcombank.com/thong-tin/blog/cach-dang-ky-ma-so-thue-ho-kinh-doanh-online" TargetMode="External"/><Relationship Id="rId481" Type="http://schemas.openxmlformats.org/officeDocument/2006/relationships/hyperlink" Target="https://techcombank.com/thong-tin/blog/mo-tai-khoan-ho-kinh-doanh" TargetMode="External"/><Relationship Id="rId488" Type="http://schemas.openxmlformats.org/officeDocument/2006/relationships/hyperlink" Target="https://techcombank.com/thong-tin/blog/thue-thuong-mai-dien-tu" TargetMode="External"/><Relationship Id="rId487" Type="http://schemas.openxmlformats.org/officeDocument/2006/relationships/hyperlink" Target="https://techcombank.com/thong-tin/blog/cach-tinh-thue-ho-kinh-doanh-nho-le" TargetMode="External"/><Relationship Id="rId486" Type="http://schemas.openxmlformats.org/officeDocument/2006/relationships/hyperlink" Target="https://techcombank.com/thong-tin/blog/kiem-tra-thue-ho-kinh-doanh" TargetMode="External"/><Relationship Id="rId485" Type="http://schemas.openxmlformats.org/officeDocument/2006/relationships/hyperlink" Target="https://techcombank.com/thong-tin/blog/cach-tinh-thue-ho-kinh-doanh-nho-le" TargetMode="External"/><Relationship Id="rId480" Type="http://schemas.openxmlformats.org/officeDocument/2006/relationships/hyperlink" Target="https://techcombank.com/thong-tin/blog/ho-kinh-doanh-ca-the" TargetMode="External"/><Relationship Id="rId479" Type="http://schemas.openxmlformats.org/officeDocument/2006/relationships/hyperlink" Target="https://techcombank.com/thong-tin/blog/mo-tai-khoan-ho-kinh-doanh" TargetMode="External"/><Relationship Id="rId478" Type="http://schemas.openxmlformats.org/officeDocument/2006/relationships/hyperlink" Target="https://techcombank.com/thong-tin/blog/khai-bao-tai-khoan-ngan-hang-voi-co-quan-thue" TargetMode="External"/><Relationship Id="rId473" Type="http://schemas.openxmlformats.org/officeDocument/2006/relationships/hyperlink" Target="https://techcombank.com/thong-tin/blog/mo-tai-khoan-ho-kinh-doanh" TargetMode="External"/><Relationship Id="rId472" Type="http://schemas.openxmlformats.org/officeDocument/2006/relationships/hyperlink" Target="https://techcombank.com/thong-tin/blog/ma-qr-ngan-hang-khong-hop-le" TargetMode="External"/><Relationship Id="rId471" Type="http://schemas.openxmlformats.org/officeDocument/2006/relationships/hyperlink" Target="https://techcombank.com/thong-tin/blog/gui-ma-qr-ngan-hang" TargetMode="External"/><Relationship Id="rId470" Type="http://schemas.openxmlformats.org/officeDocument/2006/relationships/hyperlink" Target="https://techcombank.com/thong-tin/blog/lam-ma-qr-ngan-hang-co-mat-phi-khong" TargetMode="External"/><Relationship Id="rId477" Type="http://schemas.openxmlformats.org/officeDocument/2006/relationships/hyperlink" Target="https://techcombank.com/thong-tin/blog/mo-tai-khoan-ho-kinh-doanh" TargetMode="External"/><Relationship Id="rId476" Type="http://schemas.openxmlformats.org/officeDocument/2006/relationships/hyperlink" Target="https://techcombank.com/thong-tin/blog/thanh-lap-ho-kinh-doanh-ca-the" TargetMode="External"/><Relationship Id="rId475" Type="http://schemas.openxmlformats.org/officeDocument/2006/relationships/hyperlink" Target="https://techcombank.com/thong-tin/blog/mo-tai-khoan-ho-kinh-doanh" TargetMode="External"/><Relationship Id="rId474" Type="http://schemas.openxmlformats.org/officeDocument/2006/relationships/hyperlink" Target="https://techcombank.com/thong-tin/blog/ho-kinh-doanh-can-gi-o-tai-khoan-ngan-hang" TargetMode="External"/><Relationship Id="rId426" Type="http://schemas.openxmlformats.org/officeDocument/2006/relationships/hyperlink" Target="https://techcombank.com/thong-tin/blog/di-du-lich-nuoc-ngoai-can-chuan-bi-gi" TargetMode="External"/><Relationship Id="rId425" Type="http://schemas.openxmlformats.org/officeDocument/2006/relationships/hyperlink" Target="https://techcombank.com/thong-tin/blog/doi-tien-do-o-dau" TargetMode="External"/><Relationship Id="rId424" Type="http://schemas.openxmlformats.org/officeDocument/2006/relationships/hyperlink" Target="https://techcombank.com/thong-tin/blog/ty-gia-cac-ngan-hang" TargetMode="External"/><Relationship Id="rId423" Type="http://schemas.openxmlformats.org/officeDocument/2006/relationships/hyperlink" Target="https://techcombank.com/thong-tin/blog/doi-tien-do-o-dau" TargetMode="External"/><Relationship Id="rId429" Type="http://schemas.openxmlformats.org/officeDocument/2006/relationships/hyperlink" Target="https://techcombank.com/thong-tin/blog/vay-ngan-hang-1-ty-moi-thang-tra-bao-nhieu" TargetMode="External"/><Relationship Id="rId428" Type="http://schemas.openxmlformats.org/officeDocument/2006/relationships/hyperlink" Target="https://techcombank.com/thong-tin/blog/1-trieu-do-bang-bao-nhieu-tien-viet" TargetMode="External"/><Relationship Id="rId427" Type="http://schemas.openxmlformats.org/officeDocument/2006/relationships/hyperlink" Target="https://techcombank.com/thong-tin/blog/doi-tien-do-o-dau" TargetMode="External"/><Relationship Id="rId422" Type="http://schemas.openxmlformats.org/officeDocument/2006/relationships/hyperlink" Target="https://techcombank.com/thong-tin/blog/han-muc-mua-ngoai-te-khi-di-du-lich" TargetMode="External"/><Relationship Id="rId421" Type="http://schemas.openxmlformats.org/officeDocument/2006/relationships/hyperlink" Target="https://techcombank.com/thong-tin/blog/doi-tien-do-o-dau" TargetMode="External"/><Relationship Id="rId420" Type="http://schemas.openxmlformats.org/officeDocument/2006/relationships/hyperlink" Target="https://techcombank.com/thong-tin/blog/dieu-kien-mua-usd-tu-ngan-hang" TargetMode="External"/><Relationship Id="rId415" Type="http://schemas.openxmlformats.org/officeDocument/2006/relationships/hyperlink" Target="https://techcombank.com/thong-tin/blog/cach-nhan-tien-tu-nuoc-ngoai-ve-viet-nam" TargetMode="External"/><Relationship Id="rId414" Type="http://schemas.openxmlformats.org/officeDocument/2006/relationships/hyperlink" Target="https://techcombank.com/thong-tin/blog/ma-swift-ngan-hang" TargetMode="External"/><Relationship Id="rId413" Type="http://schemas.openxmlformats.org/officeDocument/2006/relationships/hyperlink" Target="https://techcombank.com/thong-tin/blog/cach-nhan-tien-tu-nuoc-ngoai-ve-viet-nam" TargetMode="External"/><Relationship Id="rId412" Type="http://schemas.openxmlformats.org/officeDocument/2006/relationships/hyperlink" Target="https://techcombank.com/thong-tin/blog/nhan-tien-western-union" TargetMode="External"/><Relationship Id="rId419" Type="http://schemas.openxmlformats.org/officeDocument/2006/relationships/hyperlink" Target="https://techcombank.com/thong-tin/blog/doi-tien-do-o-dau" TargetMode="External"/><Relationship Id="rId418" Type="http://schemas.openxmlformats.org/officeDocument/2006/relationships/hyperlink" Target="https://techcombank.com/thong-tin/blog/remittance-la-gi" TargetMode="External"/><Relationship Id="rId417" Type="http://schemas.openxmlformats.org/officeDocument/2006/relationships/hyperlink" Target="https://techcombank.com/thong-tin/blog/cach-nhan-tien-tu-nuoc-ngoai-ve-viet-nam" TargetMode="External"/><Relationship Id="rId416" Type="http://schemas.openxmlformats.org/officeDocument/2006/relationships/hyperlink" Target="https://techcombank.com/thong-tin/blog/chuyen-tien-tu-my-ve-viet-nam" TargetMode="External"/><Relationship Id="rId411" Type="http://schemas.openxmlformats.org/officeDocument/2006/relationships/hyperlink" Target="https://techcombank.com/thong-tin/blog/cach-nhan-tien-tu-nuoc-ngoai-ve-viet-nam" TargetMode="External"/><Relationship Id="rId410" Type="http://schemas.openxmlformats.org/officeDocument/2006/relationships/hyperlink" Target="https://techcombank.com/thong-tin/blog/kieu-hoi-la-gi" TargetMode="External"/><Relationship Id="rId448" Type="http://schemas.openxmlformats.org/officeDocument/2006/relationships/hyperlink" Target="https://techcombank.com/thong-tin/blog/ho-kinh-doanh-la-gi" TargetMode="External"/><Relationship Id="rId447" Type="http://schemas.openxmlformats.org/officeDocument/2006/relationships/hyperlink" Target="https://techcombank.com/thong-tin/blog/ho-kinh-doanh-dong-thue-nhu-nao" TargetMode="External"/><Relationship Id="rId446" Type="http://schemas.openxmlformats.org/officeDocument/2006/relationships/hyperlink" Target="https://techcombank.com/thong-tin/blog/tich-diem-doi-qua" TargetMode="External"/><Relationship Id="rId445" Type="http://schemas.openxmlformats.org/officeDocument/2006/relationships/hyperlink" Target="https://techcombank.com/thong-tin/blog/traveloka-voucher" TargetMode="External"/><Relationship Id="rId449" Type="http://schemas.openxmlformats.org/officeDocument/2006/relationships/hyperlink" Target="https://techcombank.com/thong-tin/blog/ho-kinh-doanh-dong-thue-nhu-nao" TargetMode="External"/><Relationship Id="rId440" Type="http://schemas.openxmlformats.org/officeDocument/2006/relationships/hyperlink" Target="https://techcombank.com/thong-tin/blog/dat-ve-may-bay" TargetMode="External"/><Relationship Id="rId444" Type="http://schemas.openxmlformats.org/officeDocument/2006/relationships/hyperlink" Target="https://techcombank.com/thong-tin/blog/techcombank-oneu" TargetMode="External"/><Relationship Id="rId443" Type="http://schemas.openxmlformats.org/officeDocument/2006/relationships/hyperlink" Target="https://techcombank.com/thong-tin/blog/traveloka-voucher" TargetMode="External"/><Relationship Id="rId442" Type="http://schemas.openxmlformats.org/officeDocument/2006/relationships/hyperlink" Target="https://techcombank.com/thong-tin/blog/mua-ve-may-bay-gia-re" TargetMode="External"/><Relationship Id="rId441" Type="http://schemas.openxmlformats.org/officeDocument/2006/relationships/hyperlink" Target="https://techcombank.com/thong-tin/blog/traveloka-voucher" TargetMode="External"/><Relationship Id="rId437" Type="http://schemas.openxmlformats.org/officeDocument/2006/relationships/hyperlink" Target="https://techcombank.com/thong-tin/blog/vay-ngan-hang-1-ty-moi-thang-tra-bao-nhieu" TargetMode="External"/><Relationship Id="rId436" Type="http://schemas.openxmlformats.org/officeDocument/2006/relationships/hyperlink" Target="https://techcombank.com/thong-tin/blog/vay-mua-chung-cu" TargetMode="External"/><Relationship Id="rId435" Type="http://schemas.openxmlformats.org/officeDocument/2006/relationships/hyperlink" Target="https://techcombank.com/thong-tin/blog/vay-ngan-hang-1-ty-moi-thang-tra-bao-nhieu" TargetMode="External"/><Relationship Id="rId434" Type="http://schemas.openxmlformats.org/officeDocument/2006/relationships/hyperlink" Target="https://techcombank.com/thong-tin/blog/kinh-nghiem-vay-tien-mua-nha" TargetMode="External"/><Relationship Id="rId439" Type="http://schemas.openxmlformats.org/officeDocument/2006/relationships/hyperlink" Target="https://techcombank.com/thong-tin/blog/traveloka-voucher" TargetMode="External"/><Relationship Id="rId438" Type="http://schemas.openxmlformats.org/officeDocument/2006/relationships/hyperlink" Target="https://techcombank.com/thong-tin/blog/lai-suat-vay-the-chap" TargetMode="External"/><Relationship Id="rId433" Type="http://schemas.openxmlformats.org/officeDocument/2006/relationships/hyperlink" Target="https://techcombank.com/thong-tin/blog/vay-ngan-hang-1-ty-moi-thang-tra-bao-nhieu" TargetMode="External"/><Relationship Id="rId432" Type="http://schemas.openxmlformats.org/officeDocument/2006/relationships/hyperlink" Target="https://techcombank.com/thong-tin/blog/thu-tuc-vay-ngan-hang-mua-nha" TargetMode="External"/><Relationship Id="rId431" Type="http://schemas.openxmlformats.org/officeDocument/2006/relationships/hyperlink" Target="https://techcombank.com/thong-tin/blog/vay-ngan-hang-1-ty-moi-thang-tra-bao-nhieu" TargetMode="External"/><Relationship Id="rId430" Type="http://schemas.openxmlformats.org/officeDocument/2006/relationships/hyperlink" Target="https://techcombank.com/thong-tin/blog/co-nen-vay-ngan-hang-mua-nh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38"/>
    <col customWidth="1" min="2" max="2" width="90.13"/>
  </cols>
  <sheetData>
    <row r="1">
      <c r="A1" s="1" t="s">
        <v>0</v>
      </c>
    </row>
    <row r="2">
      <c r="A2" s="2" t="s">
        <v>2</v>
      </c>
      <c r="B2" s="2" t="s">
        <v>4</v>
      </c>
    </row>
    <row r="3">
      <c r="A3" s="3" t="s">
        <v>6</v>
      </c>
      <c r="B3" s="4" t="s">
        <v>9</v>
      </c>
    </row>
    <row r="4">
      <c r="A4" s="3" t="s">
        <v>12</v>
      </c>
      <c r="B4" s="4" t="s">
        <v>14</v>
      </c>
    </row>
    <row r="5">
      <c r="A5" s="3" t="s">
        <v>16</v>
      </c>
      <c r="B5" s="4" t="s">
        <v>18</v>
      </c>
    </row>
    <row r="6">
      <c r="A6" s="3" t="s">
        <v>19</v>
      </c>
      <c r="B6" s="4" t="s">
        <v>21</v>
      </c>
    </row>
    <row r="7">
      <c r="A7" s="3" t="s">
        <v>22</v>
      </c>
      <c r="B7" s="4" t="s">
        <v>23</v>
      </c>
    </row>
    <row r="8">
      <c r="A8" s="3" t="s">
        <v>24</v>
      </c>
      <c r="B8" s="4" t="s">
        <v>25</v>
      </c>
    </row>
    <row r="9">
      <c r="A9" s="6"/>
      <c r="B9" s="6"/>
    </row>
  </sheetData>
  <mergeCells count="1">
    <mergeCell ref="A1:B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75"/>
    <col customWidth="1" min="2" max="2" width="15.13"/>
    <col customWidth="1" min="3" max="3" width="26.38"/>
    <col customWidth="1" min="4" max="4" width="32.63"/>
    <col customWidth="1" min="5" max="14" width="23.88"/>
    <col customWidth="1" min="15" max="15" width="8.88"/>
    <col customWidth="1" min="16" max="16" width="17.63"/>
    <col customWidth="1" min="17" max="17" width="11.38"/>
    <col customWidth="1" min="18" max="18" width="41.38"/>
  </cols>
  <sheetData>
    <row r="1" ht="33.0" customHeight="1">
      <c r="A1" s="2" t="s">
        <v>1</v>
      </c>
      <c r="B1" s="2" t="s">
        <v>5</v>
      </c>
      <c r="C1" s="2" t="s">
        <v>27</v>
      </c>
      <c r="D1" s="2" t="s">
        <v>29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  <c r="M1" s="2" t="s">
        <v>39</v>
      </c>
      <c r="N1" s="2" t="s">
        <v>41</v>
      </c>
      <c r="O1" s="2" t="s">
        <v>42</v>
      </c>
      <c r="P1" s="2" t="s">
        <v>43</v>
      </c>
      <c r="Q1" s="2" t="s">
        <v>44</v>
      </c>
      <c r="R1" s="2" t="s">
        <v>45</v>
      </c>
    </row>
    <row r="2" ht="18.0" customHeight="1">
      <c r="A2" s="11">
        <f t="shared" ref="A2:A76" si="1">ROW()-1</f>
        <v>1</v>
      </c>
      <c r="B2" s="17" t="str">
        <f t="array" ref="B2">INDEX('Báo cáo 75 trang đích'!$C$2:$C$76,$A2)</f>
        <v>Auto Loan</v>
      </c>
      <c r="C2" s="18" t="s">
        <v>54</v>
      </c>
      <c r="D2" s="17" t="str">
        <f t="array" ref="D2">INDEX('Báo cáo 75 trang đích'!$B$2:$B$76,$A2)</f>
        <v>https://techcombank.com/thong-tin/blog/lai-suat-vay-mua-o-to</v>
      </c>
      <c r="E2" s="19" t="str">
        <f>IFERROR(__xludf.DUMMYFUNCTION("IFERROR(INDEX(FILTER('Chi tiết từng link'!$E$2:$E$2505,'Chi tiết từng link'!$B$2:$B$2505=$D2,'Chi tiết từng link'!$F$2:$F$2505&lt;&gt;""CẦN SOÁT""),1),"""")"),"lãi suất vay mua ô tô")</f>
        <v>lãi suất vay mua ô tô</v>
      </c>
      <c r="F2" s="17" t="str">
        <f>IFERROR(__xludf.DUMMYFUNCTION("IFERROR(INDEX(FILTER('Chi tiết từng link'!$D$2:$D$2505,'Chi tiết từng link'!$B$2:$B$2505=$D2,'Chi tiết từng link'!$F$2:$F$2505&lt;&gt;""CẦN SOÁT""),1),"""")"),"https://techcombank.com/thong-tin/blog/vay-mua-xe-tra-gop-ngan-hang-nao-tot-nhat")</f>
        <v>https://techcombank.com/thong-tin/blog/vay-mua-xe-tra-gop-ngan-hang-nao-tot-nhat</v>
      </c>
      <c r="G2" s="19" t="str">
        <f>IFERROR(__xludf.DUMMYFUNCTION("IFERROR(INDEX(FILTER('Chi tiết từng link'!$E$2:$E$2505,'Chi tiết từng link'!$B$2:$B$2505=$D2,'Chi tiết từng link'!$F$2:$F$2505&lt;&gt;""CẦN SOÁT""),2),"""")"),"lãi suất vay mua xe ô tô")</f>
        <v>lãi suất vay mua xe ô tô</v>
      </c>
      <c r="H2" s="17" t="str">
        <f>IFERROR(__xludf.DUMMYFUNCTION("IFERROR(INDEX(FILTER('Chi tiết từng link'!$D$2:$D$2505,'Chi tiết từng link'!$B$2:$B$2505=$D2,'Chi tiết từng link'!$F$2:$F$2505&lt;&gt;""CẦN SOÁT""),2),"""")"),"https://techcombank.com/thong-tin/blog/co-nen-mua-o-to-tra-gop")</f>
        <v>https://techcombank.com/thong-tin/blog/co-nen-mua-o-to-tra-gop</v>
      </c>
      <c r="I2" s="19" t="str">
        <f>IFERROR(__xludf.DUMMYFUNCTION("IFERROR(INDEX(FILTER('Chi tiết từng link'!$E$2:$E$2505,'Chi tiết từng link'!$B$2:$B$2505=$D2,'Chi tiết từng link'!$F$2:$F$2505&lt;&gt;""CẦN SOÁT""),3),"""")"),"lãi suất vay mua ô tô các ngân hàng")</f>
        <v>lãi suất vay mua ô tô các ngân hàng</v>
      </c>
      <c r="J2" s="17" t="str">
        <f>IFERROR(__xludf.DUMMYFUNCTION("IFERROR(INDEX(FILTER('Chi tiết từng link'!$D$2:$D$2505,'Chi tiết từng link'!$B$2:$B$2505=$D2,'Chi tiết từng link'!$F$2:$F$2505&lt;&gt;""CẦN SOÁT""),3),"""")"),"https://techcombank.com/thong-tin/blog/thu-tuc-mua-xe-tra-gop")</f>
        <v>https://techcombank.com/thong-tin/blog/thu-tuc-mua-xe-tra-gop</v>
      </c>
      <c r="K2" s="19" t="str">
        <f>IFERROR(__xludf.DUMMYFUNCTION("IFERROR(INDEX(FILTER('Chi tiết từng link'!$E$2:$E$2505,'Chi tiết từng link'!$B$2:$B$2505=$D2,'Chi tiết từng link'!$F$2:$F$2505&lt;&gt;""CẦN SOÁT""),4),"""")"),"mua xe trả góp lãi suất bao nhiêu")</f>
        <v>mua xe trả góp lãi suất bao nhiêu</v>
      </c>
      <c r="L2" s="17" t="str">
        <f>IFERROR(__xludf.DUMMYFUNCTION("IFERROR(INDEX(FILTER('Chi tiết từng link'!$D$2:$D$2505,'Chi tiết từng link'!$B$2:$B$2505=$D2,'Chi tiết từng link'!$F$2:$F$2505&lt;&gt;""CẦN SOÁT""),4),"""")"),"https://techcombank.com/thong-tin/blog/nen-mua-xe-tra-gop-hay-tra-thang")</f>
        <v>https://techcombank.com/thong-tin/blog/nen-mua-xe-tra-gop-hay-tra-thang</v>
      </c>
      <c r="M2" s="19" t="str">
        <f>IFERROR(__xludf.DUMMYFUNCTION("IFERROR(INDEX(FILTER('Chi tiết từng link'!$E$2:$E$2505,'Chi tiết từng link'!$B$2:$B$2505=$D2,'Chi tiết từng link'!$F$2:$F$2505&lt;&gt;""CẦN SOÁT""),5),"""")"),"lãi suất vay mua ô tô")</f>
        <v>lãi suất vay mua ô tô</v>
      </c>
      <c r="N2" s="17" t="str">
        <f>IFERROR(__xludf.DUMMYFUNCTION("IFERROR(INDEX(FILTER('Chi tiết từng link'!$D$2:$D$2505,'Chi tiết từng link'!$B$2:$B$2505=$D2,'Chi tiết từng link'!$F$2:$F$2505&lt;&gt;""CẦN SOÁT""),5),"""")"),"https://techcombank.com/thong-tin/blog/vay-the-chap-xe-o-to-cu")</f>
        <v>https://techcombank.com/thong-tin/blog/vay-the-chap-xe-o-to-cu</v>
      </c>
      <c r="O2" s="11">
        <f>COUNTIFS('Chi tiết từng link'!$B$2:$B$2505,$D2,'Chi tiết từng link'!$F$2:$F$2505,"&lt;&gt;CẦN SOÁT")</f>
        <v>5</v>
      </c>
      <c r="P2" s="23" t="s">
        <v>65</v>
      </c>
      <c r="Q2" s="23" t="b">
        <v>0</v>
      </c>
      <c r="R2" s="17" t="str">
        <f>IF(COUNTIFS('Chi tiết từng link'!$B$2:$B$2505,$D2,'Chi tiết từng link'!$F$2:$F$2505,"CẦN SOÁT")&gt;0,"Còn "&amp;COUNTIFS('Chi tiết từng link'!$B$2:$B$2505,$D2,'Chi tiết từng link'!$F$2:$F$2505,"CẦN SOÁT")&amp;" gợi ý cần soát ở tab Chi tiết từng link","")</f>
        <v>Còn 2 gợi ý cần soát ở tab Chi tiết từng link</v>
      </c>
    </row>
    <row r="3" ht="18.0" customHeight="1">
      <c r="A3" s="11">
        <f t="shared" si="1"/>
        <v>2</v>
      </c>
      <c r="B3" s="17" t="str">
        <f t="array" ref="B3">INDEX('Báo cáo 75 trang đích'!$C$2:$C$76,$A3)</f>
        <v>Business Account</v>
      </c>
      <c r="C3" s="18" t="s">
        <v>70</v>
      </c>
      <c r="D3" s="17" t="str">
        <f t="array" ref="D3">INDEX('Báo cáo 75 trang đích'!$B$2:$B$76,$A3)</f>
        <v>https://techcombank.com/thong-tin/blog/nop-thue-dat-qua-ngan-hang</v>
      </c>
      <c r="E3" s="19" t="str">
        <f>IFERROR(__xludf.DUMMYFUNCTION("IFERROR(INDEX(FILTER('Chi tiết từng link'!$E$2:$E$2505,'Chi tiết từng link'!$B$2:$B$2505=$D3,'Chi tiết từng link'!$F$2:$F$2505&lt;&gt;""CẦN SOÁT""),1),"""")"),"nộp thuế đất qua ngân hàng")</f>
        <v>nộp thuế đất qua ngân hàng</v>
      </c>
      <c r="F3" s="17" t="str">
        <f>IFERROR(__xludf.DUMMYFUNCTION("IFERROR(INDEX(FILTER('Chi tiết từng link'!$D$2:$D$2505,'Chi tiết từng link'!$B$2:$B$2505=$D3,'Chi tiết từng link'!$F$2:$F$2505&lt;&gt;""CẦN SOÁT""),1),"""")"),"https://techcombank.com/thong-tin/blog/lien-ket-tai-khoan-ngan-hang-voi-etax-mobile")</f>
        <v>https://techcombank.com/thong-tin/blog/lien-ket-tai-khoan-ngan-hang-voi-etax-mobile</v>
      </c>
      <c r="G3" s="19" t="str">
        <f>IFERROR(__xludf.DUMMYFUNCTION("IFERROR(INDEX(FILTER('Chi tiết từng link'!$E$2:$E$2505,'Chi tiết từng link'!$B$2:$B$2505=$D3,'Chi tiết từng link'!$F$2:$F$2505&lt;&gt;""CẦN SOÁT""),2),"""")"),"cách nộp thuế đất online")</f>
        <v>cách nộp thuế đất online</v>
      </c>
      <c r="H3" s="17" t="str">
        <f>IFERROR(__xludf.DUMMYFUNCTION("IFERROR(INDEX(FILTER('Chi tiết từng link'!$D$2:$D$2505,'Chi tiết từng link'!$B$2:$B$2505=$D3,'Chi tiết từng link'!$F$2:$F$2505&lt;&gt;""CẦN SOÁT""),2),"""")"),"https://techcombank.com/thong-tin/blog/cach-nop-thue-dien-tu")</f>
        <v>https://techcombank.com/thong-tin/blog/cach-nop-thue-dien-tu</v>
      </c>
      <c r="I3" s="19" t="str">
        <f>IFERROR(__xludf.DUMMYFUNCTION("IFERROR(INDEX(FILTER('Chi tiết từng link'!$E$2:$E$2505,'Chi tiết từng link'!$B$2:$B$2505=$D3,'Chi tiết từng link'!$F$2:$F$2505&lt;&gt;""CẦN SOÁT""),3),"""")"),"đóng thuế đất qua ngân hàng")</f>
        <v>đóng thuế đất qua ngân hàng</v>
      </c>
      <c r="J3" s="17" t="str">
        <f>IFERROR(__xludf.DUMMYFUNCTION("IFERROR(INDEX(FILTER('Chi tiết từng link'!$D$2:$D$2505,'Chi tiết từng link'!$B$2:$B$2505=$D3,'Chi tiết từng link'!$F$2:$F$2505&lt;&gt;""CẦN SOÁT""),3),"""")"),"https://techcombank.com/thong-tin/blog/ho-so-thu-tuc-xoa-the-chap")</f>
        <v>https://techcombank.com/thong-tin/blog/ho-so-thu-tuc-xoa-the-chap</v>
      </c>
      <c r="K3" s="19" t="str">
        <f>IFERROR(__xludf.DUMMYFUNCTION("IFERROR(INDEX(FILTER('Chi tiết từng link'!$E$2:$E$2505,'Chi tiết từng link'!$B$2:$B$2505=$D3,'Chi tiết từng link'!$F$2:$F$2505&lt;&gt;""CẦN SOÁT""),4),"""")"),"")</f>
        <v/>
      </c>
      <c r="L3" s="17" t="str">
        <f>IFERROR(__xludf.DUMMYFUNCTION("IFERROR(INDEX(FILTER('Chi tiết từng link'!$D$2:$D$2505,'Chi tiết từng link'!$B$2:$B$2505=$D3,'Chi tiết từng link'!$F$2:$F$2505&lt;&gt;""CẦN SOÁT""),4),"""")"),"")</f>
        <v/>
      </c>
      <c r="M3" s="19" t="str">
        <f>IFERROR(__xludf.DUMMYFUNCTION("IFERROR(INDEX(FILTER('Chi tiết từng link'!$E$2:$E$2505,'Chi tiết từng link'!$B$2:$B$2505=$D3,'Chi tiết từng link'!$F$2:$F$2505&lt;&gt;""CẦN SOÁT""),5),"""")"),"")</f>
        <v/>
      </c>
      <c r="N3" s="17" t="str">
        <f>IFERROR(__xludf.DUMMYFUNCTION("IFERROR(INDEX(FILTER('Chi tiết từng link'!$D$2:$D$2505,'Chi tiết từng link'!$B$2:$B$2505=$D3,'Chi tiết từng link'!$F$2:$F$2505&lt;&gt;""CẦN SOÁT""),5),"""")"),"")</f>
        <v/>
      </c>
      <c r="O3" s="11">
        <f>COUNTIFS('Chi tiết từng link'!$B$2:$B$2505,$D3,'Chi tiết từng link'!$F$2:$F$2505,"&lt;&gt;CẦN SOÁT")</f>
        <v>3</v>
      </c>
      <c r="P3" s="23" t="s">
        <v>65</v>
      </c>
      <c r="Q3" s="23" t="b">
        <v>0</v>
      </c>
      <c r="R3" s="17" t="str">
        <f>IF(COUNTIFS('Chi tiết từng link'!$B$2:$B$2505,$D3,'Chi tiết từng link'!$F$2:$F$2505,"CẦN SOÁT")&gt;0,"Còn "&amp;COUNTIFS('Chi tiết từng link'!$B$2:$B$2505,$D3,'Chi tiết từng link'!$F$2:$F$2505,"CẦN SOÁT")&amp;" gợi ý cần soát ở tab Chi tiết từng link","")</f>
        <v>Còn 18 gợi ý cần soát ở tab Chi tiết từng link</v>
      </c>
    </row>
    <row r="4" ht="18.0" customHeight="1">
      <c r="A4" s="11">
        <f t="shared" si="1"/>
        <v>3</v>
      </c>
      <c r="B4" s="17" t="str">
        <f t="array" ref="B4">INDEX('Báo cáo 75 trang đích'!$C$2:$C$76,$A4)</f>
        <v>Business Account</v>
      </c>
      <c r="C4" s="18" t="s">
        <v>78</v>
      </c>
      <c r="D4" s="17" t="str">
        <f t="array" ref="D4">INDEX('Báo cáo 75 trang đích'!$B$2:$B$76,$A4)</f>
        <v>https://techcombank.com/thong-tin/blog/cach-nop-thue-dien-tu</v>
      </c>
      <c r="E4" s="19" t="str">
        <f>IFERROR(__xludf.DUMMYFUNCTION("IFERROR(INDEX(FILTER('Chi tiết từng link'!$E$2:$E$2505,'Chi tiết từng link'!$B$2:$B$2505=$D4,'Chi tiết từng link'!$F$2:$F$2505&lt;&gt;""CẦN SOÁT""),1),"""")"),"cách nộp thuế điện tử")</f>
        <v>cách nộp thuế điện tử</v>
      </c>
      <c r="F4" s="17" t="str">
        <f>IFERROR(__xludf.DUMMYFUNCTION("IFERROR(INDEX(FILTER('Chi tiết từng link'!$D$2:$D$2505,'Chi tiết từng link'!$B$2:$B$2505=$D4,'Chi tiết từng link'!$F$2:$F$2505&lt;&gt;""CẦN SOÁT""),1),"""")"),"https://techcombank.com/thong-tin/blog/lien-ket-tai-khoan-ngan-hang-voi-etax-mobile")</f>
        <v>https://techcombank.com/thong-tin/blog/lien-ket-tai-khoan-ngan-hang-voi-etax-mobile</v>
      </c>
      <c r="G4" s="19" t="str">
        <f>IFERROR(__xludf.DUMMYFUNCTION("IFERROR(INDEX(FILTER('Chi tiết từng link'!$E$2:$E$2505,'Chi tiết từng link'!$B$2:$B$2505=$D4,'Chi tiết từng link'!$F$2:$F$2505&lt;&gt;""CẦN SOÁT""),2),"""")"),"nộp thuế điện tử")</f>
        <v>nộp thuế điện tử</v>
      </c>
      <c r="H4" s="17" t="str">
        <f>IFERROR(__xludf.DUMMYFUNCTION("IFERROR(INDEX(FILTER('Chi tiết từng link'!$D$2:$D$2505,'Chi tiết từng link'!$B$2:$B$2505=$D4,'Chi tiết từng link'!$F$2:$F$2505&lt;&gt;""CẦN SOÁT""),2),"""")"),"https://techcombank.com/thong-tin/blog/quyet-toan-thue-thu-nhap-ca-nhan")</f>
        <v>https://techcombank.com/thong-tin/blog/quyet-toan-thue-thu-nhap-ca-nhan</v>
      </c>
      <c r="I4" s="19" t="str">
        <f>IFERROR(__xludf.DUMMYFUNCTION("IFERROR(INDEX(FILTER('Chi tiết từng link'!$E$2:$E$2505,'Chi tiết từng link'!$B$2:$B$2505=$D4,'Chi tiết từng link'!$F$2:$F$2505&lt;&gt;""CẦN SOÁT""),3),"""")"),"hướng dẫn nộp thuế điện tử")</f>
        <v>hướng dẫn nộp thuế điện tử</v>
      </c>
      <c r="J4" s="17" t="str">
        <f>IFERROR(__xludf.DUMMYFUNCTION("IFERROR(INDEX(FILTER('Chi tiết từng link'!$D$2:$D$2505,'Chi tiết từng link'!$B$2:$B$2505=$D4,'Chi tiết từng link'!$F$2:$F$2505&lt;&gt;""CẦN SOÁT""),3),"""")"),"https://techcombank.com/thong-tin/blog/ke-khai-thue-ho-kinh-doanh-ca-the-online")</f>
        <v>https://techcombank.com/thong-tin/blog/ke-khai-thue-ho-kinh-doanh-ca-the-online</v>
      </c>
      <c r="K4" s="19" t="str">
        <f>IFERROR(__xludf.DUMMYFUNCTION("IFERROR(INDEX(FILTER('Chi tiết từng link'!$E$2:$E$2505,'Chi tiết từng link'!$B$2:$B$2505=$D4,'Chi tiết từng link'!$F$2:$F$2505&lt;&gt;""CẦN SOÁT""),4),"""")"),"cách nộp thuế điện tử")</f>
        <v>cách nộp thuế điện tử</v>
      </c>
      <c r="L4" s="17" t="str">
        <f>IFERROR(__xludf.DUMMYFUNCTION("IFERROR(INDEX(FILTER('Chi tiết từng link'!$D$2:$D$2505,'Chi tiết từng link'!$B$2:$B$2505=$D4,'Chi tiết từng link'!$F$2:$F$2505&lt;&gt;""CẦN SOÁT""),4),"""")"),"https://techcombank.com/thong-tin/blog/hoan-thue-thu-nhap-ca-nhan")</f>
        <v>https://techcombank.com/thong-tin/blog/hoan-thue-thu-nhap-ca-nhan</v>
      </c>
      <c r="M4" s="19" t="str">
        <f>IFERROR(__xludf.DUMMYFUNCTION("IFERROR(INDEX(FILTER('Chi tiết từng link'!$E$2:$E$2505,'Chi tiết từng link'!$B$2:$B$2505=$D4,'Chi tiết từng link'!$F$2:$F$2505&lt;&gt;""CẦN SOÁT""),5),"""")"),"nộp thuế điện tử")</f>
        <v>nộp thuế điện tử</v>
      </c>
      <c r="N4" s="17" t="str">
        <f>IFERROR(__xludf.DUMMYFUNCTION("IFERROR(INDEX(FILTER('Chi tiết từng link'!$D$2:$D$2505,'Chi tiết từng link'!$B$2:$B$2505=$D4,'Chi tiết từng link'!$F$2:$F$2505&lt;&gt;""CẦN SOÁT""),5),"""")"),"https://techcombank.com/thong-tin/blog/nop-thue-hai-quan")</f>
        <v>https://techcombank.com/thong-tin/blog/nop-thue-hai-quan</v>
      </c>
      <c r="O4" s="11">
        <f>COUNTIFS('Chi tiết từng link'!$B$2:$B$2505,$D4,'Chi tiết từng link'!$F$2:$F$2505,"&lt;&gt;CẦN SOÁT")</f>
        <v>5</v>
      </c>
      <c r="P4" s="23" t="s">
        <v>65</v>
      </c>
      <c r="Q4" s="23" t="b">
        <v>0</v>
      </c>
      <c r="R4" s="17" t="str">
        <f>IF(COUNTIFS('Chi tiết từng link'!$B$2:$B$2505,$D4,'Chi tiết từng link'!$F$2:$F$2505,"CẦN SOÁT")&gt;0,"Còn "&amp;COUNTIFS('Chi tiết từng link'!$B$2:$B$2505,$D4,'Chi tiết từng link'!$F$2:$F$2505,"CẦN SOÁT")&amp;" gợi ý cần soát ở tab Chi tiết từng link","")</f>
        <v>Còn 17 gợi ý cần soát ở tab Chi tiết từng link</v>
      </c>
    </row>
    <row r="5" ht="18.0" customHeight="1">
      <c r="A5" s="11">
        <f t="shared" si="1"/>
        <v>4</v>
      </c>
      <c r="B5" s="17" t="str">
        <f t="array" ref="B5">INDEX('Báo cáo 75 trang đích'!$C$2:$C$76,$A5)</f>
        <v>Business Account</v>
      </c>
      <c r="C5" s="18" t="s">
        <v>84</v>
      </c>
      <c r="D5" s="17" t="str">
        <f t="array" ref="D5">INDEX('Báo cáo 75 trang đích'!$B$2:$B$76,$A5)</f>
        <v>https://techcombank.com/thong-tin/blog/thue-thu-nhap-doanh-nghiep</v>
      </c>
      <c r="E5" s="19" t="str">
        <f>IFERROR(__xludf.DUMMYFUNCTION("IFERROR(INDEX(FILTER('Chi tiết từng link'!$E$2:$E$2505,'Chi tiết từng link'!$B$2:$B$2505=$D5,'Chi tiết từng link'!$F$2:$F$2505&lt;&gt;""CẦN SOÁT""),1),"""")"),"thuế thu nhập doanh nghiệp")</f>
        <v>thuế thu nhập doanh nghiệp</v>
      </c>
      <c r="F5" s="17" t="str">
        <f>IFERROR(__xludf.DUMMYFUNCTION("IFERROR(INDEX(FILTER('Chi tiết từng link'!$D$2:$D$2505,'Chi tiết từng link'!$B$2:$B$2505=$D5,'Chi tiết từng link'!$F$2:$F$2505&lt;&gt;""CẦN SOÁT""),1),"""")"),"https://techcombank.com/thong-tin/blog/nhung-chi-phi-khong-duoc-tru-khi-tinh-thue-tndn")</f>
        <v>https://techcombank.com/thong-tin/blog/nhung-chi-phi-khong-duoc-tru-khi-tinh-thue-tndn</v>
      </c>
      <c r="G5" s="19" t="str">
        <f>IFERROR(__xludf.DUMMYFUNCTION("IFERROR(INDEX(FILTER('Chi tiết từng link'!$E$2:$E$2505,'Chi tiết từng link'!$B$2:$B$2505=$D5,'Chi tiết từng link'!$F$2:$F$2505&lt;&gt;""CẦN SOÁT""),2),"""")"),"thuế TNDN")</f>
        <v>thuế TNDN</v>
      </c>
      <c r="H5" s="17" t="str">
        <f>IFERROR(__xludf.DUMMYFUNCTION("IFERROR(INDEX(FILTER('Chi tiết từng link'!$D$2:$D$2505,'Chi tiết từng link'!$B$2:$B$2505=$D5,'Chi tiết từng link'!$F$2:$F$2505&lt;&gt;""CẦN SOÁT""),2),"""")"),"https://techcombank.com/thong-tin/blog/quyet-toan-thue-doanh-nghiep")</f>
        <v>https://techcombank.com/thong-tin/blog/quyet-toan-thue-doanh-nghiep</v>
      </c>
      <c r="I5" s="19" t="str">
        <f>IFERROR(__xludf.DUMMYFUNCTION("IFERROR(INDEX(FILTER('Chi tiết từng link'!$E$2:$E$2505,'Chi tiết từng link'!$B$2:$B$2505=$D5,'Chi tiết từng link'!$F$2:$F$2505&lt;&gt;""CẦN SOÁT""),3),"""")"),"thuế suất thuế TNDN")</f>
        <v>thuế suất thuế TNDN</v>
      </c>
      <c r="J5" s="17" t="str">
        <f>IFERROR(__xludf.DUMMYFUNCTION("IFERROR(INDEX(FILTER('Chi tiết từng link'!$D$2:$D$2505,'Chi tiết từng link'!$B$2:$B$2505=$D5,'Chi tiết từng link'!$F$2:$F$2505&lt;&gt;""CẦN SOÁT""),3),"""")"),"https://techcombank.com/thong-tin/blog/doanh-nghiep-moi-thanh-lap-duoc-uu-dai-gi")</f>
        <v>https://techcombank.com/thong-tin/blog/doanh-nghiep-moi-thanh-lap-duoc-uu-dai-gi</v>
      </c>
      <c r="K5" s="19" t="str">
        <f>IFERROR(__xludf.DUMMYFUNCTION("IFERROR(INDEX(FILTER('Chi tiết từng link'!$E$2:$E$2505,'Chi tiết từng link'!$B$2:$B$2505=$D5,'Chi tiết từng link'!$F$2:$F$2505&lt;&gt;""CẦN SOÁT""),4),"""")"),"thuế thu nhập doanh nghiệp")</f>
        <v>thuế thu nhập doanh nghiệp</v>
      </c>
      <c r="L5" s="17" t="str">
        <f>IFERROR(__xludf.DUMMYFUNCTION("IFERROR(INDEX(FILTER('Chi tiết từng link'!$D$2:$D$2505,'Chi tiết từng link'!$B$2:$B$2505=$D5,'Chi tiết từng link'!$F$2:$F$2505&lt;&gt;""CẦN SOÁT""),4),"""")"),"https://techcombank.com/thong-tin/blog/loi-nhuan")</f>
        <v>https://techcombank.com/thong-tin/blog/loi-nhuan</v>
      </c>
      <c r="M5" s="19" t="str">
        <f>IFERROR(__xludf.DUMMYFUNCTION("IFERROR(INDEX(FILTER('Chi tiết từng link'!$E$2:$E$2505,'Chi tiết từng link'!$B$2:$B$2505=$D5,'Chi tiết từng link'!$F$2:$F$2505&lt;&gt;""CẦN SOÁT""),5),"""")"),"thuế TNDN")</f>
        <v>thuế TNDN</v>
      </c>
      <c r="N5" s="17" t="str">
        <f>IFERROR(__xludf.DUMMYFUNCTION("IFERROR(INDEX(FILTER('Chi tiết từng link'!$D$2:$D$2505,'Chi tiết từng link'!$B$2:$B$2505=$D5,'Chi tiết từng link'!$F$2:$F$2505&lt;&gt;""CẦN SOÁT""),5),"""")"),"https://techcombank.com/thong-tin/blog/hoan-thue-doanh-nghiep")</f>
        <v>https://techcombank.com/thong-tin/blog/hoan-thue-doanh-nghiep</v>
      </c>
      <c r="O5" s="11">
        <f>COUNTIFS('Chi tiết từng link'!$B$2:$B$2505,$D5,'Chi tiết từng link'!$F$2:$F$2505,"&lt;&gt;CẦN SOÁT")</f>
        <v>5</v>
      </c>
      <c r="P5" s="23" t="s">
        <v>65</v>
      </c>
      <c r="Q5" s="23" t="b">
        <v>0</v>
      </c>
      <c r="R5" s="17" t="str">
        <f>IF(COUNTIFS('Chi tiết từng link'!$B$2:$B$2505,$D5,'Chi tiết từng link'!$F$2:$F$2505,"CẦN SOÁT")&gt;0,"Còn "&amp;COUNTIFS('Chi tiết từng link'!$B$2:$B$2505,$D5,'Chi tiết từng link'!$F$2:$F$2505,"CẦN SOÁT")&amp;" gợi ý cần soát ở tab Chi tiết từng link","")</f>
        <v>Còn 23 gợi ý cần soát ở tab Chi tiết từng link</v>
      </c>
    </row>
    <row r="6" ht="18.0" customHeight="1">
      <c r="A6" s="11">
        <f t="shared" si="1"/>
        <v>5</v>
      </c>
      <c r="B6" s="17" t="str">
        <f t="array" ref="B6">INDEX('Báo cáo 75 trang đích'!$C$2:$C$76,$A6)</f>
        <v>Business Account</v>
      </c>
      <c r="C6" s="18" t="s">
        <v>91</v>
      </c>
      <c r="D6" s="17" t="str">
        <f t="array" ref="D6">INDEX('Báo cáo 75 trang đích'!$B$2:$B$76,$A6)</f>
        <v>https://techcombank.com/thong-tin/blog/thue-vat-la-gi</v>
      </c>
      <c r="E6" s="19" t="str">
        <f>IFERROR(__xludf.DUMMYFUNCTION("IFERROR(INDEX(FILTER('Chi tiết từng link'!$E$2:$E$2505,'Chi tiết từng link'!$B$2:$B$2505=$D6,'Chi tiết từng link'!$F$2:$F$2505&lt;&gt;""CẦN SOÁT""),1),"""")"),"thuế VAT")</f>
        <v>thuế VAT</v>
      </c>
      <c r="F6" s="17" t="str">
        <f>IFERROR(__xludf.DUMMYFUNCTION("IFERROR(INDEX(FILTER('Chi tiết từng link'!$D$2:$D$2505,'Chi tiết từng link'!$B$2:$B$2505=$D6,'Chi tiết từng link'!$F$2:$F$2505&lt;&gt;""CẦN SOÁT""),1),"""")"),"https://techcombank.com/thong-tin/blog/ke-khai-thue-doanh-nghiep")</f>
        <v>https://techcombank.com/thong-tin/blog/ke-khai-thue-doanh-nghiep</v>
      </c>
      <c r="G6" s="19" t="str">
        <f>IFERROR(__xludf.DUMMYFUNCTION("IFERROR(INDEX(FILTER('Chi tiết từng link'!$E$2:$E$2505,'Chi tiết từng link'!$B$2:$B$2505=$D6,'Chi tiết từng link'!$F$2:$F$2505&lt;&gt;""CẦN SOÁT""),2),"""")"),"thuế giá trị gia tăng")</f>
        <v>thuế giá trị gia tăng</v>
      </c>
      <c r="H6" s="17" t="str">
        <f>IFERROR(__xludf.DUMMYFUNCTION("IFERROR(INDEX(FILTER('Chi tiết từng link'!$D$2:$D$2505,'Chi tiết từng link'!$B$2:$B$2505=$D6,'Chi tiết từng link'!$F$2:$F$2505&lt;&gt;""CẦN SOÁT""),2),"""")"),"https://techcombank.com/thong-tin/blog/hoan-thue-doanh-nghiep")</f>
        <v>https://techcombank.com/thong-tin/blog/hoan-thue-doanh-nghiep</v>
      </c>
      <c r="I6" s="19" t="str">
        <f>IFERROR(__xludf.DUMMYFUNCTION("IFERROR(INDEX(FILTER('Chi tiết từng link'!$E$2:$E$2505,'Chi tiết từng link'!$B$2:$B$2505=$D6,'Chi tiết từng link'!$F$2:$F$2505&lt;&gt;""CẦN SOÁT""),3),"""")"),"thuế GTGT là gì")</f>
        <v>thuế GTGT là gì</v>
      </c>
      <c r="J6" s="17" t="str">
        <f>IFERROR(__xludf.DUMMYFUNCTION("IFERROR(INDEX(FILTER('Chi tiết từng link'!$D$2:$D$2505,'Chi tiết từng link'!$B$2:$B$2505=$D6,'Chi tiết từng link'!$F$2:$F$2505&lt;&gt;""CẦN SOÁT""),3),"""")"),"https://techcombank.com/thong-tin/blog/chuyen-doi-hoa-don-dien-tu")</f>
        <v>https://techcombank.com/thong-tin/blog/chuyen-doi-hoa-don-dien-tu</v>
      </c>
      <c r="K6" s="19" t="str">
        <f>IFERROR(__xludf.DUMMYFUNCTION("IFERROR(INDEX(FILTER('Chi tiết từng link'!$E$2:$E$2505,'Chi tiết từng link'!$B$2:$B$2505=$D6,'Chi tiết từng link'!$F$2:$F$2505&lt;&gt;""CẦN SOÁT""),4),"""")"),"thuế VAT")</f>
        <v>thuế VAT</v>
      </c>
      <c r="L6" s="17" t="str">
        <f>IFERROR(__xludf.DUMMYFUNCTION("IFERROR(INDEX(FILTER('Chi tiết từng link'!$D$2:$D$2505,'Chi tiết từng link'!$B$2:$B$2505=$D6,'Chi tiết từng link'!$F$2:$F$2505&lt;&gt;""CẦN SOÁT""),4),"""")"),"https://techcombank.com/thong-tin/blog/thue-thuong-mai-dien-tu")</f>
        <v>https://techcombank.com/thong-tin/blog/thue-thuong-mai-dien-tu</v>
      </c>
      <c r="M6" s="19" t="str">
        <f>IFERROR(__xludf.DUMMYFUNCTION("IFERROR(INDEX(FILTER('Chi tiết từng link'!$E$2:$E$2505,'Chi tiết từng link'!$B$2:$B$2505=$D6,'Chi tiết từng link'!$F$2:$F$2505&lt;&gt;""CẦN SOÁT""),5),"""")"),"thuế giá trị gia tăng")</f>
        <v>thuế giá trị gia tăng</v>
      </c>
      <c r="N6" s="17" t="str">
        <f>IFERROR(__xludf.DUMMYFUNCTION("IFERROR(INDEX(FILTER('Chi tiết từng link'!$D$2:$D$2505,'Chi tiết từng link'!$B$2:$B$2505=$D6,'Chi tiết từng link'!$F$2:$F$2505&lt;&gt;""CẦN SOÁT""),5),"""")"),"https://techcombank.com/thong-tin/blog/cach-tra-cuu-hoa-don-dien-tu")</f>
        <v>https://techcombank.com/thong-tin/blog/cach-tra-cuu-hoa-don-dien-tu</v>
      </c>
      <c r="O6" s="11">
        <f>COUNTIFS('Chi tiết từng link'!$B$2:$B$2505,$D6,'Chi tiết từng link'!$F$2:$F$2505,"&lt;&gt;CẦN SOÁT")</f>
        <v>5</v>
      </c>
      <c r="P6" s="23" t="s">
        <v>65</v>
      </c>
      <c r="Q6" s="23" t="b">
        <v>0</v>
      </c>
      <c r="R6" s="17" t="str">
        <f>IF(COUNTIFS('Chi tiết từng link'!$B$2:$B$2505,$D6,'Chi tiết từng link'!$F$2:$F$2505,"CẦN SOÁT")&gt;0,"Còn "&amp;COUNTIFS('Chi tiết từng link'!$B$2:$B$2505,$D6,'Chi tiết từng link'!$F$2:$F$2505,"CẦN SOÁT")&amp;" gợi ý cần soát ở tab Chi tiết từng link","")</f>
        <v>Còn 18 gợi ý cần soát ở tab Chi tiết từng link</v>
      </c>
    </row>
    <row r="7" ht="18.0" customHeight="1">
      <c r="A7" s="11">
        <f t="shared" si="1"/>
        <v>6</v>
      </c>
      <c r="B7" s="17" t="str">
        <f t="array" ref="B7">INDEX('Báo cáo 75 trang đích'!$C$2:$C$76,$A7)</f>
        <v>Business Account</v>
      </c>
      <c r="C7" s="18" t="s">
        <v>100</v>
      </c>
      <c r="D7" s="17" t="str">
        <f t="array" ref="D7">INDEX('Báo cáo 75 trang đích'!$B$2:$B$76,$A7)</f>
        <v>https://techcombank.com/thong-tin/blog/tra-cuu-no-thue-doanh-nghiep</v>
      </c>
      <c r="E7" s="19" t="str">
        <f>IFERROR(__xludf.DUMMYFUNCTION("IFERROR(INDEX(FILTER('Chi tiết từng link'!$E$2:$E$2505,'Chi tiết từng link'!$B$2:$B$2505=$D7,'Chi tiết từng link'!$F$2:$F$2505&lt;&gt;""CẦN SOÁT""),1),"""")"),"tra cứu nợ thuế doanh nghiệp")</f>
        <v>tra cứu nợ thuế doanh nghiệp</v>
      </c>
      <c r="F7" s="17" t="str">
        <f>IFERROR(__xludf.DUMMYFUNCTION("IFERROR(INDEX(FILTER('Chi tiết từng link'!$D$2:$D$2505,'Chi tiết từng link'!$B$2:$B$2505=$D7,'Chi tiết từng link'!$F$2:$F$2505&lt;&gt;""CẦN SOÁT""),1),"""")"),"https://techcombank.com/thong-tin/blog/kiem-tra-ma-so-thue-doanh-nghiep")</f>
        <v>https://techcombank.com/thong-tin/blog/kiem-tra-ma-so-thue-doanh-nghiep</v>
      </c>
      <c r="G7" s="19" t="str">
        <f>IFERROR(__xludf.DUMMYFUNCTION("IFERROR(INDEX(FILTER('Chi tiết từng link'!$E$2:$E$2505,'Chi tiết từng link'!$B$2:$B$2505=$D7,'Chi tiết từng link'!$F$2:$F$2505&lt;&gt;""CẦN SOÁT""),2),"""")"),"kiểm tra nợ thuế doanh nghiệp")</f>
        <v>kiểm tra nợ thuế doanh nghiệp</v>
      </c>
      <c r="H7" s="17" t="str">
        <f>IFERROR(__xludf.DUMMYFUNCTION("IFERROR(INDEX(FILTER('Chi tiết từng link'!$D$2:$D$2505,'Chi tiết từng link'!$B$2:$B$2505=$D7,'Chi tiết từng link'!$F$2:$F$2505&lt;&gt;""CẦN SOÁT""),2),"""")"),"https://techcombank.com/thong-tin/blog/tra-cuu-no-thue-hai-quan")</f>
        <v>https://techcombank.com/thong-tin/blog/tra-cuu-no-thue-hai-quan</v>
      </c>
      <c r="I7" s="19" t="str">
        <f>IFERROR(__xludf.DUMMYFUNCTION("IFERROR(INDEX(FILTER('Chi tiết từng link'!$E$2:$E$2505,'Chi tiết từng link'!$B$2:$B$2505=$D7,'Chi tiết từng link'!$F$2:$F$2505&lt;&gt;""CẦN SOÁT""),3),"""")"),"tra cứu nợ thuế theo mã số thuế")</f>
        <v>tra cứu nợ thuế theo mã số thuế</v>
      </c>
      <c r="J7" s="17" t="str">
        <f>IFERROR(__xludf.DUMMYFUNCTION("IFERROR(INDEX(FILTER('Chi tiết từng link'!$D$2:$D$2505,'Chi tiết từng link'!$B$2:$B$2505=$D7,'Chi tiết từng link'!$F$2:$F$2505&lt;&gt;""CẦN SOÁT""),3),"""")"),"https://techcombank.com/thong-tin/blog/quyet-toan-thue-doanh-nghiep")</f>
        <v>https://techcombank.com/thong-tin/blog/quyet-toan-thue-doanh-nghiep</v>
      </c>
      <c r="K7" s="19" t="str">
        <f>IFERROR(__xludf.DUMMYFUNCTION("IFERROR(INDEX(FILTER('Chi tiết từng link'!$E$2:$E$2505,'Chi tiết từng link'!$B$2:$B$2505=$D7,'Chi tiết từng link'!$F$2:$F$2505&lt;&gt;""CẦN SOÁT""),4),"""")"),"tra cứu nợ thuế doanh nghiệp")</f>
        <v>tra cứu nợ thuế doanh nghiệp</v>
      </c>
      <c r="L7" s="17" t="str">
        <f>IFERROR(__xludf.DUMMYFUNCTION("IFERROR(INDEX(FILTER('Chi tiết từng link'!$D$2:$D$2505,'Chi tiết từng link'!$B$2:$B$2505=$D7,'Chi tiết từng link'!$F$2:$F$2505&lt;&gt;""CẦN SOÁT""),4),"""")"),"https://techcombank.com/thong-tin/blog/ke-khai-thue-doanh-nghiep")</f>
        <v>https://techcombank.com/thong-tin/blog/ke-khai-thue-doanh-nghiep</v>
      </c>
      <c r="M7" s="19" t="str">
        <f>IFERROR(__xludf.DUMMYFUNCTION("IFERROR(INDEX(FILTER('Chi tiết từng link'!$E$2:$E$2505,'Chi tiết từng link'!$B$2:$B$2505=$D7,'Chi tiết từng link'!$F$2:$F$2505&lt;&gt;""CẦN SOÁT""),5),"""")"),"kiểm tra nợ thuế doanh nghiệp")</f>
        <v>kiểm tra nợ thuế doanh nghiệp</v>
      </c>
      <c r="N7" s="17" t="str">
        <f>IFERROR(__xludf.DUMMYFUNCTION("IFERROR(INDEX(FILTER('Chi tiết từng link'!$D$2:$D$2505,'Chi tiết từng link'!$B$2:$B$2505=$D7,'Chi tiết từng link'!$F$2:$F$2505&lt;&gt;""CẦN SOÁT""),5),"""")"),"https://techcombank.com/thong-tin/blog/tra-cuu-no-thue-ho-kinh-doanh")</f>
        <v>https://techcombank.com/thong-tin/blog/tra-cuu-no-thue-ho-kinh-doanh</v>
      </c>
      <c r="O7" s="11">
        <f>COUNTIFS('Chi tiết từng link'!$B$2:$B$2505,$D7,'Chi tiết từng link'!$F$2:$F$2505,"&lt;&gt;CẦN SOÁT")</f>
        <v>5</v>
      </c>
      <c r="P7" s="23" t="s">
        <v>65</v>
      </c>
      <c r="Q7" s="23" t="b">
        <v>0</v>
      </c>
      <c r="R7" s="17" t="str">
        <f>IF(COUNTIFS('Chi tiết từng link'!$B$2:$B$2505,$D7,'Chi tiết từng link'!$F$2:$F$2505,"CẦN SOÁT")&gt;0,"Còn "&amp;COUNTIFS('Chi tiết từng link'!$B$2:$B$2505,$D7,'Chi tiết từng link'!$F$2:$F$2505,"CẦN SOÁT")&amp;" gợi ý cần soát ở tab Chi tiết từng link","")</f>
        <v>Còn 5 gợi ý cần soát ở tab Chi tiết từng link</v>
      </c>
    </row>
    <row r="8" ht="18.0" customHeight="1">
      <c r="A8" s="11">
        <f t="shared" si="1"/>
        <v>7</v>
      </c>
      <c r="B8" s="17" t="str">
        <f t="array" ref="B8">INDEX('Báo cáo 75 trang đích'!$C$2:$C$76,$A8)</f>
        <v>Business Account</v>
      </c>
      <c r="C8" s="18" t="s">
        <v>107</v>
      </c>
      <c r="D8" s="17" t="str">
        <f t="array" ref="D8">INDEX('Báo cáo 75 trang đích'!$B$2:$B$76,$A8)</f>
        <v>https://techcombank.com/thong-tin/blog/thue-doanh-nghiep</v>
      </c>
      <c r="E8" s="19" t="str">
        <f>IFERROR(__xludf.DUMMYFUNCTION("IFERROR(INDEX(FILTER('Chi tiết từng link'!$E$2:$E$2505,'Chi tiết từng link'!$B$2:$B$2505=$D8,'Chi tiết từng link'!$F$2:$F$2505&lt;&gt;""CẦN SOÁT""),1),"""")"),"các loại thuế doanh nghiệp phải nộp")</f>
        <v>các loại thuế doanh nghiệp phải nộp</v>
      </c>
      <c r="F8" s="17" t="str">
        <f>IFERROR(__xludf.DUMMYFUNCTION("IFERROR(INDEX(FILTER('Chi tiết từng link'!$D$2:$D$2505,'Chi tiết từng link'!$B$2:$B$2505=$D8,'Chi tiết từng link'!$F$2:$F$2505&lt;&gt;""CẦN SOÁT""),1),"""")"),"https://techcombank.com/thong-tin/blog/giai-dap-ve-thue-doanh-nghiep")</f>
        <v>https://techcombank.com/thong-tin/blog/giai-dap-ve-thue-doanh-nghiep</v>
      </c>
      <c r="G8" s="19" t="str">
        <f>IFERROR(__xludf.DUMMYFUNCTION("IFERROR(INDEX(FILTER('Chi tiết từng link'!$E$2:$E$2505,'Chi tiết từng link'!$B$2:$B$2505=$D8,'Chi tiết từng link'!$F$2:$F$2505&lt;&gt;""CẦN SOÁT""),2),"""")"),"thuế doanh nghiệp")</f>
        <v>thuế doanh nghiệp</v>
      </c>
      <c r="H8" s="17" t="str">
        <f>IFERROR(__xludf.DUMMYFUNCTION("IFERROR(INDEX(FILTER('Chi tiết từng link'!$D$2:$D$2505,'Chi tiết từng link'!$B$2:$B$2505=$D8,'Chi tiết từng link'!$F$2:$F$2505&lt;&gt;""CẦN SOÁT""),2),"""")"),"https://techcombank.com/thong-tin/blog/hieu-hiet-ve-tuan-thu-thue-cho-cac-doanh-nghiep-khoi-nghiep")</f>
        <v>https://techcombank.com/thong-tin/blog/hieu-hiet-ve-tuan-thu-thue-cho-cac-doanh-nghiep-khoi-nghiep</v>
      </c>
      <c r="I8" s="19" t="str">
        <f>IFERROR(__xludf.DUMMYFUNCTION("IFERROR(INDEX(FILTER('Chi tiết từng link'!$E$2:$E$2505,'Chi tiết từng link'!$B$2:$B$2505=$D8,'Chi tiết từng link'!$F$2:$F$2505&lt;&gt;""CẦN SOÁT""),3),"""")"),"doanh nghiệp phải nộp những loại thuế nào")</f>
        <v>doanh nghiệp phải nộp những loại thuế nào</v>
      </c>
      <c r="J8" s="17" t="str">
        <f>IFERROR(__xludf.DUMMYFUNCTION("IFERROR(INDEX(FILTER('Chi tiết từng link'!$D$2:$D$2505,'Chi tiết từng link'!$B$2:$B$2505=$D8,'Chi tiết từng link'!$F$2:$F$2505&lt;&gt;""CẦN SOÁT""),3),"""")"),"https://techcombank.com/thong-tin/blog/thue-phi-co-dinh-khi-chuyen-doi-tu-ho-kinh-doanh-len-doanh-nghiep")</f>
        <v>https://techcombank.com/thong-tin/blog/thue-phi-co-dinh-khi-chuyen-doi-tu-ho-kinh-doanh-len-doanh-nghiep</v>
      </c>
      <c r="K8" s="19" t="str">
        <f>IFERROR(__xludf.DUMMYFUNCTION("IFERROR(INDEX(FILTER('Chi tiết từng link'!$E$2:$E$2505,'Chi tiết từng link'!$B$2:$B$2505=$D8,'Chi tiết từng link'!$F$2:$F$2505&lt;&gt;""CẦN SOÁT""),4),"""")"),"các loại thuế doanh nghiệp phải nộp")</f>
        <v>các loại thuế doanh nghiệp phải nộp</v>
      </c>
      <c r="L8" s="17" t="str">
        <f>IFERROR(__xludf.DUMMYFUNCTION("IFERROR(INDEX(FILTER('Chi tiết từng link'!$D$2:$D$2505,'Chi tiết từng link'!$B$2:$B$2505=$D8,'Chi tiết từng link'!$F$2:$F$2505&lt;&gt;""CẦN SOÁT""),4),"""")"),"https://techcombank.com/thong-tin/blog/thue-doanh-nghiep-2025")</f>
        <v>https://techcombank.com/thong-tin/blog/thue-doanh-nghiep-2025</v>
      </c>
      <c r="M8" s="19" t="str">
        <f>IFERROR(__xludf.DUMMYFUNCTION("IFERROR(INDEX(FILTER('Chi tiết từng link'!$E$2:$E$2505,'Chi tiết từng link'!$B$2:$B$2505=$D8,'Chi tiết từng link'!$F$2:$F$2505&lt;&gt;""CẦN SOÁT""),5),"""")"),"thuế doanh nghiệp")</f>
        <v>thuế doanh nghiệp</v>
      </c>
      <c r="N8" s="17" t="str">
        <f>IFERROR(__xludf.DUMMYFUNCTION("IFERROR(INDEX(FILTER('Chi tiết từng link'!$D$2:$D$2505,'Chi tiết từng link'!$B$2:$B$2505=$D8,'Chi tiết từng link'!$F$2:$F$2505&lt;&gt;""CẦN SOÁT""),5),"""")"),"https://techcombank.com/thong-tin/blog/dieu-kien-thanh-lap-doanh-nghiep")</f>
        <v>https://techcombank.com/thong-tin/blog/dieu-kien-thanh-lap-doanh-nghiep</v>
      </c>
      <c r="O8" s="11">
        <f>COUNTIFS('Chi tiết từng link'!$B$2:$B$2505,$D8,'Chi tiết từng link'!$F$2:$F$2505,"&lt;&gt;CẦN SOÁT")</f>
        <v>5</v>
      </c>
      <c r="P8" s="23" t="s">
        <v>65</v>
      </c>
      <c r="Q8" s="23" t="b">
        <v>0</v>
      </c>
      <c r="R8" s="17" t="str">
        <f>IF(COUNTIFS('Chi tiết từng link'!$B$2:$B$2505,$D8,'Chi tiết từng link'!$F$2:$F$2505,"CẦN SOÁT")&gt;0,"Còn "&amp;COUNTIFS('Chi tiết từng link'!$B$2:$B$2505,$D8,'Chi tiết từng link'!$F$2:$F$2505,"CẦN SOÁT")&amp;" gợi ý cần soát ở tab Chi tiết từng link","")</f>
        <v>Còn 14 gợi ý cần soát ở tab Chi tiết từng link</v>
      </c>
    </row>
    <row r="9" ht="18.0" customHeight="1">
      <c r="A9" s="11">
        <f t="shared" si="1"/>
        <v>8</v>
      </c>
      <c r="B9" s="17" t="str">
        <f t="array" ref="B9">INDEX('Báo cáo 75 trang đích'!$C$2:$C$76,$A9)</f>
        <v>Business Account</v>
      </c>
      <c r="C9" s="18" t="s">
        <v>113</v>
      </c>
      <c r="D9" s="17" t="str">
        <f t="array" ref="D9">INDEX('Báo cáo 75 trang đích'!$B$2:$B$76,$A9)</f>
        <v>https://techcombank.com/thong-tin/blog/cong-ty-su-dung-tai-khoan-ca-nhan</v>
      </c>
      <c r="E9" s="19" t="str">
        <f>IFERROR(__xludf.DUMMYFUNCTION("IFERROR(INDEX(FILTER('Chi tiết từng link'!$E$2:$E$2505,'Chi tiết từng link'!$B$2:$B$2505=$D9,'Chi tiết từng link'!$F$2:$F$2505&lt;&gt;""CẦN SOÁT""),1),"""")"),"công ty sử dụng tài khoản cá nhân")</f>
        <v>công ty sử dụng tài khoản cá nhân</v>
      </c>
      <c r="F9" s="17" t="str">
        <f>IFERROR(__xludf.DUMMYFUNCTION("IFERROR(INDEX(FILTER('Chi tiết từng link'!$D$2:$D$2505,'Chi tiết từng link'!$B$2:$B$2505=$D9,'Chi tiết từng link'!$F$2:$F$2505&lt;&gt;""CẦN SOÁT""),1),"""")"),"https://techcombank.com/thong-tin/blog/mo-tai-khoan-doanh-nghiep")</f>
        <v>https://techcombank.com/thong-tin/blog/mo-tai-khoan-doanh-nghiep</v>
      </c>
      <c r="G9" s="19" t="str">
        <f>IFERROR(__xludf.DUMMYFUNCTION("IFERROR(INDEX(FILTER('Chi tiết từng link'!$E$2:$E$2505,'Chi tiết từng link'!$B$2:$B$2505=$D9,'Chi tiết từng link'!$F$2:$F$2505&lt;&gt;""CẦN SOÁT""),2),"""")"),"công ty dùng tài khoản cá nhân có được không")</f>
        <v>công ty dùng tài khoản cá nhân có được không</v>
      </c>
      <c r="H9" s="17" t="str">
        <f>IFERROR(__xludf.DUMMYFUNCTION("IFERROR(INDEX(FILTER('Chi tiết từng link'!$D$2:$D$2505,'Chi tiết từng link'!$B$2:$B$2505=$D9,'Chi tiết từng link'!$F$2:$F$2505&lt;&gt;""CẦN SOÁT""),2),"""")"),"https://techcombank.com/thong-tin/blog/luu-y-khi-chuyen-tien-vao-tai-khoan-cong-ty")</f>
        <v>https://techcombank.com/thong-tin/blog/luu-y-khi-chuyen-tien-vao-tai-khoan-cong-ty</v>
      </c>
      <c r="I9" s="19" t="str">
        <f>IFERROR(__xludf.DUMMYFUNCTION("IFERROR(INDEX(FILTER('Chi tiết từng link'!$E$2:$E$2505,'Chi tiết từng link'!$B$2:$B$2505=$D9,'Chi tiết từng link'!$F$2:$F$2505&lt;&gt;""CẦN SOÁT""),3),"""")"),"công ty sử dụng tài khoản cá nhân")</f>
        <v>công ty sử dụng tài khoản cá nhân</v>
      </c>
      <c r="J9" s="17" t="str">
        <f>IFERROR(__xludf.DUMMYFUNCTION("IFERROR(INDEX(FILTER('Chi tiết từng link'!$D$2:$D$2505,'Chi tiết từng link'!$B$2:$B$2505=$D9,'Chi tiết từng link'!$F$2:$F$2505&lt;&gt;""CẦN SOÁT""),3),"""")"),"https://techcombank.com/thong-tin/blog/cach-su-dung-tai-khoan-cong-ty")</f>
        <v>https://techcombank.com/thong-tin/blog/cach-su-dung-tai-khoan-cong-ty</v>
      </c>
      <c r="K9" s="19" t="str">
        <f>IFERROR(__xludf.DUMMYFUNCTION("IFERROR(INDEX(FILTER('Chi tiết từng link'!$E$2:$E$2505,'Chi tiết từng link'!$B$2:$B$2505=$D9,'Chi tiết từng link'!$F$2:$F$2505&lt;&gt;""CẦN SOÁT""),4),"""")"),"công ty dùng tài khoản cá nhân có được không")</f>
        <v>công ty dùng tài khoản cá nhân có được không</v>
      </c>
      <c r="L9" s="17" t="str">
        <f>IFERROR(__xludf.DUMMYFUNCTION("IFERROR(INDEX(FILTER('Chi tiết từng link'!$D$2:$D$2505,'Chi tiết từng link'!$B$2:$B$2505=$D9,'Chi tiết từng link'!$F$2:$F$2505&lt;&gt;""CẦN SOÁT""),4),"""")"),"https://techcombank.com/thong-tin/blog/tien-chuyen-vao-tai-khoan-co-bi-tinh-thue-khong")</f>
        <v>https://techcombank.com/thong-tin/blog/tien-chuyen-vao-tai-khoan-co-bi-tinh-thue-khong</v>
      </c>
      <c r="M9" s="19" t="str">
        <f>IFERROR(__xludf.DUMMYFUNCTION("IFERROR(INDEX(FILTER('Chi tiết từng link'!$E$2:$E$2505,'Chi tiết từng link'!$B$2:$B$2505=$D9,'Chi tiết từng link'!$F$2:$F$2505&lt;&gt;""CẦN SOÁT""),5),"""")"),"công ty sử dụng tài khoản cá nhân")</f>
        <v>công ty sử dụng tài khoản cá nhân</v>
      </c>
      <c r="N9" s="17" t="str">
        <f>IFERROR(__xludf.DUMMYFUNCTION("IFERROR(INDEX(FILTER('Chi tiết từng link'!$D$2:$D$2505,'Chi tiết từng link'!$B$2:$B$2505=$D9,'Chi tiết từng link'!$F$2:$F$2505&lt;&gt;""CẦN SOÁT""),5),"""")"),"https://techcombank.com/thong-tin/blog/tra-luong-tien-mat")</f>
        <v>https://techcombank.com/thong-tin/blog/tra-luong-tien-mat</v>
      </c>
      <c r="O9" s="11">
        <f>COUNTIFS('Chi tiết từng link'!$B$2:$B$2505,$D9,'Chi tiết từng link'!$F$2:$F$2505,"&lt;&gt;CẦN SOÁT")</f>
        <v>5</v>
      </c>
      <c r="P9" s="23" t="s">
        <v>65</v>
      </c>
      <c r="Q9" s="23" t="b">
        <v>0</v>
      </c>
      <c r="R9" s="17" t="str">
        <f>IF(COUNTIFS('Chi tiết từng link'!$B$2:$B$2505,$D9,'Chi tiết từng link'!$F$2:$F$2505,"CẦN SOÁT")&gt;0,"Còn "&amp;COUNTIFS('Chi tiết từng link'!$B$2:$B$2505,$D9,'Chi tiết từng link'!$F$2:$F$2505,"CẦN SOÁT")&amp;" gợi ý cần soát ở tab Chi tiết từng link","")</f>
        <v>Còn 8 gợi ý cần soát ở tab Chi tiết từng link</v>
      </c>
    </row>
    <row r="10" ht="18.0" customHeight="1">
      <c r="A10" s="11">
        <f t="shared" si="1"/>
        <v>9</v>
      </c>
      <c r="B10" s="17" t="str">
        <f t="array" ref="B10">INDEX('Báo cáo 75 trang đích'!$C$2:$C$76,$A10)</f>
        <v>Business Account</v>
      </c>
      <c r="C10" s="18" t="s">
        <v>117</v>
      </c>
      <c r="D10" s="17" t="str">
        <f t="array" ref="D10">INDEX('Báo cáo 75 trang đích'!$B$2:$B$76,$A10)</f>
        <v>https://techcombank.com/thong-tin/blog/cach-tinh-thue-thu-nhap-doanh-nghiep</v>
      </c>
      <c r="E10" s="19" t="str">
        <f>IFERROR(__xludf.DUMMYFUNCTION("IFERROR(INDEX(FILTER('Chi tiết từng link'!$E$2:$E$2505,'Chi tiết từng link'!$B$2:$B$2505=$D10,'Chi tiết từng link'!$F$2:$F$2505&lt;&gt;""CẦN SOÁT""),1),"""")"),"cách tính thuế thu nhập doanh nghiệp")</f>
        <v>cách tính thuế thu nhập doanh nghiệp</v>
      </c>
      <c r="F10" s="17" t="str">
        <f>IFERROR(__xludf.DUMMYFUNCTION("IFERROR(INDEX(FILTER('Chi tiết từng link'!$D$2:$D$2505,'Chi tiết từng link'!$B$2:$B$2505=$D10,'Chi tiết từng link'!$F$2:$F$2505&lt;&gt;""CẦN SOÁT""),1),"""")"),"https://techcombank.com/thong-tin/blog/nhung-chi-phi-khong-duoc-tru-khi-tinh-thue-tndn")</f>
        <v>https://techcombank.com/thong-tin/blog/nhung-chi-phi-khong-duoc-tru-khi-tinh-thue-tndn</v>
      </c>
      <c r="G10" s="19" t="str">
        <f>IFERROR(__xludf.DUMMYFUNCTION("IFERROR(INDEX(FILTER('Chi tiết từng link'!$E$2:$E$2505,'Chi tiết từng link'!$B$2:$B$2505=$D10,'Chi tiết từng link'!$F$2:$F$2505&lt;&gt;""CẦN SOÁT""),2),"""")"),"cách tính thuế TNDN")</f>
        <v>cách tính thuế TNDN</v>
      </c>
      <c r="H10" s="17" t="str">
        <f>IFERROR(__xludf.DUMMYFUNCTION("IFERROR(INDEX(FILTER('Chi tiết từng link'!$D$2:$D$2505,'Chi tiết từng link'!$B$2:$B$2505=$D10,'Chi tiết từng link'!$F$2:$F$2505&lt;&gt;""CẦN SOÁT""),2),"""")"),"https://techcombank.com/thong-tin/blog/khau-hao")</f>
        <v>https://techcombank.com/thong-tin/blog/khau-hao</v>
      </c>
      <c r="I10" s="19" t="str">
        <f>IFERROR(__xludf.DUMMYFUNCTION("IFERROR(INDEX(FILTER('Chi tiết từng link'!$E$2:$E$2505,'Chi tiết từng link'!$B$2:$B$2505=$D10,'Chi tiết từng link'!$F$2:$F$2505&lt;&gt;""CẦN SOÁT""),3),"""")"),"công thức tính thuế TNDN")</f>
        <v>công thức tính thuế TNDN</v>
      </c>
      <c r="J10" s="17" t="str">
        <f>IFERROR(__xludf.DUMMYFUNCTION("IFERROR(INDEX(FILTER('Chi tiết từng link'!$D$2:$D$2505,'Chi tiết từng link'!$B$2:$B$2505=$D10,'Chi tiết từng link'!$F$2:$F$2505&lt;&gt;""CẦN SOÁT""),3),"""")"),"https://techcombank.com/thong-tin/blog/loi-nhuan-rong")</f>
        <v>https://techcombank.com/thong-tin/blog/loi-nhuan-rong</v>
      </c>
      <c r="K10" s="19" t="str">
        <f>IFERROR(__xludf.DUMMYFUNCTION("IFERROR(INDEX(FILTER('Chi tiết từng link'!$E$2:$E$2505,'Chi tiết từng link'!$B$2:$B$2505=$D10,'Chi tiết từng link'!$F$2:$F$2505&lt;&gt;""CẦN SOÁT""),4),"""")"),"cách tính thuế thu nhập doanh nghiệp")</f>
        <v>cách tính thuế thu nhập doanh nghiệp</v>
      </c>
      <c r="L10" s="17" t="str">
        <f>IFERROR(__xludf.DUMMYFUNCTION("IFERROR(INDEX(FILTER('Chi tiết từng link'!$D$2:$D$2505,'Chi tiết từng link'!$B$2:$B$2505=$D10,'Chi tiết từng link'!$F$2:$F$2505&lt;&gt;""CẦN SOÁT""),4),"""")"),"https://techcombank.com/thong-tin/blog/cach-doc-bao-cao-tai-chinh")</f>
        <v>https://techcombank.com/thong-tin/blog/cach-doc-bao-cao-tai-chinh</v>
      </c>
      <c r="M10" s="19" t="str">
        <f>IFERROR(__xludf.DUMMYFUNCTION("IFERROR(INDEX(FILTER('Chi tiết từng link'!$E$2:$E$2505,'Chi tiết từng link'!$B$2:$B$2505=$D10,'Chi tiết từng link'!$F$2:$F$2505&lt;&gt;""CẦN SOÁT""),5),"""")"),"cách tính thuế TNDN")</f>
        <v>cách tính thuế TNDN</v>
      </c>
      <c r="N10" s="17" t="str">
        <f>IFERROR(__xludf.DUMMYFUNCTION("IFERROR(INDEX(FILTER('Chi tiết từng link'!$D$2:$D$2505,'Chi tiết từng link'!$B$2:$B$2505=$D10,'Chi tiết từng link'!$F$2:$F$2505&lt;&gt;""CẦN SOÁT""),5),"""")"),"https://techcombank.com/thong-tin/blog/chuan-bi-cho-doanh-nghiep-khoi-nghiep-truoc-nhung-thay-doi-ve-thue")</f>
        <v>https://techcombank.com/thong-tin/blog/chuan-bi-cho-doanh-nghiep-khoi-nghiep-truoc-nhung-thay-doi-ve-thue</v>
      </c>
      <c r="O10" s="11">
        <f>COUNTIFS('Chi tiết từng link'!$B$2:$B$2505,$D10,'Chi tiết từng link'!$F$2:$F$2505,"&lt;&gt;CẦN SOÁT")</f>
        <v>5</v>
      </c>
      <c r="P10" s="23" t="s">
        <v>65</v>
      </c>
      <c r="Q10" s="23" t="b">
        <v>0</v>
      </c>
      <c r="R10" s="17" t="str">
        <f>IF(COUNTIFS('Chi tiết từng link'!$B$2:$B$2505,$D10,'Chi tiết từng link'!$F$2:$F$2505,"CẦN SOÁT")&gt;0,"Còn "&amp;COUNTIFS('Chi tiết từng link'!$B$2:$B$2505,$D10,'Chi tiết từng link'!$F$2:$F$2505,"CẦN SOÁT")&amp;" gợi ý cần soát ở tab Chi tiết từng link","")</f>
        <v>Còn 20 gợi ý cần soát ở tab Chi tiết từng link</v>
      </c>
    </row>
    <row r="11" ht="18.0" customHeight="1">
      <c r="A11" s="11">
        <f t="shared" si="1"/>
        <v>10</v>
      </c>
      <c r="B11" s="17" t="str">
        <f t="array" ref="B11">INDEX('Báo cáo 75 trang đích'!$C$2:$C$76,$A11)</f>
        <v>CASA</v>
      </c>
      <c r="C11" s="18" t="s">
        <v>120</v>
      </c>
      <c r="D11" s="17" t="str">
        <f t="array" ref="D11">INDEX('Báo cáo 75 trang đích'!$B$2:$B$76,$A11)</f>
        <v>https://techcombank.com/thong-tin/blog/cach-nap-the-viettel</v>
      </c>
      <c r="E11" s="19" t="str">
        <f>IFERROR(__xludf.DUMMYFUNCTION("IFERROR(INDEX(FILTER('Chi tiết từng link'!$E$2:$E$2505,'Chi tiết từng link'!$B$2:$B$2505=$D11,'Chi tiết từng link'!$F$2:$F$2505&lt;&gt;""CẦN SOÁT""),1),"""")"),"cách nạp thẻ Viettel")</f>
        <v>cách nạp thẻ Viettel</v>
      </c>
      <c r="F11" s="17" t="str">
        <f>IFERROR(__xludf.DUMMYFUNCTION("IFERROR(INDEX(FILTER('Chi tiết từng link'!$D$2:$D$2505,'Chi tiết từng link'!$B$2:$B$2505=$D11,'Chi tiết từng link'!$F$2:$F$2505&lt;&gt;""CẦN SOÁT""),1),"""")"),"https://techcombank.com/thong-tin/blog/cach-nap-the")</f>
        <v>https://techcombank.com/thong-tin/blog/cach-nap-the</v>
      </c>
      <c r="G11" s="19" t="str">
        <f>IFERROR(__xludf.DUMMYFUNCTION("IFERROR(INDEX(FILTER('Chi tiết từng link'!$E$2:$E$2505,'Chi tiết từng link'!$B$2:$B$2505=$D11,'Chi tiết từng link'!$F$2:$F$2505&lt;&gt;""CẦN SOÁT""),2),"""")"),"nạp thẻ Viettel")</f>
        <v>nạp thẻ Viettel</v>
      </c>
      <c r="H11" s="17" t="str">
        <f>IFERROR(__xludf.DUMMYFUNCTION("IFERROR(INDEX(FILTER('Chi tiết từng link'!$D$2:$D$2505,'Chi tiết từng link'!$B$2:$B$2505=$D11,'Chi tiết từng link'!$F$2:$F$2505&lt;&gt;""CẦN SOÁT""),2),"""")"),"https://techcombank.com/thong-tin/blog/nap-tien-dien-thoai-online")</f>
        <v>https://techcombank.com/thong-tin/blog/nap-tien-dien-thoai-online</v>
      </c>
      <c r="I11" s="19" t="str">
        <f>IFERROR(__xludf.DUMMYFUNCTION("IFERROR(INDEX(FILTER('Chi tiết từng link'!$E$2:$E$2505,'Chi tiết từng link'!$B$2:$B$2505=$D11,'Chi tiết từng link'!$F$2:$F$2505&lt;&gt;""CẦN SOÁT""),3),"""")"),"nạp thẻ cào Viettel")</f>
        <v>nạp thẻ cào Viettel</v>
      </c>
      <c r="J11" s="17" t="str">
        <f>IFERROR(__xludf.DUMMYFUNCTION("IFERROR(INDEX(FILTER('Chi tiết từng link'!$D$2:$D$2505,'Chi tiết từng link'!$B$2:$B$2505=$D11,'Chi tiết từng link'!$F$2:$F$2505&lt;&gt;""CẦN SOÁT""),3),"""")"),"https://techcombank.com/thong-tin/blog/thanh-toan-tra-sau-viettel-bang-tai-khoan-ngan-hang")</f>
        <v>https://techcombank.com/thong-tin/blog/thanh-toan-tra-sau-viettel-bang-tai-khoan-ngan-hang</v>
      </c>
      <c r="K11" s="19" t="str">
        <f>IFERROR(__xludf.DUMMYFUNCTION("IFERROR(INDEX(FILTER('Chi tiết từng link'!$E$2:$E$2505,'Chi tiết từng link'!$B$2:$B$2505=$D11,'Chi tiết từng link'!$F$2:$F$2505&lt;&gt;""CẦN SOÁT""),4),"""")"),"cách nạp thẻ Viettel")</f>
        <v>cách nạp thẻ Viettel</v>
      </c>
      <c r="L11" s="17" t="str">
        <f>IFERROR(__xludf.DUMMYFUNCTION("IFERROR(INDEX(FILTER('Chi tiết từng link'!$D$2:$D$2505,'Chi tiết từng link'!$B$2:$B$2505=$D11,'Chi tiết từng link'!$F$2:$F$2505&lt;&gt;""CẦN SOÁT""),4),"""")"),"https://techcombank.com/thong-tin/blog/cach-nap-the-vina")</f>
        <v>https://techcombank.com/thong-tin/blog/cach-nap-the-vina</v>
      </c>
      <c r="M11" s="19" t="str">
        <f>IFERROR(__xludf.DUMMYFUNCTION("IFERROR(INDEX(FILTER('Chi tiết từng link'!$E$2:$E$2505,'Chi tiết từng link'!$B$2:$B$2505=$D11,'Chi tiết từng link'!$F$2:$F$2505&lt;&gt;""CẦN SOÁT""),5),"""")"),"nạp thẻ Viettel")</f>
        <v>nạp thẻ Viettel</v>
      </c>
      <c r="N11" s="17" t="str">
        <f>IFERROR(__xludf.DUMMYFUNCTION("IFERROR(INDEX(FILTER('Chi tiết từng link'!$D$2:$D$2505,'Chi tiết từng link'!$B$2:$B$2505=$D11,'Chi tiết từng link'!$F$2:$F$2505&lt;&gt;""CẦN SOÁT""),5),"""")"),"https://techcombank.com/thong-tin/blog/cach-nap-the-mobi")</f>
        <v>https://techcombank.com/thong-tin/blog/cach-nap-the-mobi</v>
      </c>
      <c r="O11" s="11">
        <f>COUNTIFS('Chi tiết từng link'!$B$2:$B$2505,$D11,'Chi tiết từng link'!$F$2:$F$2505,"&lt;&gt;CẦN SOÁT")</f>
        <v>5</v>
      </c>
      <c r="P11" s="23" t="s">
        <v>65</v>
      </c>
      <c r="Q11" s="23" t="b">
        <v>0</v>
      </c>
      <c r="R11" s="17" t="str">
        <f>IF(COUNTIFS('Chi tiết từng link'!$B$2:$B$2505,$D11,'Chi tiết từng link'!$F$2:$F$2505,"CẦN SOÁT")&gt;0,"Còn "&amp;COUNTIFS('Chi tiết từng link'!$B$2:$B$2505,$D11,'Chi tiết từng link'!$F$2:$F$2505,"CẦN SOÁT")&amp;" gợi ý cần soát ở tab Chi tiết từng link","")</f>
        <v>Còn 3 gợi ý cần soát ở tab Chi tiết từng link</v>
      </c>
    </row>
    <row r="12" ht="18.0" customHeight="1">
      <c r="A12" s="11">
        <f t="shared" si="1"/>
        <v>11</v>
      </c>
      <c r="B12" s="17" t="str">
        <f t="array" ref="B12">INDEX('Báo cáo 75 trang đích'!$C$2:$C$76,$A12)</f>
        <v>CASA</v>
      </c>
      <c r="C12" s="18" t="s">
        <v>124</v>
      </c>
      <c r="D12" s="17" t="str">
        <f t="array" ref="D12">INDEX('Báo cáo 75 trang đích'!$B$2:$B$76,$A12)</f>
        <v>https://techcombank.com/thong-tin/blog/cach-tinh-tien-dien-sinh-hoat</v>
      </c>
      <c r="E12" s="19" t="str">
        <f>IFERROR(__xludf.DUMMYFUNCTION("IFERROR(INDEX(FILTER('Chi tiết từng link'!$E$2:$E$2505,'Chi tiết từng link'!$B$2:$B$2505=$D12,'Chi tiết từng link'!$F$2:$F$2505&lt;&gt;""CẦN SOÁT""),1),"""")"),"cách tính tiền điện sinh hoạt")</f>
        <v>cách tính tiền điện sinh hoạt</v>
      </c>
      <c r="F12" s="17" t="str">
        <f>IFERROR(__xludf.DUMMYFUNCTION("IFERROR(INDEX(FILTER('Chi tiết từng link'!$D$2:$D$2505,'Chi tiết từng link'!$B$2:$B$2505=$D12,'Chi tiết từng link'!$F$2:$F$2505&lt;&gt;""CẦN SOÁT""),1),"""")"),"https://techcombank.com/thong-tin/blog/gia-dien-sinh-hoat")</f>
        <v>https://techcombank.com/thong-tin/blog/gia-dien-sinh-hoat</v>
      </c>
      <c r="G12" s="19" t="str">
        <f>IFERROR(__xludf.DUMMYFUNCTION("IFERROR(INDEX(FILTER('Chi tiết từng link'!$E$2:$E$2505,'Chi tiết từng link'!$B$2:$B$2505=$D12,'Chi tiết từng link'!$F$2:$F$2505&lt;&gt;""CẦN SOÁT""),2),"""")"),"cách tính tiền điện")</f>
        <v>cách tính tiền điện</v>
      </c>
      <c r="H12" s="17" t="str">
        <f>IFERROR(__xludf.DUMMYFUNCTION("IFERROR(INDEX(FILTER('Chi tiết từng link'!$D$2:$D$2505,'Chi tiết từng link'!$B$2:$B$2505=$D12,'Chi tiết từng link'!$F$2:$F$2505&lt;&gt;""CẦN SOÁT""),2),"""")"),"https://techcombank.com/thong-tin/blog/tra-cuu-hoa-don-tien-dien")</f>
        <v>https://techcombank.com/thong-tin/blog/tra-cuu-hoa-don-tien-dien</v>
      </c>
      <c r="I12" s="19" t="str">
        <f>IFERROR(__xludf.DUMMYFUNCTION("IFERROR(INDEX(FILTER('Chi tiết từng link'!$E$2:$E$2505,'Chi tiết từng link'!$B$2:$B$2505=$D12,'Chi tiết từng link'!$F$2:$F$2505&lt;&gt;""CẦN SOÁT""),3),"""")"),"giá điện bậc thang")</f>
        <v>giá điện bậc thang</v>
      </c>
      <c r="J12" s="17" t="str">
        <f>IFERROR(__xludf.DUMMYFUNCTION("IFERROR(INDEX(FILTER('Chi tiết từng link'!$D$2:$D$2505,'Chi tiết từng link'!$B$2:$B$2505=$D12,'Chi tiết từng link'!$F$2:$F$2505&lt;&gt;""CẦN SOÁT""),3),"""")"),"https://techcombank.com/thong-tin/blog/cach-dong-tien-dien-qua-tai-khoan-ngan-hang")</f>
        <v>https://techcombank.com/thong-tin/blog/cach-dong-tien-dien-qua-tai-khoan-ngan-hang</v>
      </c>
      <c r="K12" s="19" t="str">
        <f>IFERROR(__xludf.DUMMYFUNCTION("IFERROR(INDEX(FILTER('Chi tiết từng link'!$E$2:$E$2505,'Chi tiết từng link'!$B$2:$B$2505=$D12,'Chi tiết từng link'!$F$2:$F$2505&lt;&gt;""CẦN SOÁT""),4),"""")"),"cách tính tiền điện sinh hoạt")</f>
        <v>cách tính tiền điện sinh hoạt</v>
      </c>
      <c r="L12" s="17" t="str">
        <f>IFERROR(__xludf.DUMMYFUNCTION("IFERROR(INDEX(FILTER('Chi tiết từng link'!$D$2:$D$2505,'Chi tiết từng link'!$B$2:$B$2505=$D12,'Chi tiết từng link'!$F$2:$F$2505&lt;&gt;""CẦN SOÁT""),4),"""")"),"https://techcombank.com/thong-tin/blog/app-dong-tien-dien-online")</f>
        <v>https://techcombank.com/thong-tin/blog/app-dong-tien-dien-online</v>
      </c>
      <c r="M12" s="19" t="str">
        <f>IFERROR(__xludf.DUMMYFUNCTION("IFERROR(INDEX(FILTER('Chi tiết từng link'!$E$2:$E$2505,'Chi tiết từng link'!$B$2:$B$2505=$D12,'Chi tiết từng link'!$F$2:$F$2505&lt;&gt;""CẦN SOÁT""),5),"""")"),"cách tính tiền điện")</f>
        <v>cách tính tiền điện</v>
      </c>
      <c r="N12" s="17" t="str">
        <f>IFERROR(__xludf.DUMMYFUNCTION("IFERROR(INDEX(FILTER('Chi tiết từng link'!$D$2:$D$2505,'Chi tiết từng link'!$B$2:$B$2505=$D12,'Chi tiết từng link'!$F$2:$F$2505&lt;&gt;""CẦN SOÁT""),5),"""")"),"https://techcombank.com/thong-tin/blog/thanh-toan-tien-dien-bang-the-tin-dung")</f>
        <v>https://techcombank.com/thong-tin/blog/thanh-toan-tien-dien-bang-the-tin-dung</v>
      </c>
      <c r="O12" s="11">
        <f>COUNTIFS('Chi tiết từng link'!$B$2:$B$2505,$D12,'Chi tiết từng link'!$F$2:$F$2505,"&lt;&gt;CẦN SOÁT")</f>
        <v>5</v>
      </c>
      <c r="P12" s="23" t="s">
        <v>65</v>
      </c>
      <c r="Q12" s="23" t="b">
        <v>0</v>
      </c>
      <c r="R12" s="17" t="str">
        <f>IF(COUNTIFS('Chi tiết từng link'!$B$2:$B$2505,$D12,'Chi tiết từng link'!$F$2:$F$2505,"CẦN SOÁT")&gt;0,"Còn "&amp;COUNTIFS('Chi tiết từng link'!$B$2:$B$2505,$D12,'Chi tiết từng link'!$F$2:$F$2505,"CẦN SOÁT")&amp;" gợi ý cần soát ở tab Chi tiết từng link","")</f>
        <v>Còn 12 gợi ý cần soát ở tab Chi tiết từng link</v>
      </c>
    </row>
    <row r="13" ht="18.0" customHeight="1">
      <c r="A13" s="11">
        <f t="shared" si="1"/>
        <v>12</v>
      </c>
      <c r="B13" s="17" t="str">
        <f t="array" ref="B13">INDEX('Báo cáo 75 trang đích'!$C$2:$C$76,$A13)</f>
        <v>CASA</v>
      </c>
      <c r="C13" s="18" t="s">
        <v>127</v>
      </c>
      <c r="D13" s="17" t="str">
        <f t="array" ref="D13">INDEX('Báo cáo 75 trang đích'!$B$2:$B$76,$A13)</f>
        <v>https://techcombank.com/thong-tin/blog/cach-tinh-thue-thu-nhap-ca-nhan-2025</v>
      </c>
      <c r="E13" s="19" t="str">
        <f>IFERROR(__xludf.DUMMYFUNCTION("IFERROR(INDEX(FILTER('Chi tiết từng link'!$E$2:$E$2505,'Chi tiết từng link'!$B$2:$B$2505=$D13,'Chi tiết từng link'!$F$2:$F$2505&lt;&gt;""CẦN SOÁT""),1),"""")"),"cách tính thuế thu nhập cá nhân")</f>
        <v>cách tính thuế thu nhập cá nhân</v>
      </c>
      <c r="F13" s="17" t="str">
        <f>IFERROR(__xludf.DUMMYFUNCTION("IFERROR(INDEX(FILTER('Chi tiết từng link'!$D$2:$D$2505,'Chi tiết từng link'!$B$2:$B$2505=$D13,'Chi tiết từng link'!$F$2:$F$2505&lt;&gt;""CẦN SOÁT""),1),"""")"),"https://techcombank.com/thong-tin/blog/quyet-toan-thue-thu-nhap-ca-nhan")</f>
        <v>https://techcombank.com/thong-tin/blog/quyet-toan-thue-thu-nhap-ca-nhan</v>
      </c>
      <c r="G13" s="19" t="str">
        <f>IFERROR(__xludf.DUMMYFUNCTION("IFERROR(INDEX(FILTER('Chi tiết từng link'!$E$2:$E$2505,'Chi tiết từng link'!$B$2:$B$2505=$D13,'Chi tiết từng link'!$F$2:$F$2505&lt;&gt;""CẦN SOÁT""),2),"""")"),"cách tính thuế TNCN")</f>
        <v>cách tính thuế TNCN</v>
      </c>
      <c r="H13" s="17" t="str">
        <f>IFERROR(__xludf.DUMMYFUNCTION("IFERROR(INDEX(FILTER('Chi tiết từng link'!$D$2:$D$2505,'Chi tiết từng link'!$B$2:$B$2505=$D13,'Chi tiết từng link'!$F$2:$F$2505&lt;&gt;""CẦN SOÁT""),2),"""")"),"https://techcombank.com/thong-tin/blog/hoan-thue-thu-nhap-ca-nhan")</f>
        <v>https://techcombank.com/thong-tin/blog/hoan-thue-thu-nhap-ca-nhan</v>
      </c>
      <c r="I13" s="19" t="str">
        <f>IFERROR(__xludf.DUMMYFUNCTION("IFERROR(INDEX(FILTER('Chi tiết từng link'!$E$2:$E$2505,'Chi tiết từng link'!$B$2:$B$2505=$D13,'Chi tiết từng link'!$F$2:$F$2505&lt;&gt;""CẦN SOÁT""),3),"""")"),"tính thuế TNCN")</f>
        <v>tính thuế TNCN</v>
      </c>
      <c r="J13" s="17" t="str">
        <f>IFERROR(__xludf.DUMMYFUNCTION("IFERROR(INDEX(FILTER('Chi tiết từng link'!$D$2:$D$2505,'Chi tiết từng link'!$B$2:$B$2505=$D13,'Chi tiết từng link'!$F$2:$F$2505&lt;&gt;""CẦN SOÁT""),3),"""")"),"https://techcombank.com/thong-tin/blog/dang-ky-ma-so-thue-ca-nhan")</f>
        <v>https://techcombank.com/thong-tin/blog/dang-ky-ma-so-thue-ca-nhan</v>
      </c>
      <c r="K13" s="19" t="str">
        <f>IFERROR(__xludf.DUMMYFUNCTION("IFERROR(INDEX(FILTER('Chi tiết từng link'!$E$2:$E$2505,'Chi tiết từng link'!$B$2:$B$2505=$D13,'Chi tiết từng link'!$F$2:$F$2505&lt;&gt;""CẦN SOÁT""),4),"""")"),"cách tính thuế thu nhập cá nhân")</f>
        <v>cách tính thuế thu nhập cá nhân</v>
      </c>
      <c r="L13" s="17" t="str">
        <f>IFERROR(__xludf.DUMMYFUNCTION("IFERROR(INDEX(FILTER('Chi tiết từng link'!$D$2:$D$2505,'Chi tiết từng link'!$B$2:$B$2505=$D13,'Chi tiết từng link'!$F$2:$F$2505&lt;&gt;""CẦN SOÁT""),4),"""")"),"https://techcombank.com/thong-tin/blog/sao-ke-luong")</f>
        <v>https://techcombank.com/thong-tin/blog/sao-ke-luong</v>
      </c>
      <c r="M13" s="19" t="str">
        <f>IFERROR(__xludf.DUMMYFUNCTION("IFERROR(INDEX(FILTER('Chi tiết từng link'!$E$2:$E$2505,'Chi tiết từng link'!$B$2:$B$2505=$D13,'Chi tiết từng link'!$F$2:$F$2505&lt;&gt;""CẦN SOÁT""),5),"""")"),"cách tính thuế TNCN")</f>
        <v>cách tính thuế TNCN</v>
      </c>
      <c r="N13" s="17" t="str">
        <f>IFERROR(__xludf.DUMMYFUNCTION("IFERROR(INDEX(FILTER('Chi tiết từng link'!$D$2:$D$2505,'Chi tiết từng link'!$B$2:$B$2505=$D13,'Chi tiết từng link'!$F$2:$F$2505&lt;&gt;""CẦN SOÁT""),5),"""")"),"https://techcombank.com/thong-tin/blog/luong-huu")</f>
        <v>https://techcombank.com/thong-tin/blog/luong-huu</v>
      </c>
      <c r="O13" s="11">
        <f>COUNTIFS('Chi tiết từng link'!$B$2:$B$2505,$D13,'Chi tiết từng link'!$F$2:$F$2505,"&lt;&gt;CẦN SOÁT")</f>
        <v>5</v>
      </c>
      <c r="P13" s="23" t="s">
        <v>65</v>
      </c>
      <c r="Q13" s="23" t="b">
        <v>0</v>
      </c>
      <c r="R13" s="17" t="str">
        <f>IF(COUNTIFS('Chi tiết từng link'!$B$2:$B$2505,$D13,'Chi tiết từng link'!$F$2:$F$2505,"CẦN SOÁT")&gt;0,"Còn "&amp;COUNTIFS('Chi tiết từng link'!$B$2:$B$2505,$D13,'Chi tiết từng link'!$F$2:$F$2505,"CẦN SOÁT")&amp;" gợi ý cần soát ở tab Chi tiết từng link","")</f>
        <v>Còn 11 gợi ý cần soát ở tab Chi tiết từng link</v>
      </c>
    </row>
    <row r="14" ht="18.0" customHeight="1">
      <c r="A14" s="11">
        <f t="shared" si="1"/>
        <v>13</v>
      </c>
      <c r="B14" s="17" t="str">
        <f t="array" ref="B14">INDEX('Báo cáo 75 trang đích'!$C$2:$C$76,$A14)</f>
        <v>CASA</v>
      </c>
      <c r="C14" s="18" t="s">
        <v>131</v>
      </c>
      <c r="D14" s="17" t="str">
        <f t="array" ref="D14">INDEX('Báo cáo 75 trang đích'!$B$2:$B$76,$A14)</f>
        <v>https://techcombank.com/thong-tin/blog/cach-kiem-tra-tai-khoan-ngan-hang</v>
      </c>
      <c r="E14" s="19" t="str">
        <f>IFERROR(__xludf.DUMMYFUNCTION("IFERROR(INDEX(FILTER('Chi tiết từng link'!$E$2:$E$2505,'Chi tiết từng link'!$B$2:$B$2505=$D14,'Chi tiết từng link'!$F$2:$F$2505&lt;&gt;""CẦN SOÁT""),1),"""")"),"cách kiểm tra tài khoản ngân hàng")</f>
        <v>cách kiểm tra tài khoản ngân hàng</v>
      </c>
      <c r="F14" s="17" t="str">
        <f>IFERROR(__xludf.DUMMYFUNCTION("IFERROR(INDEX(FILTER('Chi tiết từng link'!$D$2:$D$2505,'Chi tiết từng link'!$B$2:$B$2505=$D14,'Chi tiết từng link'!$F$2:$F$2505&lt;&gt;""CẦN SOÁT""),1),"""")"),"https://techcombank.com/thong-tin/blog/so-tai-khoan-ngan-hang")</f>
        <v>https://techcombank.com/thong-tin/blog/so-tai-khoan-ngan-hang</v>
      </c>
      <c r="G14" s="19" t="str">
        <f>IFERROR(__xludf.DUMMYFUNCTION("IFERROR(INDEX(FILTER('Chi tiết từng link'!$E$2:$E$2505,'Chi tiết từng link'!$B$2:$B$2505=$D14,'Chi tiết từng link'!$F$2:$F$2505&lt;&gt;""CẦN SOÁT""),2),"""")"),"kiểm tra số dư tài khoản")</f>
        <v>kiểm tra số dư tài khoản</v>
      </c>
      <c r="H14" s="17" t="str">
        <f>IFERROR(__xludf.DUMMYFUNCTION("IFERROR(INDEX(FILTER('Chi tiết từng link'!$D$2:$D$2505,'Chi tiết từng link'!$B$2:$B$2505=$D14,'Chi tiết từng link'!$F$2:$F$2505&lt;&gt;""CẦN SOÁT""),2),"""")"),"https://techcombank.com/thong-tin/blog/so-du-kha-dung")</f>
        <v>https://techcombank.com/thong-tin/blog/so-du-kha-dung</v>
      </c>
      <c r="I14" s="19" t="str">
        <f>IFERROR(__xludf.DUMMYFUNCTION("IFERROR(INDEX(FILTER('Chi tiết từng link'!$E$2:$E$2505,'Chi tiết từng link'!$B$2:$B$2505=$D14,'Chi tiết từng link'!$F$2:$F$2505&lt;&gt;""CẦN SOÁT""),3),"""")"),"kiểm tra tài khoản ngân hàng")</f>
        <v>kiểm tra tài khoản ngân hàng</v>
      </c>
      <c r="J14" s="17" t="str">
        <f>IFERROR(__xludf.DUMMYFUNCTION("IFERROR(INDEX(FILTER('Chi tiết từng link'!$D$2:$D$2505,'Chi tiết từng link'!$B$2:$B$2505=$D14,'Chi tiết từng link'!$F$2:$F$2505&lt;&gt;""CẦN SOÁT""),3),"""")"),"https://techcombank.com/thong-tin/blog/ma-giao-dich-la-gi")</f>
        <v>https://techcombank.com/thong-tin/blog/ma-giao-dich-la-gi</v>
      </c>
      <c r="K14" s="19" t="str">
        <f>IFERROR(__xludf.DUMMYFUNCTION("IFERROR(INDEX(FILTER('Chi tiết từng link'!$E$2:$E$2505,'Chi tiết từng link'!$B$2:$B$2505=$D14,'Chi tiết từng link'!$F$2:$F$2505&lt;&gt;""CẦN SOÁT""),4),"""")"),"cách kiểm tra tài khoản ngân hàng")</f>
        <v>cách kiểm tra tài khoản ngân hàng</v>
      </c>
      <c r="L14" s="17" t="str">
        <f>IFERROR(__xludf.DUMMYFUNCTION("IFERROR(INDEX(FILTER('Chi tiết từng link'!$D$2:$D$2505,'Chi tiết từng link'!$B$2:$B$2505=$D14,'Chi tiết từng link'!$F$2:$F$2505&lt;&gt;""CẦN SOÁT""),4),"""")"),"https://techcombank.com/thong-tin/blog/sms-banking")</f>
        <v>https://techcombank.com/thong-tin/blog/sms-banking</v>
      </c>
      <c r="M14" s="19" t="str">
        <f>IFERROR(__xludf.DUMMYFUNCTION("IFERROR(INDEX(FILTER('Chi tiết từng link'!$E$2:$E$2505,'Chi tiết từng link'!$B$2:$B$2505=$D14,'Chi tiết từng link'!$F$2:$F$2505&lt;&gt;""CẦN SOÁT""),5),"""")"),"kiểm tra số dư tài khoản")</f>
        <v>kiểm tra số dư tài khoản</v>
      </c>
      <c r="N14" s="17" t="str">
        <f>IFERROR(__xludf.DUMMYFUNCTION("IFERROR(INDEX(FILTER('Chi tiết từng link'!$D$2:$D$2505,'Chi tiết từng link'!$B$2:$B$2505=$D14,'Chi tiết từng link'!$F$2:$F$2505&lt;&gt;""CẦN SOÁT""),5),"""")"),"https://techcombank.com/thong-tin/blog/cach-kiem-tra-tai-khoan-ngan-hang-cua-cong-ty")</f>
        <v>https://techcombank.com/thong-tin/blog/cach-kiem-tra-tai-khoan-ngan-hang-cua-cong-ty</v>
      </c>
      <c r="O14" s="11">
        <f>COUNTIFS('Chi tiết từng link'!$B$2:$B$2505,$D14,'Chi tiết từng link'!$F$2:$F$2505,"&lt;&gt;CẦN SOÁT")</f>
        <v>5</v>
      </c>
      <c r="P14" s="23" t="s">
        <v>65</v>
      </c>
      <c r="Q14" s="23" t="b">
        <v>0</v>
      </c>
      <c r="R14" s="17" t="str">
        <f>IF(COUNTIFS('Chi tiết từng link'!$B$2:$B$2505,$D14,'Chi tiết từng link'!$F$2:$F$2505,"CẦN SOÁT")&gt;0,"Còn "&amp;COUNTIFS('Chi tiết từng link'!$B$2:$B$2505,$D14,'Chi tiết từng link'!$F$2:$F$2505,"CẦN SOÁT")&amp;" gợi ý cần soát ở tab Chi tiết từng link","")</f>
        <v>Còn 17 gợi ý cần soát ở tab Chi tiết từng link</v>
      </c>
    </row>
    <row r="15" ht="18.0" customHeight="1">
      <c r="A15" s="11">
        <f t="shared" si="1"/>
        <v>14</v>
      </c>
      <c r="B15" s="17" t="str">
        <f t="array" ref="B15">INDEX('Báo cáo 75 trang đích'!$C$2:$C$76,$A15)</f>
        <v>CASA</v>
      </c>
      <c r="C15" s="18" t="s">
        <v>138</v>
      </c>
      <c r="D15" s="17" t="str">
        <f t="array" ref="D15">INDEX('Báo cáo 75 trang đích'!$B$2:$B$76,$A15)</f>
        <v>https://techcombank.com/thong-tin/blog/cach-mo-tai-khoan</v>
      </c>
      <c r="E15" s="19" t="str">
        <f>IFERROR(__xludf.DUMMYFUNCTION("IFERROR(INDEX(FILTER('Chi tiết từng link'!$E$2:$E$2505,'Chi tiết từng link'!$B$2:$B$2505=$D15,'Chi tiết từng link'!$F$2:$F$2505&lt;&gt;""CẦN SOÁT""),1),"""")"),"cách mở tài khoản ngân hàng")</f>
        <v>cách mở tài khoản ngân hàng</v>
      </c>
      <c r="F15" s="17" t="str">
        <f>IFERROR(__xludf.DUMMYFUNCTION("IFERROR(INDEX(FILTER('Chi tiết từng link'!$D$2:$D$2505,'Chi tiết từng link'!$B$2:$B$2505=$D15,'Chi tiết từng link'!$F$2:$F$2505&lt;&gt;""CẦN SOÁT""),1),"""")"),"https://techcombank.com/thong-tin/blog/tai-khoan-ngan-hang-la-gi")</f>
        <v>https://techcombank.com/thong-tin/blog/tai-khoan-ngan-hang-la-gi</v>
      </c>
      <c r="G15" s="19" t="str">
        <f>IFERROR(__xludf.DUMMYFUNCTION("IFERROR(INDEX(FILTER('Chi tiết từng link'!$E$2:$E$2505,'Chi tiết từng link'!$B$2:$B$2505=$D15,'Chi tiết từng link'!$F$2:$F$2505&lt;&gt;""CẦN SOÁT""),2),"""")"),"mở tài khoản ngân hàng online")</f>
        <v>mở tài khoản ngân hàng online</v>
      </c>
      <c r="H15" s="17" t="str">
        <f>IFERROR(__xludf.DUMMYFUNCTION("IFERROR(INDEX(FILTER('Chi tiết từng link'!$D$2:$D$2505,'Chi tiết từng link'!$B$2:$B$2505=$D15,'Chi tiết từng link'!$F$2:$F$2505&lt;&gt;""CẦN SOÁT""),2),"""")"),"https://techcombank.com/thong-tin/blog/tai-khoan-thanh-toan-la-gi")</f>
        <v>https://techcombank.com/thong-tin/blog/tai-khoan-thanh-toan-la-gi</v>
      </c>
      <c r="I15" s="19" t="str">
        <f>IFERROR(__xludf.DUMMYFUNCTION("IFERROR(INDEX(FILTER('Chi tiết từng link'!$E$2:$E$2505,'Chi tiết từng link'!$B$2:$B$2505=$D15,'Chi tiết từng link'!$F$2:$F$2505&lt;&gt;""CẦN SOÁT""),3),"""")"),"tạo tài khoản ngân hàng")</f>
        <v>tạo tài khoản ngân hàng</v>
      </c>
      <c r="J15" s="17" t="str">
        <f>IFERROR(__xludf.DUMMYFUNCTION("IFERROR(INDEX(FILTER('Chi tiết từng link'!$D$2:$D$2505,'Chi tiết từng link'!$B$2:$B$2505=$D15,'Chi tiết từng link'!$F$2:$F$2505&lt;&gt;""CẦN SOÁT""),3),"""")"),"https://techcombank.com/thong-tin/blog/mo-tai-khoan-ngan-hang-online-co-an-toan-khong")</f>
        <v>https://techcombank.com/thong-tin/blog/mo-tai-khoan-ngan-hang-online-co-an-toan-khong</v>
      </c>
      <c r="K15" s="19" t="str">
        <f>IFERROR(__xludf.DUMMYFUNCTION("IFERROR(INDEX(FILTER('Chi tiết từng link'!$E$2:$E$2505,'Chi tiết từng link'!$B$2:$B$2505=$D15,'Chi tiết từng link'!$F$2:$F$2505&lt;&gt;""CẦN SOÁT""),4),"""")"),"cách mở tài khoản ngân hàng")</f>
        <v>cách mở tài khoản ngân hàng</v>
      </c>
      <c r="L15" s="17" t="str">
        <f>IFERROR(__xludf.DUMMYFUNCTION("IFERROR(INDEX(FILTER('Chi tiết từng link'!$D$2:$D$2505,'Chi tiết từng link'!$B$2:$B$2505=$D15,'Chi tiết từng link'!$F$2:$F$2505&lt;&gt;""CẦN SOÁT""),4),"""")"),"https://techcombank.com/thong-tin/blog/mo-tai-khoan-ngan-hang-co-mat-phi-khong")</f>
        <v>https://techcombank.com/thong-tin/blog/mo-tai-khoan-ngan-hang-co-mat-phi-khong</v>
      </c>
      <c r="M15" s="19" t="str">
        <f>IFERROR(__xludf.DUMMYFUNCTION("IFERROR(INDEX(FILTER('Chi tiết từng link'!$E$2:$E$2505,'Chi tiết từng link'!$B$2:$B$2505=$D15,'Chi tiết từng link'!$F$2:$F$2505&lt;&gt;""CẦN SOÁT""),5),"""")"),"mở tài khoản ngân hàng online")</f>
        <v>mở tài khoản ngân hàng online</v>
      </c>
      <c r="N15" s="17" t="str">
        <f>IFERROR(__xludf.DUMMYFUNCTION("IFERROR(INDEX(FILTER('Chi tiết từng link'!$D$2:$D$2505,'Chi tiết từng link'!$B$2:$B$2505=$D15,'Chi tiết từng link'!$F$2:$F$2505&lt;&gt;""CẦN SOÁT""),5),"""")"),"https://techcombank.com/thong-tin/blog/1-cmnd-dang-ky-duoc-may-tai-khoan-ngan-hang")</f>
        <v>https://techcombank.com/thong-tin/blog/1-cmnd-dang-ky-duoc-may-tai-khoan-ngan-hang</v>
      </c>
      <c r="O15" s="11">
        <f>COUNTIFS('Chi tiết từng link'!$B$2:$B$2505,$D15,'Chi tiết từng link'!$F$2:$F$2505,"&lt;&gt;CẦN SOÁT")</f>
        <v>5</v>
      </c>
      <c r="P15" s="23" t="s">
        <v>65</v>
      </c>
      <c r="Q15" s="23" t="b">
        <v>0</v>
      </c>
      <c r="R15" s="17" t="str">
        <f>IF(COUNTIFS('Chi tiết từng link'!$B$2:$B$2505,$D15,'Chi tiết từng link'!$F$2:$F$2505,"CẦN SOÁT")&gt;0,"Còn "&amp;COUNTIFS('Chi tiết từng link'!$B$2:$B$2505,$D15,'Chi tiết từng link'!$F$2:$F$2505,"CẦN SOÁT")&amp;" gợi ý cần soát ở tab Chi tiết từng link","")</f>
        <v>Còn 48 gợi ý cần soát ở tab Chi tiết từng link</v>
      </c>
    </row>
    <row r="16" ht="18.0" customHeight="1">
      <c r="A16" s="11">
        <f t="shared" si="1"/>
        <v>15</v>
      </c>
      <c r="B16" s="17" t="str">
        <f t="array" ref="B16">INDEX('Báo cáo 75 trang đích'!$C$2:$C$76,$A16)</f>
        <v>CASA</v>
      </c>
      <c r="C16" s="18" t="s">
        <v>144</v>
      </c>
      <c r="D16" s="17" t="str">
        <f t="array" ref="D16">INDEX('Báo cáo 75 trang đích'!$B$2:$B$76,$A16)</f>
        <v>https://techcombank.com/thong-tin/blog/ngan-hang-uy-tin</v>
      </c>
      <c r="E16" s="19" t="str">
        <f>IFERROR(__xludf.DUMMYFUNCTION("IFERROR(INDEX(FILTER('Chi tiết từng link'!$E$2:$E$2505,'Chi tiết từng link'!$B$2:$B$2505=$D16,'Chi tiết từng link'!$F$2:$F$2505&lt;&gt;""CẦN SOÁT""),1),"""")"),"ngân hàng uy tín")</f>
        <v>ngân hàng uy tín</v>
      </c>
      <c r="F16" s="17" t="str">
        <f>IFERROR(__xludf.DUMMYFUNCTION("IFERROR(INDEX(FILTER('Chi tiết từng link'!$D$2:$D$2505,'Chi tiết từng link'!$B$2:$B$2505=$D16,'Chi tiết từng link'!$F$2:$F$2505&lt;&gt;""CẦN SOÁT""),1),"""")"),"https://techcombank.com/thong-tin/blog/app-ngan-hang-uy-tin")</f>
        <v>https://techcombank.com/thong-tin/blog/app-ngan-hang-uy-tin</v>
      </c>
      <c r="G16" s="19" t="str">
        <f>IFERROR(__xludf.DUMMYFUNCTION("IFERROR(INDEX(FILTER('Chi tiết từng link'!$E$2:$E$2505,'Chi tiết từng link'!$B$2:$B$2505=$D16,'Chi tiết từng link'!$F$2:$F$2505&lt;&gt;""CẦN SOÁT""),2),"""")"),"chọn ngân hàng uy tín")</f>
        <v>chọn ngân hàng uy tín</v>
      </c>
      <c r="H16" s="17" t="str">
        <f>IFERROR(__xludf.DUMMYFUNCTION("IFERROR(INDEX(FILTER('Chi tiết từng link'!$D$2:$D$2505,'Chi tiết từng link'!$B$2:$B$2505=$D16,'Chi tiết từng link'!$F$2:$F$2505&lt;&gt;""CẦN SOÁT""),2),"""")"),"https://techcombank.com/thong-tin/blog/gui-tien-ngan-hang-co-an-toan-khong")</f>
        <v>https://techcombank.com/thong-tin/blog/gui-tien-ngan-hang-co-an-toan-khong</v>
      </c>
      <c r="I16" s="19" t="str">
        <f>IFERROR(__xludf.DUMMYFUNCTION("IFERROR(INDEX(FILTER('Chi tiết từng link'!$E$2:$E$2505,'Chi tiết từng link'!$B$2:$B$2505=$D16,'Chi tiết từng link'!$F$2:$F$2505&lt;&gt;""CẦN SOÁT""),3),"""")"),"ngân hàng uy tín")</f>
        <v>ngân hàng uy tín</v>
      </c>
      <c r="J16" s="17" t="str">
        <f>IFERROR(__xludf.DUMMYFUNCTION("IFERROR(INDEX(FILTER('Chi tiết từng link'!$D$2:$D$2505,'Chi tiết từng link'!$B$2:$B$2505=$D16,'Chi tiết từng link'!$F$2:$F$2505&lt;&gt;""CẦN SOÁT""),3),"""")"),"https://techcombank.com/thong-tin/blog/nen-mo-tai-khoan-ngan-hang-nao-cho-doanh-nghiep")</f>
        <v>https://techcombank.com/thong-tin/blog/nen-mo-tai-khoan-ngan-hang-nao-cho-doanh-nghiep</v>
      </c>
      <c r="K16" s="19" t="str">
        <f>IFERROR(__xludf.DUMMYFUNCTION("IFERROR(INDEX(FILTER('Chi tiết từng link'!$E$2:$E$2505,'Chi tiết từng link'!$B$2:$B$2505=$D16,'Chi tiết từng link'!$F$2:$F$2505&lt;&gt;""CẦN SOÁT""),4),"""")"),"chọn ngân hàng uy tín")</f>
        <v>chọn ngân hàng uy tín</v>
      </c>
      <c r="L16" s="17" t="str">
        <f>IFERROR(__xludf.DUMMYFUNCTION("IFERROR(INDEX(FILTER('Chi tiết từng link'!$D$2:$D$2505,'Chi tiết từng link'!$B$2:$B$2505=$D16,'Chi tiết từng link'!$F$2:$F$2505&lt;&gt;""CẦN SOÁT""),4),"""")"),"https://techcombank.com/thong-tin/blog/gio-lam-viec-ngan-hang")</f>
        <v>https://techcombank.com/thong-tin/blog/gio-lam-viec-ngan-hang</v>
      </c>
      <c r="M16" s="19" t="str">
        <f>IFERROR(__xludf.DUMMYFUNCTION("IFERROR(INDEX(FILTER('Chi tiết từng link'!$E$2:$E$2505,'Chi tiết từng link'!$B$2:$B$2505=$D16,'Chi tiết từng link'!$F$2:$F$2505&lt;&gt;""CẦN SOÁT""),5),"""")"),"ngân hàng uy tín")</f>
        <v>ngân hàng uy tín</v>
      </c>
      <c r="N16" s="17" t="str">
        <f>IFERROR(__xludf.DUMMYFUNCTION("IFERROR(INDEX(FILTER('Chi tiết từng link'!$D$2:$D$2505,'Chi tiết từng link'!$B$2:$B$2505=$D16,'Chi tiết từng link'!$F$2:$F$2505&lt;&gt;""CẦN SOÁT""),5),"""")"),"https://techcombank.com/thong-tin/blog/gia-tri-thuong-hieu")</f>
        <v>https://techcombank.com/thong-tin/blog/gia-tri-thuong-hieu</v>
      </c>
      <c r="O16" s="11">
        <f>COUNTIFS('Chi tiết từng link'!$B$2:$B$2505,$D16,'Chi tiết từng link'!$F$2:$F$2505,"&lt;&gt;CẦN SOÁT")</f>
        <v>5</v>
      </c>
      <c r="P16" s="23" t="s">
        <v>65</v>
      </c>
      <c r="Q16" s="23" t="b">
        <v>0</v>
      </c>
      <c r="R16" s="17" t="str">
        <f>IF(COUNTIFS('Chi tiết từng link'!$B$2:$B$2505,$D16,'Chi tiết từng link'!$F$2:$F$2505,"CẦN SOÁT")&gt;0,"Còn "&amp;COUNTIFS('Chi tiết từng link'!$B$2:$B$2505,$D16,'Chi tiết từng link'!$F$2:$F$2505,"CẦN SOÁT")&amp;" gợi ý cần soát ở tab Chi tiết từng link","")</f>
        <v>Còn 25 gợi ý cần soát ở tab Chi tiết từng link</v>
      </c>
    </row>
    <row r="17" ht="18.0" customHeight="1">
      <c r="A17" s="11">
        <f t="shared" si="1"/>
        <v>16</v>
      </c>
      <c r="B17" s="17" t="str">
        <f t="array" ref="B17">INDEX('Báo cáo 75 trang đích'!$C$2:$C$76,$A17)</f>
        <v>CASA</v>
      </c>
      <c r="C17" s="18" t="s">
        <v>149</v>
      </c>
      <c r="D17" s="17" t="str">
        <f t="array" ref="D17">INDEX('Báo cáo 75 trang đích'!$B$2:$B$76,$A17)</f>
        <v>https://techcombank.com/thong-tin/blog/chuyen-khoan-thanh-cong-nhung-khong-nhan-duoc-tien</v>
      </c>
      <c r="E17" s="19" t="str">
        <f>IFERROR(__xludf.DUMMYFUNCTION("IFERROR(INDEX(FILTER('Chi tiết từng link'!$E$2:$E$2505,'Chi tiết từng link'!$B$2:$B$2505=$D17,'Chi tiết từng link'!$F$2:$F$2505&lt;&gt;""CẦN SOÁT""),1),"""")"),"chuyển khoản thành công nhưng không nhận được tiền")</f>
        <v>chuyển khoản thành công nhưng không nhận được tiền</v>
      </c>
      <c r="F17" s="17" t="str">
        <f>IFERROR(__xludf.DUMMYFUNCTION("IFERROR(INDEX(FILTER('Chi tiết từng link'!$D$2:$D$2505,'Chi tiết từng link'!$B$2:$B$2505=$D17,'Chi tiết từng link'!$F$2:$F$2505&lt;&gt;""CẦN SOÁT""),1),"""")"),"https://techcombank.com/thong-tin/blog/cach-chuyen-tien")</f>
        <v>https://techcombank.com/thong-tin/blog/cach-chuyen-tien</v>
      </c>
      <c r="G17" s="19" t="str">
        <f>IFERROR(__xludf.DUMMYFUNCTION("IFERROR(INDEX(FILTER('Chi tiết từng link'!$E$2:$E$2505,'Chi tiết từng link'!$B$2:$B$2505=$D17,'Chi tiết từng link'!$F$2:$F$2505&lt;&gt;""CẦN SOÁT""),2),"""")"),"chuyển tiền thành công nhưng chưa nhận được")</f>
        <v>chuyển tiền thành công nhưng chưa nhận được</v>
      </c>
      <c r="H17" s="17" t="str">
        <f>IFERROR(__xludf.DUMMYFUNCTION("IFERROR(INDEX(FILTER('Chi tiết từng link'!$D$2:$D$2505,'Chi tiết từng link'!$B$2:$B$2505=$D17,'Chi tiết từng link'!$F$2:$F$2505&lt;&gt;""CẦN SOÁT""),2),"""")"),"https://techcombank.com/thong-tin/blog/chuyen-khoan-lien-ngan-hang")</f>
        <v>https://techcombank.com/thong-tin/blog/chuyen-khoan-lien-ngan-hang</v>
      </c>
      <c r="I17" s="19" t="str">
        <f>IFERROR(__xludf.DUMMYFUNCTION("IFERROR(INDEX(FILTER('Chi tiết từng link'!$E$2:$E$2505,'Chi tiết từng link'!$B$2:$B$2505=$D17,'Chi tiết từng link'!$F$2:$F$2505&lt;&gt;""CẦN SOÁT""),3),"""")"),"tiền chuyển khoản bị treo")</f>
        <v>tiền chuyển khoản bị treo</v>
      </c>
      <c r="J17" s="17" t="str">
        <f>IFERROR(__xludf.DUMMYFUNCTION("IFERROR(INDEX(FILTER('Chi tiết từng link'!$D$2:$D$2505,'Chi tiết từng link'!$B$2:$B$2505=$D17,'Chi tiết từng link'!$F$2:$F$2505&lt;&gt;""CẦN SOÁT""),3),"""")"),"https://techcombank.com/thong-tin/blog/ma-giao-dich-la-gi")</f>
        <v>https://techcombank.com/thong-tin/blog/ma-giao-dich-la-gi</v>
      </c>
      <c r="K17" s="19" t="str">
        <f>IFERROR(__xludf.DUMMYFUNCTION("IFERROR(INDEX(FILTER('Chi tiết từng link'!$E$2:$E$2505,'Chi tiết từng link'!$B$2:$B$2505=$D17,'Chi tiết từng link'!$F$2:$F$2505&lt;&gt;""CẦN SOÁT""),4),"""")"),"chuyển khoản thành công nhưng không nhận được tiền")</f>
        <v>chuyển khoản thành công nhưng không nhận được tiền</v>
      </c>
      <c r="L17" s="17" t="str">
        <f>IFERROR(__xludf.DUMMYFUNCTION("IFERROR(INDEX(FILTER('Chi tiết từng link'!$D$2:$D$2505,'Chi tiết từng link'!$B$2:$B$2505=$D17,'Chi tiết từng link'!$F$2:$F$2505&lt;&gt;""CẦN SOÁT""),4),"""")"),"https://techcombank.com/thong-tin/blog/chuyen-nham-tien-co-lay-lai-duoc-khong")</f>
        <v>https://techcombank.com/thong-tin/blog/chuyen-nham-tien-co-lay-lai-duoc-khong</v>
      </c>
      <c r="M17" s="19" t="str">
        <f>IFERROR(__xludf.DUMMYFUNCTION("IFERROR(INDEX(FILTER('Chi tiết từng link'!$E$2:$E$2505,'Chi tiết từng link'!$B$2:$B$2505=$D17,'Chi tiết từng link'!$F$2:$F$2505&lt;&gt;""CẦN SOÁT""),5),"""")"),"chuyển tiền thành công nhưng chưa nhận được")</f>
        <v>chuyển tiền thành công nhưng chưa nhận được</v>
      </c>
      <c r="N17" s="17" t="str">
        <f>IFERROR(__xludf.DUMMYFUNCTION("IFERROR(INDEX(FILTER('Chi tiết từng link'!$D$2:$D$2505,'Chi tiết từng link'!$B$2:$B$2505=$D17,'Chi tiết từng link'!$F$2:$F$2505&lt;&gt;""CẦN SOÁT""),5),"""")"),"https://techcombank.com/thong-tin/blog/ngan-hang-thu-huong-la-gi")</f>
        <v>https://techcombank.com/thong-tin/blog/ngan-hang-thu-huong-la-gi</v>
      </c>
      <c r="O17" s="11">
        <f>COUNTIFS('Chi tiết từng link'!$B$2:$B$2505,$D17,'Chi tiết từng link'!$F$2:$F$2505,"&lt;&gt;CẦN SOÁT")</f>
        <v>5</v>
      </c>
      <c r="P17" s="23" t="s">
        <v>65</v>
      </c>
      <c r="Q17" s="23" t="b">
        <v>0</v>
      </c>
      <c r="R17" s="17" t="str">
        <f>IF(COUNTIFS('Chi tiết từng link'!$B$2:$B$2505,$D17,'Chi tiết từng link'!$F$2:$F$2505,"CẦN SOÁT")&gt;0,"Còn "&amp;COUNTIFS('Chi tiết từng link'!$B$2:$B$2505,$D17,'Chi tiết từng link'!$F$2:$F$2505,"CẦN SOÁT")&amp;" gợi ý cần soát ở tab Chi tiết từng link","")</f>
        <v>Còn 41 gợi ý cần soát ở tab Chi tiết từng link</v>
      </c>
    </row>
    <row r="18" ht="18.0" customHeight="1">
      <c r="A18" s="11">
        <f t="shared" si="1"/>
        <v>17</v>
      </c>
      <c r="B18" s="17" t="str">
        <f t="array" ref="B18">INDEX('Báo cáo 75 trang đích'!$C$2:$C$76,$A18)</f>
        <v>CASA</v>
      </c>
      <c r="C18" s="18" t="s">
        <v>152</v>
      </c>
      <c r="D18" s="17" t="str">
        <f t="array" ref="D18">INDEX('Báo cáo 75 trang đích'!$B$2:$B$76,$A18)</f>
        <v>https://techcombank.com/thong-tin/blog/bao-nhieu-tuoi-duoc-mo-tai-khoan-ngan-hang</v>
      </c>
      <c r="E18" s="19" t="str">
        <f>IFERROR(__xludf.DUMMYFUNCTION("IFERROR(INDEX(FILTER('Chi tiết từng link'!$E$2:$E$2505,'Chi tiết từng link'!$B$2:$B$2505=$D18,'Chi tiết từng link'!$F$2:$F$2505&lt;&gt;""CẦN SOÁT""),1),"""")"),"bao nhiêu tuổi được mở tài khoản ngân hàng")</f>
        <v>bao nhiêu tuổi được mở tài khoản ngân hàng</v>
      </c>
      <c r="F18" s="17" t="str">
        <f>IFERROR(__xludf.DUMMYFUNCTION("IFERROR(INDEX(FILTER('Chi tiết từng link'!$D$2:$D$2505,'Chi tiết từng link'!$B$2:$B$2505=$D18,'Chi tiết từng link'!$F$2:$F$2505&lt;&gt;""CẦN SOÁT""),1),"""")"),"https://techcombank.com/thong-tin/blog/mo-tai-khoan-ngan-hang-cho-tre-em")</f>
        <v>https://techcombank.com/thong-tin/blog/mo-tai-khoan-ngan-hang-cho-tre-em</v>
      </c>
      <c r="G18" s="19" t="str">
        <f>IFERROR(__xludf.DUMMYFUNCTION("IFERROR(INDEX(FILTER('Chi tiết từng link'!$E$2:$E$2505,'Chi tiết từng link'!$B$2:$B$2505=$D18,'Chi tiết từng link'!$F$2:$F$2505&lt;&gt;""CẦN SOÁT""),2),"""")"),"độ tuổi mở tài khoản ngân hàng")</f>
        <v>độ tuổi mở tài khoản ngân hàng</v>
      </c>
      <c r="H18" s="17" t="str">
        <f>IFERROR(__xludf.DUMMYFUNCTION("IFERROR(INDEX(FILTER('Chi tiết từng link'!$D$2:$D$2505,'Chi tiết từng link'!$B$2:$B$2505=$D18,'Chi tiết từng link'!$F$2:$F$2505&lt;&gt;""CẦN SOÁT""),2),"""")"),"https://techcombank.com/thong-tin/blog/hoc-sinh-sinh-vien-nen-lam-the-ngan-hang-nao")</f>
        <v>https://techcombank.com/thong-tin/blog/hoc-sinh-sinh-vien-nen-lam-the-ngan-hang-nao</v>
      </c>
      <c r="I18" s="19" t="str">
        <f>IFERROR(__xludf.DUMMYFUNCTION("IFERROR(INDEX(FILTER('Chi tiết từng link'!$E$2:$E$2505,'Chi tiết từng link'!$B$2:$B$2505=$D18,'Chi tiết từng link'!$F$2:$F$2505&lt;&gt;""CẦN SOÁT""),3),"""")"),"bao nhiêu tuổi được mở tài khoản ngân hàng")</f>
        <v>bao nhiêu tuổi được mở tài khoản ngân hàng</v>
      </c>
      <c r="J18" s="17" t="str">
        <f>IFERROR(__xludf.DUMMYFUNCTION("IFERROR(INDEX(FILTER('Chi tiết từng link'!$D$2:$D$2505,'Chi tiết từng link'!$B$2:$B$2505=$D18,'Chi tiết từng link'!$F$2:$F$2505&lt;&gt;""CẦN SOÁT""),3),"""")"),"https://techcombank.com/thong-tin/blog/cach-lam-the-atm")</f>
        <v>https://techcombank.com/thong-tin/blog/cach-lam-the-atm</v>
      </c>
      <c r="K18" s="19" t="str">
        <f>IFERROR(__xludf.DUMMYFUNCTION("IFERROR(INDEX(FILTER('Chi tiết từng link'!$E$2:$E$2505,'Chi tiết từng link'!$B$2:$B$2505=$D18,'Chi tiết từng link'!$F$2:$F$2505&lt;&gt;""CẦN SOÁT""),4),"""")"),"độ tuổi mở tài khoản ngân hàng")</f>
        <v>độ tuổi mở tài khoản ngân hàng</v>
      </c>
      <c r="L18" s="17" t="str">
        <f>IFERROR(__xludf.DUMMYFUNCTION("IFERROR(INDEX(FILTER('Chi tiết từng link'!$D$2:$D$2505,'Chi tiết từng link'!$B$2:$B$2505=$D18,'Chi tiết từng link'!$F$2:$F$2505&lt;&gt;""CẦN SOÁT""),4),"""")"),"https://techcombank.com/thong-tin/blog/1-nguoi-co-the-lam-duoc-bao-nhieu-the-atm")</f>
        <v>https://techcombank.com/thong-tin/blog/1-nguoi-co-the-lam-duoc-bao-nhieu-the-atm</v>
      </c>
      <c r="M18" s="19" t="str">
        <f>IFERROR(__xludf.DUMMYFUNCTION("IFERROR(INDEX(FILTER('Chi tiết từng link'!$E$2:$E$2505,'Chi tiết từng link'!$B$2:$B$2505=$D18,'Chi tiết từng link'!$F$2:$F$2505&lt;&gt;""CẦN SOÁT""),5),"""")"),"bao nhiêu tuổi được mở tài khoản ngân hàng")</f>
        <v>bao nhiêu tuổi được mở tài khoản ngân hàng</v>
      </c>
      <c r="N18" s="17" t="str">
        <f>IFERROR(__xludf.DUMMYFUNCTION("IFERROR(INDEX(FILTER('Chi tiết từng link'!$D$2:$D$2505,'Chi tiết từng link'!$B$2:$B$2505=$D18,'Chi tiết từng link'!$F$2:$F$2505&lt;&gt;""CẦN SOÁT""),5),"""")"),"https://techcombank.com/thong-tin/blog/lam-the-atm-bao-lau-co")</f>
        <v>https://techcombank.com/thong-tin/blog/lam-the-atm-bao-lau-co</v>
      </c>
      <c r="O18" s="11">
        <f>COUNTIFS('Chi tiết từng link'!$B$2:$B$2505,$D18,'Chi tiết từng link'!$F$2:$F$2505,"&lt;&gt;CẦN SOÁT")</f>
        <v>5</v>
      </c>
      <c r="P18" s="23" t="s">
        <v>65</v>
      </c>
      <c r="Q18" s="23" t="b">
        <v>0</v>
      </c>
      <c r="R18" s="17" t="str">
        <f>IF(COUNTIFS('Chi tiết từng link'!$B$2:$B$2505,$D18,'Chi tiết từng link'!$F$2:$F$2505,"CẦN SOÁT")&gt;0,"Còn "&amp;COUNTIFS('Chi tiết từng link'!$B$2:$B$2505,$D18,'Chi tiết từng link'!$F$2:$F$2505,"CẦN SOÁT")&amp;" gợi ý cần soát ở tab Chi tiết từng link","")</f>
        <v>Còn 23 gợi ý cần soát ở tab Chi tiết từng link</v>
      </c>
    </row>
    <row r="19" ht="18.0" customHeight="1">
      <c r="A19" s="11">
        <f t="shared" si="1"/>
        <v>18</v>
      </c>
      <c r="B19" s="17" t="str">
        <f t="array" ref="B19">INDEX('Báo cáo 75 trang đích'!$C$2:$C$76,$A19)</f>
        <v>CASA</v>
      </c>
      <c r="C19" s="18" t="s">
        <v>156</v>
      </c>
      <c r="D19" s="17" t="str">
        <f t="array" ref="D19">INDEX('Báo cáo 75 trang đích'!$B$2:$B$76,$A19)</f>
        <v>https://techcombank.com/thong-tin/blog/mo-tai-khoan-ngan-hang-duoi-18-tuoi</v>
      </c>
      <c r="E19" s="19" t="str">
        <f>IFERROR(__xludf.DUMMYFUNCTION("IFERROR(INDEX(FILTER('Chi tiết từng link'!$E$2:$E$2505,'Chi tiết từng link'!$B$2:$B$2505=$D19,'Chi tiết từng link'!$F$2:$F$2505&lt;&gt;""CẦN SOÁT""),1),"""")"),"mở tài khoản ngân hàng dưới 18 tuổi")</f>
        <v>mở tài khoản ngân hàng dưới 18 tuổi</v>
      </c>
      <c r="F19" s="17" t="str">
        <f>IFERROR(__xludf.DUMMYFUNCTION("IFERROR(INDEX(FILTER('Chi tiết từng link'!$D$2:$D$2505,'Chi tiết từng link'!$B$2:$B$2505=$D19,'Chi tiết từng link'!$F$2:$F$2505&lt;&gt;""CẦN SOÁT""),1),"""")"),"https://techcombank.com/thong-tin/blog/the-debit-cho-con")</f>
        <v>https://techcombank.com/thong-tin/blog/the-debit-cho-con</v>
      </c>
      <c r="G19" s="19" t="str">
        <f>IFERROR(__xludf.DUMMYFUNCTION("IFERROR(INDEX(FILTER('Chi tiết từng link'!$E$2:$E$2505,'Chi tiết từng link'!$B$2:$B$2505=$D19,'Chi tiết từng link'!$F$2:$F$2505&lt;&gt;""CẦN SOÁT""),2),"""")"),"mở tài khoản ngân hàng cho học sinh")</f>
        <v>mở tài khoản ngân hàng cho học sinh</v>
      </c>
      <c r="H19" s="17" t="str">
        <f>IFERROR(__xludf.DUMMYFUNCTION("IFERROR(INDEX(FILTER('Chi tiết từng link'!$D$2:$D$2505,'Chi tiết từng link'!$B$2:$B$2505=$D19,'Chi tiết từng link'!$F$2:$F$2505&lt;&gt;""CẦN SOÁT""),2),"""")"),"https://techcombank.com/thong-tin/blog/mo-tai-khoan-tiet-kiem-cho-con")</f>
        <v>https://techcombank.com/thong-tin/blog/mo-tai-khoan-tiet-kiem-cho-con</v>
      </c>
      <c r="I19" s="19" t="str">
        <f>IFERROR(__xludf.DUMMYFUNCTION("IFERROR(INDEX(FILTER('Chi tiết từng link'!$E$2:$E$2505,'Chi tiết từng link'!$B$2:$B$2505=$D19,'Chi tiết từng link'!$F$2:$F$2505&lt;&gt;""CẦN SOÁT""),3),"""")"),"mở tài khoản ngân hàng dưới 18 tuổi")</f>
        <v>mở tài khoản ngân hàng dưới 18 tuổi</v>
      </c>
      <c r="J19" s="17" t="str">
        <f>IFERROR(__xludf.DUMMYFUNCTION("IFERROR(INDEX(FILTER('Chi tiết từng link'!$D$2:$D$2505,'Chi tiết từng link'!$B$2:$B$2505=$D19,'Chi tiết từng link'!$F$2:$F$2505&lt;&gt;""CẦN SOÁT""),3),"""")"),"https://techcombank.com/thong-tin/blog/mo-tai-khoan-ngan-hang-bang-so-dien-thoai")</f>
        <v>https://techcombank.com/thong-tin/blog/mo-tai-khoan-ngan-hang-bang-so-dien-thoai</v>
      </c>
      <c r="K19" s="19" t="str">
        <f>IFERROR(__xludf.DUMMYFUNCTION("IFERROR(INDEX(FILTER('Chi tiết từng link'!$E$2:$E$2505,'Chi tiết từng link'!$B$2:$B$2505=$D19,'Chi tiết từng link'!$F$2:$F$2505&lt;&gt;""CẦN SOÁT""),4),"""")"),"mở tài khoản ngân hàng cho học sinh")</f>
        <v>mở tài khoản ngân hàng cho học sinh</v>
      </c>
      <c r="L19" s="17" t="str">
        <f>IFERROR(__xludf.DUMMYFUNCTION("IFERROR(INDEX(FILTER('Chi tiết từng link'!$D$2:$D$2505,'Chi tiết từng link'!$B$2:$B$2505=$D19,'Chi tiết từng link'!$F$2:$F$2505&lt;&gt;""CẦN SOÁT""),4),"""")"),"https://techcombank.com/thong-tin/blog/quy-gia-dinh")</f>
        <v>https://techcombank.com/thong-tin/blog/quy-gia-dinh</v>
      </c>
      <c r="M19" s="19" t="str">
        <f>IFERROR(__xludf.DUMMYFUNCTION("IFERROR(INDEX(FILTER('Chi tiết từng link'!$E$2:$E$2505,'Chi tiết từng link'!$B$2:$B$2505=$D19,'Chi tiết từng link'!$F$2:$F$2505&lt;&gt;""CẦN SOÁT""),5),"""")"),"mở tài khoản ngân hàng dưới 18 tuổi")</f>
        <v>mở tài khoản ngân hàng dưới 18 tuổi</v>
      </c>
      <c r="N19" s="17" t="str">
        <f>IFERROR(__xludf.DUMMYFUNCTION("IFERROR(INDEX(FILTER('Chi tiết từng link'!$D$2:$D$2505,'Chi tiết từng link'!$B$2:$B$2505=$D19,'Chi tiết từng link'!$F$2:$F$2505&lt;&gt;""CẦN SOÁT""),5),"""")"),"https://techcombank.com/thong-tin/blog/dao-tao-the-he-ke-can")</f>
        <v>https://techcombank.com/thong-tin/blog/dao-tao-the-he-ke-can</v>
      </c>
      <c r="O19" s="11">
        <f>COUNTIFS('Chi tiết từng link'!$B$2:$B$2505,$D19,'Chi tiết từng link'!$F$2:$F$2505,"&lt;&gt;CẦN SOÁT")</f>
        <v>5</v>
      </c>
      <c r="P19" s="23" t="s">
        <v>65</v>
      </c>
      <c r="Q19" s="23" t="b">
        <v>0</v>
      </c>
      <c r="R19" s="17" t="str">
        <f>IF(COUNTIFS('Chi tiết từng link'!$B$2:$B$2505,$D19,'Chi tiết từng link'!$F$2:$F$2505,"CẦN SOÁT")&gt;0,"Còn "&amp;COUNTIFS('Chi tiết từng link'!$B$2:$B$2505,$D19,'Chi tiết từng link'!$F$2:$F$2505,"CẦN SOÁT")&amp;" gợi ý cần soát ở tab Chi tiết từng link","")</f>
        <v>Còn 10 gợi ý cần soát ở tab Chi tiết từng link</v>
      </c>
    </row>
    <row r="20" ht="18.0" customHeight="1">
      <c r="A20" s="11">
        <f t="shared" si="1"/>
        <v>19</v>
      </c>
      <c r="B20" s="17" t="str">
        <f t="array" ref="B20">INDEX('Báo cáo 75 trang đích'!$C$2:$C$76,$A20)</f>
        <v>CASA</v>
      </c>
      <c r="C20" s="18" t="s">
        <v>159</v>
      </c>
      <c r="D20" s="17" t="str">
        <f t="array" ref="D20">INDEX('Báo cáo 75 trang đích'!$B$2:$B$76,$A20)</f>
        <v>https://techcombank.com/thong-tin/blog/nap-tien-vao-tai-khoan-ngan-hang</v>
      </c>
      <c r="E20" s="19" t="str">
        <f>IFERROR(__xludf.DUMMYFUNCTION("IFERROR(INDEX(FILTER('Chi tiết từng link'!$E$2:$E$2505,'Chi tiết từng link'!$B$2:$B$2505=$D20,'Chi tiết từng link'!$F$2:$F$2505&lt;&gt;""CẦN SOÁT""),1),"""")"),"nạp tiền vào tài khoản ngân hàng")</f>
        <v>nạp tiền vào tài khoản ngân hàng</v>
      </c>
      <c r="F20" s="17" t="str">
        <f>IFERROR(__xludf.DUMMYFUNCTION("IFERROR(INDEX(FILTER('Chi tiết từng link'!$D$2:$D$2505,'Chi tiết từng link'!$B$2:$B$2505=$D20,'Chi tiết từng link'!$F$2:$F$2505&lt;&gt;""CẦN SOÁT""),1),"""")"),"https://techcombank.com/thong-tin/blog/cdm")</f>
        <v>https://techcombank.com/thong-tin/blog/cdm</v>
      </c>
      <c r="G20" s="19" t="str">
        <f>IFERROR(__xludf.DUMMYFUNCTION("IFERROR(INDEX(FILTER('Chi tiết từng link'!$E$2:$E$2505,'Chi tiết từng link'!$B$2:$B$2505=$D20,'Chi tiết từng link'!$F$2:$F$2505&lt;&gt;""CẦN SOÁT""),2),"""")"),"nộp tiền vào tài khoản")</f>
        <v>nộp tiền vào tài khoản</v>
      </c>
      <c r="H20" s="17" t="str">
        <f>IFERROR(__xludf.DUMMYFUNCTION("IFERROR(INDEX(FILTER('Chi tiết từng link'!$D$2:$D$2505,'Chi tiết từng link'!$B$2:$B$2505=$D20,'Chi tiết từng link'!$F$2:$F$2505&lt;&gt;""CẦN SOÁT""),2),"""")"),"https://techcombank.com/thong-tin/blog/cach-nap-tien-vao-the-ghi-no")</f>
        <v>https://techcombank.com/thong-tin/blog/cach-nap-tien-vao-the-ghi-no</v>
      </c>
      <c r="I20" s="19" t="str">
        <f>IFERROR(__xludf.DUMMYFUNCTION("IFERROR(INDEX(FILTER('Chi tiết từng link'!$E$2:$E$2505,'Chi tiết từng link'!$B$2:$B$2505=$D20,'Chi tiết từng link'!$F$2:$F$2505&lt;&gt;""CẦN SOÁT""),3),"""")"),"nạp tiền vào tài khoản ngân hàng")</f>
        <v>nạp tiền vào tài khoản ngân hàng</v>
      </c>
      <c r="J20" s="17" t="str">
        <f>IFERROR(__xludf.DUMMYFUNCTION("IFERROR(INDEX(FILTER('Chi tiết từng link'!$D$2:$D$2505,'Chi tiết từng link'!$B$2:$B$2505=$D20,'Chi tiết từng link'!$F$2:$F$2505&lt;&gt;""CẦN SOÁT""),3),"""")"),"https://techcombank.com/thong-tin/blog/tai-khoan-ngan-hang-con-0-dong-co-sao-khong")</f>
        <v>https://techcombank.com/thong-tin/blog/tai-khoan-ngan-hang-con-0-dong-co-sao-khong</v>
      </c>
      <c r="K20" s="19" t="str">
        <f>IFERROR(__xludf.DUMMYFUNCTION("IFERROR(INDEX(FILTER('Chi tiết từng link'!$E$2:$E$2505,'Chi tiết từng link'!$B$2:$B$2505=$D20,'Chi tiết từng link'!$F$2:$F$2505&lt;&gt;""CẦN SOÁT""),4),"""")"),"nộp tiền vào tài khoản")</f>
        <v>nộp tiền vào tài khoản</v>
      </c>
      <c r="L20" s="17" t="str">
        <f>IFERROR(__xludf.DUMMYFUNCTION("IFERROR(INDEX(FILTER('Chi tiết từng link'!$D$2:$D$2505,'Chi tiết từng link'!$B$2:$B$2505=$D20,'Chi tiết từng link'!$F$2:$F$2505&lt;&gt;""CẦN SOÁT""),4),"""")"),"https://techcombank.com/thong-tin/blog/nop-tien-mat-vao-tai-khoan-cong-ty")</f>
        <v>https://techcombank.com/thong-tin/blog/nop-tien-mat-vao-tai-khoan-cong-ty</v>
      </c>
      <c r="M20" s="19" t="str">
        <f>IFERROR(__xludf.DUMMYFUNCTION("IFERROR(INDEX(FILTER('Chi tiết từng link'!$E$2:$E$2505,'Chi tiết từng link'!$B$2:$B$2505=$D20,'Chi tiết từng link'!$F$2:$F$2505&lt;&gt;""CẦN SOÁT""),5),"""")"),"nạp tiền vào tài khoản ngân hàng")</f>
        <v>nạp tiền vào tài khoản ngân hàng</v>
      </c>
      <c r="N20" s="17" t="str">
        <f>IFERROR(__xludf.DUMMYFUNCTION("IFERROR(INDEX(FILTER('Chi tiết từng link'!$D$2:$D$2505,'Chi tiết từng link'!$B$2:$B$2505=$D20,'Chi tiết từng link'!$F$2:$F$2505&lt;&gt;""CẦN SOÁT""),5),"""")"),"https://techcombank.com/thong-tin/blog/cay-atm-gan-day")</f>
        <v>https://techcombank.com/thong-tin/blog/cay-atm-gan-day</v>
      </c>
      <c r="O20" s="11">
        <f>COUNTIFS('Chi tiết từng link'!$B$2:$B$2505,$D20,'Chi tiết từng link'!$F$2:$F$2505,"&lt;&gt;CẦN SOÁT")</f>
        <v>5</v>
      </c>
      <c r="P20" s="23" t="s">
        <v>65</v>
      </c>
      <c r="Q20" s="23" t="b">
        <v>0</v>
      </c>
      <c r="R20" s="17" t="str">
        <f>IF(COUNTIFS('Chi tiết từng link'!$B$2:$B$2505,$D20,'Chi tiết từng link'!$F$2:$F$2505,"CẦN SOÁT")&gt;0,"Còn "&amp;COUNTIFS('Chi tiết từng link'!$B$2:$B$2505,$D20,'Chi tiết từng link'!$F$2:$F$2505,"CẦN SOÁT")&amp;" gợi ý cần soát ở tab Chi tiết từng link","")</f>
        <v>Còn 27 gợi ý cần soát ở tab Chi tiết từng link</v>
      </c>
    </row>
    <row r="21" ht="18.0" customHeight="1">
      <c r="A21" s="11">
        <f t="shared" si="1"/>
        <v>20</v>
      </c>
      <c r="B21" s="17" t="str">
        <f t="array" ref="B21">INDEX('Báo cáo 75 trang đích'!$C$2:$C$76,$A21)</f>
        <v>CASA</v>
      </c>
      <c r="C21" s="18" t="s">
        <v>163</v>
      </c>
      <c r="D21" s="17" t="str">
        <f t="array" ref="D21">INDEX('Báo cáo 75 trang đích'!$B$2:$B$76,$A21)</f>
        <v>https://techcombank.com/thong-tin/blog/cach-sao-ke-tai-khoan-ngan-hang</v>
      </c>
      <c r="E21" s="19" t="str">
        <f>IFERROR(__xludf.DUMMYFUNCTION("IFERROR(INDEX(FILTER('Chi tiết từng link'!$E$2:$E$2505,'Chi tiết từng link'!$B$2:$B$2505=$D21,'Chi tiết từng link'!$F$2:$F$2505&lt;&gt;""CẦN SOÁT""),1),"""")"),"cách sao kê tài khoản ngân hàng")</f>
        <v>cách sao kê tài khoản ngân hàng</v>
      </c>
      <c r="F21" s="17" t="str">
        <f>IFERROR(__xludf.DUMMYFUNCTION("IFERROR(INDEX(FILTER('Chi tiết từng link'!$D$2:$D$2505,'Chi tiết từng link'!$B$2:$B$2505=$D21,'Chi tiết từng link'!$F$2:$F$2505&lt;&gt;""CẦN SOÁT""),1),"""")"),"https://techcombank.com/thong-tin/blog/sao-ke-luong")</f>
        <v>https://techcombank.com/thong-tin/blog/sao-ke-luong</v>
      </c>
      <c r="G21" s="19" t="str">
        <f>IFERROR(__xludf.DUMMYFUNCTION("IFERROR(INDEX(FILTER('Chi tiết từng link'!$E$2:$E$2505,'Chi tiết từng link'!$B$2:$B$2505=$D21,'Chi tiết từng link'!$F$2:$F$2505&lt;&gt;""CẦN SOÁT""),2),"""")"),"sao kê tài khoản ngân hàng")</f>
        <v>sao kê tài khoản ngân hàng</v>
      </c>
      <c r="H21" s="17" t="str">
        <f>IFERROR(__xludf.DUMMYFUNCTION("IFERROR(INDEX(FILTER('Chi tiết từng link'!$D$2:$D$2505,'Chi tiết từng link'!$B$2:$B$2505=$D21,'Chi tiết từng link'!$F$2:$F$2505&lt;&gt;""CẦN SOÁT""),2),"""")"),"https://techcombank.com/thong-tin/blog/sao-ke-tai-khoan-doanh-nghiep")</f>
        <v>https://techcombank.com/thong-tin/blog/sao-ke-tai-khoan-doanh-nghiep</v>
      </c>
      <c r="I21" s="19" t="str">
        <f>IFERROR(__xludf.DUMMYFUNCTION("IFERROR(INDEX(FILTER('Chi tiết từng link'!$E$2:$E$2505,'Chi tiết từng link'!$B$2:$B$2505=$D21,'Chi tiết từng link'!$F$2:$F$2505&lt;&gt;""CẦN SOÁT""),3),"""")"),"cách sao kê tài khoản ngân hàng")</f>
        <v>cách sao kê tài khoản ngân hàng</v>
      </c>
      <c r="J21" s="17" t="str">
        <f>IFERROR(__xludf.DUMMYFUNCTION("IFERROR(INDEX(FILTER('Chi tiết từng link'!$D$2:$D$2505,'Chi tiết từng link'!$B$2:$B$2505=$D21,'Chi tiết từng link'!$F$2:$F$2505&lt;&gt;""CẦN SOÁT""),3),"""")"),"https://techcombank.com/thong-tin/blog/vay-the-chap-qua-luong")</f>
        <v>https://techcombank.com/thong-tin/blog/vay-the-chap-qua-luong</v>
      </c>
      <c r="K21" s="19" t="str">
        <f>IFERROR(__xludf.DUMMYFUNCTION("IFERROR(INDEX(FILTER('Chi tiết từng link'!$E$2:$E$2505,'Chi tiết từng link'!$B$2:$B$2505=$D21,'Chi tiết từng link'!$F$2:$F$2505&lt;&gt;""CẦN SOÁT""),4),"""")"),"sao kê tài khoản ngân hàng")</f>
        <v>sao kê tài khoản ngân hàng</v>
      </c>
      <c r="L21" s="17" t="str">
        <f>IFERROR(__xludf.DUMMYFUNCTION("IFERROR(INDEX(FILTER('Chi tiết từng link'!$D$2:$D$2505,'Chi tiết từng link'!$B$2:$B$2505=$D21,'Chi tiết từng link'!$F$2:$F$2505&lt;&gt;""CẦN SOÁT""),4),"""")"),"https://techcombank.com/thong-tin/blog/tien-chuyen-vao-tai-khoan-co-bi-tinh-thue-khong")</f>
        <v>https://techcombank.com/thong-tin/blog/tien-chuyen-vao-tai-khoan-co-bi-tinh-thue-khong</v>
      </c>
      <c r="M21" s="19" t="str">
        <f>IFERROR(__xludf.DUMMYFUNCTION("IFERROR(INDEX(FILTER('Chi tiết từng link'!$E$2:$E$2505,'Chi tiết từng link'!$B$2:$B$2505=$D21,'Chi tiết từng link'!$F$2:$F$2505&lt;&gt;""CẦN SOÁT""),5),"""")"),"cách sao kê tài khoản ngân hàng")</f>
        <v>cách sao kê tài khoản ngân hàng</v>
      </c>
      <c r="N21" s="17" t="str">
        <f>IFERROR(__xludf.DUMMYFUNCTION("IFERROR(INDEX(FILTER('Chi tiết từng link'!$D$2:$D$2505,'Chi tiết từng link'!$B$2:$B$2505=$D21,'Chi tiết từng link'!$F$2:$F$2505&lt;&gt;""CẦN SOÁT""),5),"""")"),"https://techcombank.com/thong-tin/blog/ghi-chep-chi-tieu")</f>
        <v>https://techcombank.com/thong-tin/blog/ghi-chep-chi-tieu</v>
      </c>
      <c r="O21" s="11">
        <f>COUNTIFS('Chi tiết từng link'!$B$2:$B$2505,$D21,'Chi tiết từng link'!$F$2:$F$2505,"&lt;&gt;CẦN SOÁT")</f>
        <v>5</v>
      </c>
      <c r="P21" s="23" t="s">
        <v>65</v>
      </c>
      <c r="Q21" s="23" t="b">
        <v>0</v>
      </c>
      <c r="R21" s="17" t="str">
        <f>IF(COUNTIFS('Chi tiết từng link'!$B$2:$B$2505,$D21,'Chi tiết từng link'!$F$2:$F$2505,"CẦN SOÁT")&gt;0,"Còn "&amp;COUNTIFS('Chi tiết từng link'!$B$2:$B$2505,$D21,'Chi tiết từng link'!$F$2:$F$2505,"CẦN SOÁT")&amp;" gợi ý cần soát ở tab Chi tiết từng link","")</f>
        <v>Còn 38 gợi ý cần soát ở tab Chi tiết từng link</v>
      </c>
    </row>
    <row r="22" ht="18.0" customHeight="1">
      <c r="A22" s="11">
        <f t="shared" si="1"/>
        <v>21</v>
      </c>
      <c r="B22" s="17" t="str">
        <f t="array" ref="B22">INDEX('Báo cáo 75 trang đích'!$C$2:$C$76,$A22)</f>
        <v>CASA</v>
      </c>
      <c r="C22" s="18" t="s">
        <v>165</v>
      </c>
      <c r="D22" s="17" t="str">
        <f t="array" ref="D22">INDEX('Báo cáo 75 trang đích'!$B$2:$B$76,$A22)</f>
        <v>https://techcombank.com/thong-tin/blog/day-so-phat-tai-phat-loc</v>
      </c>
      <c r="E22" s="19" t="str">
        <f>IFERROR(__xludf.DUMMYFUNCTION("IFERROR(INDEX(FILTER('Chi tiết từng link'!$E$2:$E$2505,'Chi tiết từng link'!$B$2:$B$2505=$D22,'Chi tiết từng link'!$F$2:$F$2505&lt;&gt;""CẦN SOÁT""),1),"""")"),"dãy số phát tài phát lộc")</f>
        <v>dãy số phát tài phát lộc</v>
      </c>
      <c r="F22" s="17" t="str">
        <f>IFERROR(__xludf.DUMMYFUNCTION("IFERROR(INDEX(FILTER('Chi tiết từng link'!$D$2:$D$2505,'Chi tiết từng link'!$B$2:$B$2505=$D22,'Chi tiết từng link'!$F$2:$F$2505&lt;&gt;""CẦN SOÁT""),1),"""")"),"https://techcombank.com/thong-tin/blog/88-la-gi")</f>
        <v>https://techcombank.com/thong-tin/blog/88-la-gi</v>
      </c>
      <c r="G22" s="19" t="str">
        <f>IFERROR(__xludf.DUMMYFUNCTION("IFERROR(INDEX(FILTER('Chi tiết từng link'!$E$2:$E$2505,'Chi tiết từng link'!$B$2:$B$2505=$D22,'Chi tiết từng link'!$F$2:$F$2505&lt;&gt;""CẦN SOÁT""),2),"""")"),"số tài khoản phát tài phát lộc")</f>
        <v>số tài khoản phát tài phát lộc</v>
      </c>
      <c r="H22" s="17" t="str">
        <f>IFERROR(__xludf.DUMMYFUNCTION("IFERROR(INDEX(FILTER('Chi tiết từng link'!$D$2:$D$2505,'Chi tiết từng link'!$B$2:$B$2505=$D22,'Chi tiết từng link'!$F$2:$F$2505&lt;&gt;""CẦN SOÁT""),2),"""")"),"https://techcombank.com/thong-tin/blog/so-6868")</f>
        <v>https://techcombank.com/thong-tin/blog/so-6868</v>
      </c>
      <c r="I22" s="19" t="str">
        <f>IFERROR(__xludf.DUMMYFUNCTION("IFERROR(INDEX(FILTER('Chi tiết từng link'!$E$2:$E$2505,'Chi tiết từng link'!$B$2:$B$2505=$D22,'Chi tiết từng link'!$F$2:$F$2505&lt;&gt;""CẦN SOÁT""),3),"""")"),"dãy số phát tài phát lộc")</f>
        <v>dãy số phát tài phát lộc</v>
      </c>
      <c r="J22" s="17" t="str">
        <f>IFERROR(__xludf.DUMMYFUNCTION("IFERROR(INDEX(FILTER('Chi tiết từng link'!$D$2:$D$2505,'Chi tiết từng link'!$B$2:$B$2505=$D22,'Chi tiết từng link'!$F$2:$F$2505&lt;&gt;""CẦN SOÁT""),3),"""")"),"https://techcombank.com/thong-tin/blog/so-tai-khoan-dep")</f>
        <v>https://techcombank.com/thong-tin/blog/so-tai-khoan-dep</v>
      </c>
      <c r="K22" s="19" t="str">
        <f>IFERROR(__xludf.DUMMYFUNCTION("IFERROR(INDEX(FILTER('Chi tiết từng link'!$E$2:$E$2505,'Chi tiết từng link'!$B$2:$B$2505=$D22,'Chi tiết từng link'!$F$2:$F$2505&lt;&gt;""CẦN SOÁT""),4),"""")"),"số tài khoản phát tài phát lộc")</f>
        <v>số tài khoản phát tài phát lộc</v>
      </c>
      <c r="L22" s="17" t="str">
        <f>IFERROR(__xludf.DUMMYFUNCTION("IFERROR(INDEX(FILTER('Chi tiết từng link'!$D$2:$D$2505,'Chi tiết từng link'!$B$2:$B$2505=$D22,'Chi tiết từng link'!$F$2:$F$2505&lt;&gt;""CẦN SOÁT""),4),"""")"),"https://techcombank.com/thong-tin/blog/cach-chon-so-tai-khoan-dep")</f>
        <v>https://techcombank.com/thong-tin/blog/cach-chon-so-tai-khoan-dep</v>
      </c>
      <c r="M22" s="19" t="str">
        <f>IFERROR(__xludf.DUMMYFUNCTION("IFERROR(INDEX(FILTER('Chi tiết từng link'!$E$2:$E$2505,'Chi tiết từng link'!$B$2:$B$2505=$D22,'Chi tiết từng link'!$F$2:$F$2505&lt;&gt;""CẦN SOÁT""),5),"""")"),"dãy số phát tài phát lộc")</f>
        <v>dãy số phát tài phát lộc</v>
      </c>
      <c r="N22" s="17" t="str">
        <f>IFERROR(__xludf.DUMMYFUNCTION("IFERROR(INDEX(FILTER('Chi tiết từng link'!$D$2:$D$2505,'Chi tiết từng link'!$B$2:$B$2505=$D22,'Chi tiết từng link'!$F$2:$F$2505&lt;&gt;""CẦN SOÁT""),5),"""")"),"https://techcombank.com/thong-tin/blog/li-xi-so-dep")</f>
        <v>https://techcombank.com/thong-tin/blog/li-xi-so-dep</v>
      </c>
      <c r="O22" s="11">
        <f>COUNTIFS('Chi tiết từng link'!$B$2:$B$2505,$D22,'Chi tiết từng link'!$F$2:$F$2505,"&lt;&gt;CẦN SOÁT")</f>
        <v>5</v>
      </c>
      <c r="P22" s="23" t="s">
        <v>65</v>
      </c>
      <c r="Q22" s="23" t="b">
        <v>0</v>
      </c>
      <c r="R22" s="17" t="str">
        <f>IF(COUNTIFS('Chi tiết từng link'!$B$2:$B$2505,$D22,'Chi tiết từng link'!$F$2:$F$2505,"CẦN SOÁT")&gt;0,"Còn "&amp;COUNTIFS('Chi tiết từng link'!$B$2:$B$2505,$D22,'Chi tiết từng link'!$F$2:$F$2505,"CẦN SOÁT")&amp;" gợi ý cần soát ở tab Chi tiết từng link","")</f>
        <v>Còn 7 gợi ý cần soát ở tab Chi tiết từng link</v>
      </c>
    </row>
    <row r="23" ht="18.0" customHeight="1">
      <c r="A23" s="11">
        <f t="shared" si="1"/>
        <v>22</v>
      </c>
      <c r="B23" s="17" t="str">
        <f t="array" ref="B23">INDEX('Báo cáo 75 trang đích'!$C$2:$C$76,$A23)</f>
        <v>CASA</v>
      </c>
      <c r="C23" s="18" t="s">
        <v>171</v>
      </c>
      <c r="D23" s="17" t="str">
        <f t="array" ref="D23">INDEX('Báo cáo 75 trang đích'!$B$2:$B$76,$A23)</f>
        <v>https://techcombank.com/thong-tin/blog/kiem-tra-thue-thu-nhap-ca-nhan</v>
      </c>
      <c r="E23" s="19" t="str">
        <f>IFERROR(__xludf.DUMMYFUNCTION("IFERROR(INDEX(FILTER('Chi tiết từng link'!$E$2:$E$2505,'Chi tiết từng link'!$B$2:$B$2505=$D23,'Chi tiết từng link'!$F$2:$F$2505&lt;&gt;""CẦN SOÁT""),1),"""")"),"kiểm tra thuế thu nhập cá nhân")</f>
        <v>kiểm tra thuế thu nhập cá nhân</v>
      </c>
      <c r="F23" s="17" t="str">
        <f>IFERROR(__xludf.DUMMYFUNCTION("IFERROR(INDEX(FILTER('Chi tiết từng link'!$D$2:$D$2505,'Chi tiết từng link'!$B$2:$B$2505=$D23,'Chi tiết từng link'!$F$2:$F$2505&lt;&gt;""CẦN SOÁT""),1),"""")"),"https://techcombank.com/thong-tin/blog/tra-cuu-no-thue-ca-nhan")</f>
        <v>https://techcombank.com/thong-tin/blog/tra-cuu-no-thue-ca-nhan</v>
      </c>
      <c r="G23" s="19" t="str">
        <f>IFERROR(__xludf.DUMMYFUNCTION("IFERROR(INDEX(FILTER('Chi tiết từng link'!$E$2:$E$2505,'Chi tiết từng link'!$B$2:$B$2505=$D23,'Chi tiết từng link'!$F$2:$F$2505&lt;&gt;""CẦN SOÁT""),2),"""")"),"kiểm tra thuế TNCN online")</f>
        <v>kiểm tra thuế TNCN online</v>
      </c>
      <c r="H23" s="17" t="str">
        <f>IFERROR(__xludf.DUMMYFUNCTION("IFERROR(INDEX(FILTER('Chi tiết từng link'!$D$2:$D$2505,'Chi tiết từng link'!$B$2:$B$2505=$D23,'Chi tiết từng link'!$F$2:$F$2505&lt;&gt;""CẦN SOÁT""),2),"""")"),"https://techcombank.com/thong-tin/blog/dang-ky-ma-so-thue-ca-nhan")</f>
        <v>https://techcombank.com/thong-tin/blog/dang-ky-ma-so-thue-ca-nhan</v>
      </c>
      <c r="I23" s="19" t="str">
        <f>IFERROR(__xludf.DUMMYFUNCTION("IFERROR(INDEX(FILTER('Chi tiết từng link'!$E$2:$E$2505,'Chi tiết từng link'!$B$2:$B$2505=$D23,'Chi tiết từng link'!$F$2:$F$2505&lt;&gt;""CẦN SOÁT""),3),"""")"),"tra cứu thuế TNCN")</f>
        <v>tra cứu thuế TNCN</v>
      </c>
      <c r="J23" s="17" t="str">
        <f>IFERROR(__xludf.DUMMYFUNCTION("IFERROR(INDEX(FILTER('Chi tiết từng link'!$D$2:$D$2505,'Chi tiết từng link'!$B$2:$B$2505=$D23,'Chi tiết từng link'!$F$2:$F$2505&lt;&gt;""CẦN SOÁT""),3),"""")"),"https://techcombank.com/thong-tin/blog/lien-ket-tai-khoan-ngan-hang-voi-etax-mobile")</f>
        <v>https://techcombank.com/thong-tin/blog/lien-ket-tai-khoan-ngan-hang-voi-etax-mobile</v>
      </c>
      <c r="K23" s="19" t="str">
        <f>IFERROR(__xludf.DUMMYFUNCTION("IFERROR(INDEX(FILTER('Chi tiết từng link'!$E$2:$E$2505,'Chi tiết từng link'!$B$2:$B$2505=$D23,'Chi tiết từng link'!$F$2:$F$2505&lt;&gt;""CẦN SOÁT""),4),"""")"),"kiểm tra thuế thu nhập cá nhân")</f>
        <v>kiểm tra thuế thu nhập cá nhân</v>
      </c>
      <c r="L23" s="17" t="str">
        <f>IFERROR(__xludf.DUMMYFUNCTION("IFERROR(INDEX(FILTER('Chi tiết từng link'!$D$2:$D$2505,'Chi tiết từng link'!$B$2:$B$2505=$D23,'Chi tiết từng link'!$F$2:$F$2505&lt;&gt;""CẦN SOÁT""),4),"""")"),"https://techcombank.com/thong-tin/blog/hoan-thue-thu-nhap-ca-nhan")</f>
        <v>https://techcombank.com/thong-tin/blog/hoan-thue-thu-nhap-ca-nhan</v>
      </c>
      <c r="M23" s="19" t="str">
        <f>IFERROR(__xludf.DUMMYFUNCTION("IFERROR(INDEX(FILTER('Chi tiết từng link'!$E$2:$E$2505,'Chi tiết từng link'!$B$2:$B$2505=$D23,'Chi tiết từng link'!$F$2:$F$2505&lt;&gt;""CẦN SOÁT""),5),"""")"),"kiểm tra thuế TNCN online")</f>
        <v>kiểm tra thuế TNCN online</v>
      </c>
      <c r="N23" s="17" t="str">
        <f>IFERROR(__xludf.DUMMYFUNCTION("IFERROR(INDEX(FILTER('Chi tiết từng link'!$D$2:$D$2505,'Chi tiết từng link'!$B$2:$B$2505=$D23,'Chi tiết từng link'!$F$2:$F$2505&lt;&gt;""CẦN SOÁT""),5),"""")"),"https://techcombank.com/thong-tin/blog/quyet-toan-thue-thu-nhap-ca-nhan")</f>
        <v>https://techcombank.com/thong-tin/blog/quyet-toan-thue-thu-nhap-ca-nhan</v>
      </c>
      <c r="O23" s="11">
        <f>COUNTIFS('Chi tiết từng link'!$B$2:$B$2505,$D23,'Chi tiết từng link'!$F$2:$F$2505,"&lt;&gt;CẦN SOÁT")</f>
        <v>5</v>
      </c>
      <c r="P23" s="23" t="s">
        <v>65</v>
      </c>
      <c r="Q23" s="23" t="b">
        <v>0</v>
      </c>
      <c r="R23" s="17" t="str">
        <f>IF(COUNTIFS('Chi tiết từng link'!$B$2:$B$2505,$D23,'Chi tiết từng link'!$F$2:$F$2505,"CẦN SOÁT")&gt;0,"Còn "&amp;COUNTIFS('Chi tiết từng link'!$B$2:$B$2505,$D23,'Chi tiết từng link'!$F$2:$F$2505,"CẦN SOÁT")&amp;" gợi ý cần soát ở tab Chi tiết từng link","")</f>
        <v>Còn 13 gợi ý cần soát ở tab Chi tiết từng link</v>
      </c>
    </row>
    <row r="24" ht="18.0" customHeight="1">
      <c r="A24" s="11">
        <f t="shared" si="1"/>
        <v>23</v>
      </c>
      <c r="B24" s="17" t="str">
        <f t="array" ref="B24">INDEX('Báo cáo 75 trang đích'!$C$2:$C$76,$A24)</f>
        <v>CASA</v>
      </c>
      <c r="C24" s="18" t="s">
        <v>182</v>
      </c>
      <c r="D24" s="17" t="str">
        <f t="array" ref="D24">INDEX('Báo cáo 75 trang đích'!$B$2:$B$76,$A24)</f>
        <v>https://techcombank.com/thong-tin/blog/ten-dang-nhap-tai-khoan-ngan-hang-la-gi</v>
      </c>
      <c r="E24" s="19" t="str">
        <f>IFERROR(__xludf.DUMMYFUNCTION("IFERROR(INDEX(FILTER('Chi tiết từng link'!$E$2:$E$2505,'Chi tiết từng link'!$B$2:$B$2505=$D24,'Chi tiết từng link'!$F$2:$F$2505&lt;&gt;""CẦN SOÁT""),1),"""")"),"tên đăng nhập tài khoản ngân hàng")</f>
        <v>tên đăng nhập tài khoản ngân hàng</v>
      </c>
      <c r="F24" s="17" t="str">
        <f>IFERROR(__xludf.DUMMYFUNCTION("IFERROR(INDEX(FILTER('Chi tiết từng link'!$D$2:$D$2505,'Chi tiết từng link'!$B$2:$B$2505=$D24,'Chi tiết từng link'!$F$2:$F$2505&lt;&gt;""CẦN SOÁT""),1),"""")"),"https://techcombank.com/thong-tin/blog/cach-doi-mat-khau-tai-khoan-ngan-hang")</f>
        <v>https://techcombank.com/thong-tin/blog/cach-doi-mat-khau-tai-khoan-ngan-hang</v>
      </c>
      <c r="G24" s="19" t="str">
        <f>IFERROR(__xludf.DUMMYFUNCTION("IFERROR(INDEX(FILTER('Chi tiết từng link'!$E$2:$E$2505,'Chi tiết từng link'!$B$2:$B$2505=$D24,'Chi tiết từng link'!$F$2:$F$2505&lt;&gt;""CẦN SOÁT""),2),"""")"),"tên đăng nhập")</f>
        <v>tên đăng nhập</v>
      </c>
      <c r="H24" s="17" t="str">
        <f>IFERROR(__xludf.DUMMYFUNCTION("IFERROR(INDEX(FILTER('Chi tiết từng link'!$D$2:$D$2505,'Chi tiết từng link'!$B$2:$B$2505=$D24,'Chi tiết từng link'!$F$2:$F$2505&lt;&gt;""CẦN SOÁT""),2),"""")"),"https://techcombank.com/thong-tin/blog/internet-banking")</f>
        <v>https://techcombank.com/thong-tin/blog/internet-banking</v>
      </c>
      <c r="I24" s="19" t="str">
        <f>IFERROR(__xludf.DUMMYFUNCTION("IFERROR(INDEX(FILTER('Chi tiết từng link'!$E$2:$E$2505,'Chi tiết từng link'!$B$2:$B$2505=$D24,'Chi tiết từng link'!$F$2:$F$2505&lt;&gt;""CẦN SOÁT""),3),"""")"),"tên đăng nhập tài khoản ngân hàng")</f>
        <v>tên đăng nhập tài khoản ngân hàng</v>
      </c>
      <c r="J24" s="17" t="str">
        <f>IFERROR(__xludf.DUMMYFUNCTION("IFERROR(INDEX(FILTER('Chi tiết từng link'!$D$2:$D$2505,'Chi tiết từng link'!$B$2:$B$2505=$D24,'Chi tiết từng link'!$F$2:$F$2505&lt;&gt;""CẦN SOÁT""),3),"""")"),"https://techcombank.com/thong-tin/blog/cach-bao-ve-tai-khoan")</f>
        <v>https://techcombank.com/thong-tin/blog/cach-bao-ve-tai-khoan</v>
      </c>
      <c r="K24" s="19" t="str">
        <f>IFERROR(__xludf.DUMMYFUNCTION("IFERROR(INDEX(FILTER('Chi tiết từng link'!$E$2:$E$2505,'Chi tiết từng link'!$B$2:$B$2505=$D24,'Chi tiết từng link'!$F$2:$F$2505&lt;&gt;""CẦN SOÁT""),4),"""")"),"tên đăng nhập")</f>
        <v>tên đăng nhập</v>
      </c>
      <c r="L24" s="17" t="str">
        <f>IFERROR(__xludf.DUMMYFUNCTION("IFERROR(INDEX(FILTER('Chi tiết từng link'!$D$2:$D$2505,'Chi tiết từng link'!$B$2:$B$2505=$D24,'Chi tiết từng link'!$F$2:$F$2505&lt;&gt;""CẦN SOÁT""),4),"""")"),"https://techcombank.com/thong-tin/blog/smart-otp-la-gi")</f>
        <v>https://techcombank.com/thong-tin/blog/smart-otp-la-gi</v>
      </c>
      <c r="M24" s="19" t="str">
        <f>IFERROR(__xludf.DUMMYFUNCTION("IFERROR(INDEX(FILTER('Chi tiết từng link'!$E$2:$E$2505,'Chi tiết từng link'!$B$2:$B$2505=$D24,'Chi tiết từng link'!$F$2:$F$2505&lt;&gt;""CẦN SOÁT""),5),"""")"),"tên đăng nhập tài khoản ngân hàng")</f>
        <v>tên đăng nhập tài khoản ngân hàng</v>
      </c>
      <c r="N24" s="17" t="str">
        <f>IFERROR(__xludf.DUMMYFUNCTION("IFERROR(INDEX(FILTER('Chi tiết từng link'!$D$2:$D$2505,'Chi tiết từng link'!$B$2:$B$2505=$D24,'Chi tiết từng link'!$F$2:$F$2505&lt;&gt;""CẦN SOÁT""),5),"""")"),"https://techcombank.com/thong-tin/blog/mat-so-dien-thoai-dang-ky-tai-khoan-ngan-hang")</f>
        <v>https://techcombank.com/thong-tin/blog/mat-so-dien-thoai-dang-ky-tai-khoan-ngan-hang</v>
      </c>
      <c r="O24" s="11">
        <f>COUNTIFS('Chi tiết từng link'!$B$2:$B$2505,$D24,'Chi tiết từng link'!$F$2:$F$2505,"&lt;&gt;CẦN SOÁT")</f>
        <v>5</v>
      </c>
      <c r="P24" s="23" t="s">
        <v>65</v>
      </c>
      <c r="Q24" s="23" t="b">
        <v>0</v>
      </c>
      <c r="R24" s="17" t="str">
        <f>IF(COUNTIFS('Chi tiết từng link'!$B$2:$B$2505,$D24,'Chi tiết từng link'!$F$2:$F$2505,"CẦN SOÁT")&gt;0,"Còn "&amp;COUNTIFS('Chi tiết từng link'!$B$2:$B$2505,$D24,'Chi tiết từng link'!$F$2:$F$2505,"CẦN SOÁT")&amp;" gợi ý cần soát ở tab Chi tiết từng link","")</f>
        <v>Còn 28 gợi ý cần soát ở tab Chi tiết từng link</v>
      </c>
    </row>
    <row r="25" ht="18.0" customHeight="1">
      <c r="A25" s="11">
        <f t="shared" si="1"/>
        <v>24</v>
      </c>
      <c r="B25" s="17" t="str">
        <f t="array" ref="B25">INDEX('Báo cáo 75 trang đích'!$C$2:$C$76,$A25)</f>
        <v>CASA</v>
      </c>
      <c r="C25" s="18" t="s">
        <v>190</v>
      </c>
      <c r="D25" s="17" t="str">
        <f t="array" ref="D25">INDEX('Báo cáo 75 trang đích'!$B$2:$B$76,$A25)</f>
        <v>https://techcombank.com/thong-tin/blog/thue-thu-nhap-ca-nhan</v>
      </c>
      <c r="E25" s="19" t="str">
        <f>IFERROR(__xludf.DUMMYFUNCTION("IFERROR(INDEX(FILTER('Chi tiết từng link'!$E$2:$E$2505,'Chi tiết từng link'!$B$2:$B$2505=$D25,'Chi tiết từng link'!$F$2:$F$2505&lt;&gt;""CẦN SOÁT""),1),"""")"),"thuế thu nhập cá nhân")</f>
        <v>thuế thu nhập cá nhân</v>
      </c>
      <c r="F25" s="17" t="str">
        <f>IFERROR(__xludf.DUMMYFUNCTION("IFERROR(INDEX(FILTER('Chi tiết từng link'!$D$2:$D$2505,'Chi tiết từng link'!$B$2:$B$2505=$D25,'Chi tiết từng link'!$F$2:$F$2505&lt;&gt;""CẦN SOÁT""),1),"""")"),"https://techcombank.com/thong-tin/blog/tien-chuyen-vao-tai-khoan-co-bi-tinh-thue-khong")</f>
        <v>https://techcombank.com/thong-tin/blog/tien-chuyen-vao-tai-khoan-co-bi-tinh-thue-khong</v>
      </c>
      <c r="G25" s="19" t="str">
        <f>IFERROR(__xludf.DUMMYFUNCTION("IFERROR(INDEX(FILTER('Chi tiết từng link'!$E$2:$E$2505,'Chi tiết từng link'!$B$2:$B$2505=$D25,'Chi tiết từng link'!$F$2:$F$2505&lt;&gt;""CẦN SOÁT""),2),"""")"),"thuế TNCN")</f>
        <v>thuế TNCN</v>
      </c>
      <c r="H25" s="17" t="str">
        <f>IFERROR(__xludf.DUMMYFUNCTION("IFERROR(INDEX(FILTER('Chi tiết từng link'!$D$2:$D$2505,'Chi tiết từng link'!$B$2:$B$2505=$D25,'Chi tiết từng link'!$F$2:$F$2505&lt;&gt;""CẦN SOÁT""),2),"""")"),"https://techcombank.com/thong-tin/blog/tra-cuu-no-thue-ca-nhan")</f>
        <v>https://techcombank.com/thong-tin/blog/tra-cuu-no-thue-ca-nhan</v>
      </c>
      <c r="I25" s="19" t="str">
        <f>IFERROR(__xludf.DUMMYFUNCTION("IFERROR(INDEX(FILTER('Chi tiết từng link'!$E$2:$E$2505,'Chi tiết từng link'!$B$2:$B$2505=$D25,'Chi tiết từng link'!$F$2:$F$2505&lt;&gt;""CẦN SOÁT""),3),"""")"),"mức đóng thuế thu nhập cá nhân")</f>
        <v>mức đóng thuế thu nhập cá nhân</v>
      </c>
      <c r="J25" s="17" t="str">
        <f>IFERROR(__xludf.DUMMYFUNCTION("IFERROR(INDEX(FILTER('Chi tiết từng link'!$D$2:$D$2505,'Chi tiết từng link'!$B$2:$B$2505=$D25,'Chi tiết từng link'!$F$2:$F$2505&lt;&gt;""CẦN SOÁT""),3),"""")"),"https://techcombank.com/thong-tin/blog/luong-huu")</f>
        <v>https://techcombank.com/thong-tin/blog/luong-huu</v>
      </c>
      <c r="K25" s="19" t="str">
        <f>IFERROR(__xludf.DUMMYFUNCTION("IFERROR(INDEX(FILTER('Chi tiết từng link'!$E$2:$E$2505,'Chi tiết từng link'!$B$2:$B$2505=$D25,'Chi tiết từng link'!$F$2:$F$2505&lt;&gt;""CẦN SOÁT""),4),"""")"),"thuế thu nhập cá nhân")</f>
        <v>thuế thu nhập cá nhân</v>
      </c>
      <c r="L25" s="17" t="str">
        <f>IFERROR(__xludf.DUMMYFUNCTION("IFERROR(INDEX(FILTER('Chi tiết từng link'!$D$2:$D$2505,'Chi tiết từng link'!$B$2:$B$2505=$D25,'Chi tiết từng link'!$F$2:$F$2505&lt;&gt;""CẦN SOÁT""),4),"""")"),"https://techcombank.com/thong-tin/blog/sao-ke-luong")</f>
        <v>https://techcombank.com/thong-tin/blog/sao-ke-luong</v>
      </c>
      <c r="M25" s="19" t="str">
        <f>IFERROR(__xludf.DUMMYFUNCTION("IFERROR(INDEX(FILTER('Chi tiết từng link'!$E$2:$E$2505,'Chi tiết từng link'!$B$2:$B$2505=$D25,'Chi tiết từng link'!$F$2:$F$2505&lt;&gt;""CẦN SOÁT""),5),"""")"),"")</f>
        <v/>
      </c>
      <c r="N25" s="17" t="str">
        <f>IFERROR(__xludf.DUMMYFUNCTION("IFERROR(INDEX(FILTER('Chi tiết từng link'!$D$2:$D$2505,'Chi tiết từng link'!$B$2:$B$2505=$D25,'Chi tiết từng link'!$F$2:$F$2505&lt;&gt;""CẦN SOÁT""),5),"""")"),"")</f>
        <v/>
      </c>
      <c r="O25" s="11">
        <f>COUNTIFS('Chi tiết từng link'!$B$2:$B$2505,$D25,'Chi tiết từng link'!$F$2:$F$2505,"&lt;&gt;CẦN SOÁT")</f>
        <v>4</v>
      </c>
      <c r="P25" s="23" t="s">
        <v>65</v>
      </c>
      <c r="Q25" s="23" t="b">
        <v>0</v>
      </c>
      <c r="R25" s="17" t="str">
        <f>IF(COUNTIFS('Chi tiết từng link'!$B$2:$B$2505,$D25,'Chi tiết từng link'!$F$2:$F$2505,"CẦN SOÁT")&gt;0,"Còn "&amp;COUNTIFS('Chi tiết từng link'!$B$2:$B$2505,$D25,'Chi tiết từng link'!$F$2:$F$2505,"CẦN SOÁT")&amp;" gợi ý cần soát ở tab Chi tiết từng link","")</f>
        <v>Còn 13 gợi ý cần soát ở tab Chi tiết từng link</v>
      </c>
    </row>
    <row r="26" ht="18.0" customHeight="1">
      <c r="A26" s="11">
        <f t="shared" si="1"/>
        <v>25</v>
      </c>
      <c r="B26" s="17" t="str">
        <f t="array" ref="B26">INDEX('Báo cáo 75 trang đích'!$C$2:$C$76,$A26)</f>
        <v>CASA</v>
      </c>
      <c r="C26" s="18" t="s">
        <v>195</v>
      </c>
      <c r="D26" s="17" t="str">
        <f t="array" ref="D26">INDEX('Báo cáo 75 trang đích'!$B$2:$B$76,$A26)</f>
        <v>https://techcombank.com/thong-tin/blog/rut-tien-bang-ma-qr-la-gi-cach-thuc-hien-nhu-the-nao</v>
      </c>
      <c r="E26" s="19" t="str">
        <f>IFERROR(__xludf.DUMMYFUNCTION("IFERROR(INDEX(FILTER('Chi tiết từng link'!$E$2:$E$2505,'Chi tiết từng link'!$B$2:$B$2505=$D26,'Chi tiết từng link'!$F$2:$F$2505&lt;&gt;""CẦN SOÁT""),1),"""")"),"rút tiền bằng mã QR")</f>
        <v>rút tiền bằng mã QR</v>
      </c>
      <c r="F26" s="17" t="str">
        <f>IFERROR(__xludf.DUMMYFUNCTION("IFERROR(INDEX(FILTER('Chi tiết từng link'!$D$2:$D$2505,'Chi tiết từng link'!$B$2:$B$2505=$D26,'Chi tiết từng link'!$F$2:$F$2505&lt;&gt;""CẦN SOÁT""),1),"""")"),"https://techcombank.com/thong-tin/blog/rut-tien-bang-ma-qr-khac-ngan-hang-duoc-khong")</f>
        <v>https://techcombank.com/thong-tin/blog/rut-tien-bang-ma-qr-khac-ngan-hang-duoc-khong</v>
      </c>
      <c r="G26" s="19" t="str">
        <f>IFERROR(__xludf.DUMMYFUNCTION("IFERROR(INDEX(FILTER('Chi tiết từng link'!$E$2:$E$2505,'Chi tiết từng link'!$B$2:$B$2505=$D26,'Chi tiết từng link'!$F$2:$F$2505&lt;&gt;""CẦN SOÁT""),2),"""")"),"cách rút tiền bằng mã QR")</f>
        <v>cách rút tiền bằng mã QR</v>
      </c>
      <c r="H26" s="17" t="str">
        <f>IFERROR(__xludf.DUMMYFUNCTION("IFERROR(INDEX(FILTER('Chi tiết từng link'!$D$2:$D$2505,'Chi tiết từng link'!$B$2:$B$2505=$D26,'Chi tiết từng link'!$F$2:$F$2505&lt;&gt;""CẦN SOÁT""),2),"""")"),"https://techcombank.com/thong-tin/blog/cach-rut-tien-atm")</f>
        <v>https://techcombank.com/thong-tin/blog/cach-rut-tien-atm</v>
      </c>
      <c r="I26" s="19" t="str">
        <f>IFERROR(__xludf.DUMMYFUNCTION("IFERROR(INDEX(FILTER('Chi tiết từng link'!$E$2:$E$2505,'Chi tiết từng link'!$B$2:$B$2505=$D26,'Chi tiết từng link'!$F$2:$F$2505&lt;&gt;""CẦN SOÁT""),3),"""")"),"rút tiền không cần thẻ")</f>
        <v>rút tiền không cần thẻ</v>
      </c>
      <c r="J26" s="17" t="str">
        <f>IFERROR(__xludf.DUMMYFUNCTION("IFERROR(INDEX(FILTER('Chi tiết từng link'!$D$2:$D$2505,'Chi tiết từng link'!$B$2:$B$2505=$D26,'Chi tiết từng link'!$F$2:$F$2505&lt;&gt;""CẦN SOÁT""),3),"""")"),"https://techcombank.com/thong-tin/blog/the-atm-khong-rut-duoc-tien")</f>
        <v>https://techcombank.com/thong-tin/blog/the-atm-khong-rut-duoc-tien</v>
      </c>
      <c r="K26" s="19" t="str">
        <f>IFERROR(__xludf.DUMMYFUNCTION("IFERROR(INDEX(FILTER('Chi tiết từng link'!$E$2:$E$2505,'Chi tiết từng link'!$B$2:$B$2505=$D26,'Chi tiết từng link'!$F$2:$F$2505&lt;&gt;""CẦN SOÁT""),4),"""")"),"rút tiền bằng mã QR")</f>
        <v>rút tiền bằng mã QR</v>
      </c>
      <c r="L26" s="17" t="str">
        <f>IFERROR(__xludf.DUMMYFUNCTION("IFERROR(INDEX(FILTER('Chi tiết từng link'!$D$2:$D$2505,'Chi tiết từng link'!$B$2:$B$2505=$D26,'Chi tiết từng link'!$F$2:$F$2505&lt;&gt;""CẦN SOÁT""),4),"""")"),"https://techcombank.com/thong-tin/blog/bi-nuot-the-atm-phai-lam-sao")</f>
        <v>https://techcombank.com/thong-tin/blog/bi-nuot-the-atm-phai-lam-sao</v>
      </c>
      <c r="M26" s="19" t="str">
        <f>IFERROR(__xludf.DUMMYFUNCTION("IFERROR(INDEX(FILTER('Chi tiết từng link'!$E$2:$E$2505,'Chi tiết từng link'!$B$2:$B$2505=$D26,'Chi tiết từng link'!$F$2:$F$2505&lt;&gt;""CẦN SOÁT""),5),"""")"),"cách rút tiền bằng mã QR")</f>
        <v>cách rút tiền bằng mã QR</v>
      </c>
      <c r="N26" s="17" t="str">
        <f>IFERROR(__xludf.DUMMYFUNCTION("IFERROR(INDEX(FILTER('Chi tiết từng link'!$D$2:$D$2505,'Chi tiết từng link'!$B$2:$B$2505=$D26,'Chi tiết từng link'!$F$2:$F$2505&lt;&gt;""CẦN SOÁT""),5),"""")"),"https://techcombank.com/thong-tin/blog/cay-atm-gan-day")</f>
        <v>https://techcombank.com/thong-tin/blog/cay-atm-gan-day</v>
      </c>
      <c r="O26" s="11">
        <f>COUNTIFS('Chi tiết từng link'!$B$2:$B$2505,$D26,'Chi tiết từng link'!$F$2:$F$2505,"&lt;&gt;CẦN SOÁT")</f>
        <v>5</v>
      </c>
      <c r="P26" s="23" t="s">
        <v>65</v>
      </c>
      <c r="Q26" s="23" t="b">
        <v>0</v>
      </c>
      <c r="R26" s="17" t="str">
        <f>IF(COUNTIFS('Chi tiết từng link'!$B$2:$B$2505,$D26,'Chi tiết từng link'!$F$2:$F$2505,"CẦN SOÁT")&gt;0,"Còn "&amp;COUNTIFS('Chi tiết từng link'!$B$2:$B$2505,$D26,'Chi tiết từng link'!$F$2:$F$2505,"CẦN SOÁT")&amp;" gợi ý cần soát ở tab Chi tiết từng link","")</f>
        <v>Còn 53 gợi ý cần soát ở tab Chi tiết từng link</v>
      </c>
    </row>
    <row r="27" ht="18.0" customHeight="1">
      <c r="A27" s="11">
        <f t="shared" si="1"/>
        <v>26</v>
      </c>
      <c r="B27" s="17" t="str">
        <f t="array" ref="B27">INDEX('Báo cáo 75 trang đích'!$C$2:$C$76,$A27)</f>
        <v>CASA</v>
      </c>
      <c r="C27" s="18" t="s">
        <v>201</v>
      </c>
      <c r="D27" s="17" t="str">
        <f t="array" ref="D27">INDEX('Báo cáo 75 trang đích'!$B$2:$B$76,$A27)</f>
        <v>https://techcombank.com/thong-tin/blog/cach-quet-nfc-cccd-tren-iphone</v>
      </c>
      <c r="E27" s="19" t="str">
        <f>IFERROR(__xludf.DUMMYFUNCTION("IFERROR(INDEX(FILTER('Chi tiết từng link'!$E$2:$E$2505,'Chi tiết từng link'!$B$2:$B$2505=$D27,'Chi tiết từng link'!$F$2:$F$2505&lt;&gt;""CẦN SOÁT""),1),"""")"),"quét NFC CCCD trên iPhone")</f>
        <v>quét NFC CCCD trên iPhone</v>
      </c>
      <c r="F27" s="17" t="str">
        <f>IFERROR(__xludf.DUMMYFUNCTION("IFERROR(INDEX(FILTER('Chi tiết từng link'!$D$2:$D$2505,'Chi tiết từng link'!$B$2:$B$2505=$D27,'Chi tiết từng link'!$F$2:$F$2505&lt;&gt;""CẦN SOÁT""),1),"""")"),"https://techcombank.com/thong-tin/blog/xac-thuc-sinh-trac-hoc-khi-chuyen-tien")</f>
        <v>https://techcombank.com/thong-tin/blog/xac-thuc-sinh-trac-hoc-khi-chuyen-tien</v>
      </c>
      <c r="G27" s="19" t="str">
        <f>IFERROR(__xludf.DUMMYFUNCTION("IFERROR(INDEX(FILTER('Chi tiết từng link'!$E$2:$E$2505,'Chi tiết từng link'!$B$2:$B$2505=$D27,'Chi tiết từng link'!$F$2:$F$2505&lt;&gt;""CẦN SOÁT""),2),"""")"),"quét NFC CCCD")</f>
        <v>quét NFC CCCD</v>
      </c>
      <c r="H27" s="17" t="str">
        <f>IFERROR(__xludf.DUMMYFUNCTION("IFERROR(INDEX(FILTER('Chi tiết từng link'!$D$2:$D$2505,'Chi tiết từng link'!$B$2:$B$2505=$D27,'Chi tiết từng link'!$F$2:$F$2505&lt;&gt;""CẦN SOÁT""),2),"""")"),"https://techcombank.com/thong-tin/blog/cach-lien-ket-tai-khoan-ngan-hang-voi-vneid")</f>
        <v>https://techcombank.com/thong-tin/blog/cach-lien-ket-tai-khoan-ngan-hang-voi-vneid</v>
      </c>
      <c r="I27" s="19" t="str">
        <f>IFERROR(__xludf.DUMMYFUNCTION("IFERROR(INDEX(FILTER('Chi tiết từng link'!$E$2:$E$2505,'Chi tiết từng link'!$B$2:$B$2505=$D27,'Chi tiết từng link'!$F$2:$F$2505&lt;&gt;""CẦN SOÁT""),3),"""")"),"cách quét NFC căn cước")</f>
        <v>cách quét NFC căn cước</v>
      </c>
      <c r="J27" s="17" t="str">
        <f>IFERROR(__xludf.DUMMYFUNCTION("IFERROR(INDEX(FILTER('Chi tiết từng link'!$D$2:$D$2505,'Chi tiết từng link'!$B$2:$B$2505=$D27,'Chi tiết từng link'!$F$2:$F$2505&lt;&gt;""CẦN SOÁT""),3),"""")"),"https://techcombank.com/thong-tin/blog/ekyc-la-gi")</f>
        <v>https://techcombank.com/thong-tin/blog/ekyc-la-gi</v>
      </c>
      <c r="K27" s="19" t="str">
        <f>IFERROR(__xludf.DUMMYFUNCTION("IFERROR(INDEX(FILTER('Chi tiết từng link'!$E$2:$E$2505,'Chi tiết từng link'!$B$2:$B$2505=$D27,'Chi tiết từng link'!$F$2:$F$2505&lt;&gt;""CẦN SOÁT""),4),"""")"),"quét NFC CCCD trên iPhone")</f>
        <v>quét NFC CCCD trên iPhone</v>
      </c>
      <c r="L27" s="17" t="str">
        <f>IFERROR(__xludf.DUMMYFUNCTION("IFERROR(INDEX(FILTER('Chi tiết từng link'!$D$2:$D$2505,'Chi tiết từng link'!$B$2:$B$2505=$D27,'Chi tiết từng link'!$F$2:$F$2505&lt;&gt;""CẦN SOÁT""),4),"""")"),"https://techcombank.com/thong-tin/blog/cach-dang-ky-dinh-danh-muc-2")</f>
        <v>https://techcombank.com/thong-tin/blog/cach-dang-ky-dinh-danh-muc-2</v>
      </c>
      <c r="M27" s="19" t="str">
        <f>IFERROR(__xludf.DUMMYFUNCTION("IFERROR(INDEX(FILTER('Chi tiết từng link'!$E$2:$E$2505,'Chi tiết từng link'!$B$2:$B$2505=$D27,'Chi tiết từng link'!$F$2:$F$2505&lt;&gt;""CẦN SOÁT""),5),"""")"),"quét NFC CCCD")</f>
        <v>quét NFC CCCD</v>
      </c>
      <c r="N27" s="17" t="str">
        <f>IFERROR(__xludf.DUMMYFUNCTION("IFERROR(INDEX(FILTER('Chi tiết từng link'!$D$2:$D$2505,'Chi tiết từng link'!$B$2:$B$2505=$D27,'Chi tiết từng link'!$F$2:$F$2505&lt;&gt;""CẦN SOÁT""),5),"""")"),"https://techcombank.com/thong-tin/blog/mo-tai-khoan-ngan-hang-bang-so-dien-thoai")</f>
        <v>https://techcombank.com/thong-tin/blog/mo-tai-khoan-ngan-hang-bang-so-dien-thoai</v>
      </c>
      <c r="O27" s="11">
        <f>COUNTIFS('Chi tiết từng link'!$B$2:$B$2505,$D27,'Chi tiết từng link'!$F$2:$F$2505,"&lt;&gt;CẦN SOÁT")</f>
        <v>5</v>
      </c>
      <c r="P27" s="23" t="s">
        <v>65</v>
      </c>
      <c r="Q27" s="23" t="b">
        <v>0</v>
      </c>
      <c r="R27" s="17" t="str">
        <f>IF(COUNTIFS('Chi tiết từng link'!$B$2:$B$2505,$D27,'Chi tiết từng link'!$F$2:$F$2505,"CẦN SOÁT")&gt;0,"Còn "&amp;COUNTIFS('Chi tiết từng link'!$B$2:$B$2505,$D27,'Chi tiết từng link'!$F$2:$F$2505,"CẦN SOÁT")&amp;" gợi ý cần soát ở tab Chi tiết từng link","")</f>
        <v>Còn 9 gợi ý cần soát ở tab Chi tiết từng link</v>
      </c>
    </row>
    <row r="28" ht="18.0" customHeight="1">
      <c r="A28" s="11">
        <f t="shared" si="1"/>
        <v>27</v>
      </c>
      <c r="B28" s="17" t="str">
        <f t="array" ref="B28">INDEX('Báo cáo 75 trang đích'!$C$2:$C$76,$A28)</f>
        <v>CASA</v>
      </c>
      <c r="C28" s="18" t="s">
        <v>205</v>
      </c>
      <c r="D28" s="17" t="str">
        <f t="array" ref="D28">INDEX('Báo cáo 75 trang đích'!$B$2:$B$76,$A28)</f>
        <v>https://techcombank.com/thong-tin/blog/eco-card</v>
      </c>
      <c r="E28" s="19" t="str">
        <f>IFERROR(__xludf.DUMMYFUNCTION("IFERROR(INDEX(FILTER('Chi tiết từng link'!$E$2:$E$2505,'Chi tiết từng link'!$B$2:$B$2505=$D28,'Chi tiết từng link'!$F$2:$F$2505&lt;&gt;""CẦN SOÁT""),1),"""")"),"eco card")</f>
        <v>eco card</v>
      </c>
      <c r="F28" s="17" t="str">
        <f>IFERROR(__xludf.DUMMYFUNCTION("IFERROR(INDEX(FILTER('Chi tiết từng link'!$D$2:$D$2505,'Chi tiết từng link'!$B$2:$B$2505=$D28,'Chi tiết từng link'!$F$2:$F$2505&lt;&gt;""CẦN SOÁT""),1),"""")"),"https://techcombank.com/thong-tin/blog/dau-chan-carbon")</f>
        <v>https://techcombank.com/thong-tin/blog/dau-chan-carbon</v>
      </c>
      <c r="G28" s="19" t="str">
        <f>IFERROR(__xludf.DUMMYFUNCTION("IFERROR(INDEX(FILTER('Chi tiết từng link'!$E$2:$E$2505,'Chi tiết từng link'!$B$2:$B$2505=$D28,'Chi tiết từng link'!$F$2:$F$2505&lt;&gt;""CẦN SOÁT""),2),"""")"),"thẻ Eco")</f>
        <v>thẻ Eco</v>
      </c>
      <c r="H28" s="17" t="str">
        <f>IFERROR(__xludf.DUMMYFUNCTION("IFERROR(INDEX(FILTER('Chi tiết từng link'!$D$2:$D$2505,'Chi tiết từng link'!$B$2:$B$2505=$D28,'Chi tiết từng link'!$F$2:$F$2505&lt;&gt;""CẦN SOÁT""),2),"""")"),"https://techcombank.com/thong-tin/blog/san-pham-xanh")</f>
        <v>https://techcombank.com/thong-tin/blog/san-pham-xanh</v>
      </c>
      <c r="I28" s="19" t="str">
        <f>IFERROR(__xludf.DUMMYFUNCTION("IFERROR(INDEX(FILTER('Chi tiết từng link'!$E$2:$E$2505,'Chi tiết từng link'!$B$2:$B$2505=$D28,'Chi tiết từng link'!$F$2:$F$2505&lt;&gt;""CẦN SOÁT""),3),"""")"),"Techcombank Eco")</f>
        <v>Techcombank Eco</v>
      </c>
      <c r="J28" s="17" t="str">
        <f>IFERROR(__xludf.DUMMYFUNCTION("IFERROR(INDEX(FILTER('Chi tiết từng link'!$D$2:$D$2505,'Chi tiết từng link'!$B$2:$B$2505=$D28,'Chi tiết từng link'!$F$2:$F$2505&lt;&gt;""CẦN SOÁT""),3),"""")"),"https://techcombank.com/thong-tin/blog/xu-huong-song-xanh")</f>
        <v>https://techcombank.com/thong-tin/blog/xu-huong-song-xanh</v>
      </c>
      <c r="K28" s="19" t="str">
        <f>IFERROR(__xludf.DUMMYFUNCTION("IFERROR(INDEX(FILTER('Chi tiết từng link'!$E$2:$E$2505,'Chi tiết từng link'!$B$2:$B$2505=$D28,'Chi tiết từng link'!$F$2:$F$2505&lt;&gt;""CẦN SOÁT""),4),"""")"),"eco card")</f>
        <v>eco card</v>
      </c>
      <c r="L28" s="17" t="str">
        <f>IFERROR(__xludf.DUMMYFUNCTION("IFERROR(INDEX(FILTER('Chi tiết từng link'!$D$2:$D$2505,'Chi tiết từng link'!$B$2:$B$2505=$D28,'Chi tiết từng link'!$F$2:$F$2505&lt;&gt;""CẦN SOÁT""),4),"""")"),"https://techcombank.com/thong-tin/blog/the-ghi-no-visa-la-gi")</f>
        <v>https://techcombank.com/thong-tin/blog/the-ghi-no-visa-la-gi</v>
      </c>
      <c r="M28" s="19" t="str">
        <f>IFERROR(__xludf.DUMMYFUNCTION("IFERROR(INDEX(FILTER('Chi tiết từng link'!$E$2:$E$2505,'Chi tiết từng link'!$B$2:$B$2505=$D28,'Chi tiết từng link'!$F$2:$F$2505&lt;&gt;""CẦN SOÁT""),5),"""")"),"thẻ Eco")</f>
        <v>thẻ Eco</v>
      </c>
      <c r="N28" s="17" t="str">
        <f>IFERROR(__xludf.DUMMYFUNCTION("IFERROR(INDEX(FILTER('Chi tiết từng link'!$D$2:$D$2505,'Chi tiết từng link'!$B$2:$B$2505=$D28,'Chi tiết từng link'!$F$2:$F$2505&lt;&gt;""CẦN SOÁT""),5),"""")"),"https://techcombank.com/thong-tin/blog/tieu-dung-xanh")</f>
        <v>https://techcombank.com/thong-tin/blog/tieu-dung-xanh</v>
      </c>
      <c r="O28" s="11">
        <f>COUNTIFS('Chi tiết từng link'!$B$2:$B$2505,$D28,'Chi tiết từng link'!$F$2:$F$2505,"&lt;&gt;CẦN SOÁT")</f>
        <v>5</v>
      </c>
      <c r="P28" s="23" t="s">
        <v>65</v>
      </c>
      <c r="Q28" s="23" t="b">
        <v>0</v>
      </c>
      <c r="R28" s="17" t="str">
        <f>IF(COUNTIFS('Chi tiết từng link'!$B$2:$B$2505,$D28,'Chi tiết từng link'!$F$2:$F$2505,"CẦN SOÁT")&gt;0,"Còn "&amp;COUNTIFS('Chi tiết từng link'!$B$2:$B$2505,$D28,'Chi tiết từng link'!$F$2:$F$2505,"CẦN SOÁT")&amp;" gợi ý cần soát ở tab Chi tiết từng link","")</f>
        <v>Còn 40 gợi ý cần soát ở tab Chi tiết từng link</v>
      </c>
    </row>
    <row r="29" ht="18.0" customHeight="1">
      <c r="A29" s="11">
        <f t="shared" si="1"/>
        <v>28</v>
      </c>
      <c r="B29" s="17" t="str">
        <f t="array" ref="B29">INDEX('Báo cáo 75 trang đích'!$C$2:$C$76,$A29)</f>
        <v>CCB</v>
      </c>
      <c r="C29" s="18" t="s">
        <v>209</v>
      </c>
      <c r="D29" s="17" t="str">
        <f t="array" ref="D29">INDEX('Báo cáo 75 trang đích'!$B$2:$B$76,$A29)</f>
        <v>https://techcombank.com/thong-tin/blog/cic-la-gi</v>
      </c>
      <c r="E29" s="19" t="str">
        <f>IFERROR(__xludf.DUMMYFUNCTION("IFERROR(INDEX(FILTER('Chi tiết từng link'!$E$2:$E$2505,'Chi tiết từng link'!$B$2:$B$2505=$D29,'Chi tiết từng link'!$F$2:$F$2505&lt;&gt;""CẦN SOÁT""),1),"""")"),"CIC là gì")</f>
        <v>CIC là gì</v>
      </c>
      <c r="F29" s="17" t="str">
        <f>IFERROR(__xludf.DUMMYFUNCTION("IFERROR(INDEX(FILTER('Chi tiết từng link'!$D$2:$D$2505,'Chi tiết từng link'!$B$2:$B$2505=$D29,'Chi tiết từng link'!$F$2:$F$2505&lt;&gt;""CẦN SOÁT""),1),"""")"),"https://techcombank.com/thong-tin/blog/diem-tin-dung")</f>
        <v>https://techcombank.com/thong-tin/blog/diem-tin-dung</v>
      </c>
      <c r="G29" s="19" t="str">
        <f>IFERROR(__xludf.DUMMYFUNCTION("IFERROR(INDEX(FILTER('Chi tiết từng link'!$E$2:$E$2505,'Chi tiết từng link'!$B$2:$B$2505=$D29,'Chi tiết từng link'!$F$2:$F$2505&lt;&gt;""CẦN SOÁT""),2),"""")"),"CIC")</f>
        <v>CIC</v>
      </c>
      <c r="H29" s="17" t="str">
        <f>IFERROR(__xludf.DUMMYFUNCTION("IFERROR(INDEX(FILTER('Chi tiết từng link'!$D$2:$D$2505,'Chi tiết từng link'!$B$2:$B$2505=$D29,'Chi tiết từng link'!$F$2:$F$2505&lt;&gt;""CẦN SOÁT""),2),"""")"),"https://techcombank.com/thong-tin/blog/lich-su-tin-dung")</f>
        <v>https://techcombank.com/thong-tin/blog/lich-su-tin-dung</v>
      </c>
      <c r="I29" s="19" t="str">
        <f>IFERROR(__xludf.DUMMYFUNCTION("IFERROR(INDEX(FILTER('Chi tiết từng link'!$E$2:$E$2505,'Chi tiết từng link'!$B$2:$B$2505=$D29,'Chi tiết từng link'!$F$2:$F$2505&lt;&gt;""CẦN SOÁT""),3),"""")"),"Trung tâm Thông tin Tín dụng (CIC)")</f>
        <v>Trung tâm Thông tin Tín dụng (CIC)</v>
      </c>
      <c r="J29" s="17" t="str">
        <f>IFERROR(__xludf.DUMMYFUNCTION("IFERROR(INDEX(FILTER('Chi tiết từng link'!$D$2:$D$2505,'Chi tiết từng link'!$B$2:$B$2505=$D29,'Chi tiết từng link'!$F$2:$F$2505&lt;&gt;""CẦN SOÁT""),3),"""")"),"https://techcombank.com/thong-tin/blog/no-nhom-3")</f>
        <v>https://techcombank.com/thong-tin/blog/no-nhom-3</v>
      </c>
      <c r="K29" s="19" t="str">
        <f>IFERROR(__xludf.DUMMYFUNCTION("IFERROR(INDEX(FILTER('Chi tiết từng link'!$E$2:$E$2505,'Chi tiết từng link'!$B$2:$B$2505=$D29,'Chi tiết từng link'!$F$2:$F$2505&lt;&gt;""CẦN SOÁT""),4),"""")"),"tra cứu CIC cá nhân")</f>
        <v>tra cứu CIC cá nhân</v>
      </c>
      <c r="L29" s="17" t="str">
        <f>IFERROR(__xludf.DUMMYFUNCTION("IFERROR(INDEX(FILTER('Chi tiết từng link'!$D$2:$D$2505,'Chi tiết từng link'!$B$2:$B$2505=$D29,'Chi tiết từng link'!$F$2:$F$2505&lt;&gt;""CẦN SOÁT""),4),"""")"),"https://techcombank.com/thong-tin/blog/no-chu-y-la-gi")</f>
        <v>https://techcombank.com/thong-tin/blog/no-chu-y-la-gi</v>
      </c>
      <c r="M29" s="19" t="str">
        <f>IFERROR(__xludf.DUMMYFUNCTION("IFERROR(INDEX(FILTER('Chi tiết từng link'!$E$2:$E$2505,'Chi tiết từng link'!$B$2:$B$2505=$D29,'Chi tiết từng link'!$F$2:$F$2505&lt;&gt;""CẦN SOÁT""),5),"""")"),"kiểm tra CIC")</f>
        <v>kiểm tra CIC</v>
      </c>
      <c r="N29" s="17" t="str">
        <f>IFERROR(__xludf.DUMMYFUNCTION("IFERROR(INDEX(FILTER('Chi tiết từng link'!$D$2:$D$2505,'Chi tiết từng link'!$B$2:$B$2505=$D29,'Chi tiết từng link'!$F$2:$F$2505&lt;&gt;""CẦN SOÁT""),5),"""")"),"https://techcombank.com/thong-tin/blog/no-xau-nhom-2")</f>
        <v>https://techcombank.com/thong-tin/blog/no-xau-nhom-2</v>
      </c>
      <c r="O29" s="11">
        <f>COUNTIFS('Chi tiết từng link'!$B$2:$B$2505,$D29,'Chi tiết từng link'!$F$2:$F$2505,"&lt;&gt;CẦN SOÁT")</f>
        <v>5</v>
      </c>
      <c r="P29" s="23" t="s">
        <v>65</v>
      </c>
      <c r="Q29" s="23" t="b">
        <v>0</v>
      </c>
      <c r="R29" s="17" t="str">
        <f>IF(COUNTIFS('Chi tiết từng link'!$B$2:$B$2505,$D29,'Chi tiết từng link'!$F$2:$F$2505,"CẦN SOÁT")&gt;0,"Còn "&amp;COUNTIFS('Chi tiết từng link'!$B$2:$B$2505,$D29,'Chi tiết từng link'!$F$2:$F$2505,"CẦN SOÁT")&amp;" gợi ý cần soát ở tab Chi tiết từng link","")</f>
        <v>Còn 17 gợi ý cần soát ở tab Chi tiết từng link</v>
      </c>
    </row>
    <row r="30" ht="18.0" customHeight="1">
      <c r="A30" s="11">
        <f t="shared" si="1"/>
        <v>29</v>
      </c>
      <c r="B30" s="17" t="str">
        <f t="array" ref="B30">INDEX('Báo cáo 75 trang đích'!$C$2:$C$76,$A30)</f>
        <v>CCB</v>
      </c>
      <c r="C30" s="18" t="s">
        <v>213</v>
      </c>
      <c r="D30" s="17" t="str">
        <f t="array" ref="D30">INDEX('Báo cáo 75 trang đích'!$B$2:$B$76,$A30)</f>
        <v>https://techcombank.com/thong-tin/blog/rut-tien-mat-tu-the-tin-dung</v>
      </c>
      <c r="E30" s="19" t="str">
        <f>IFERROR(__xludf.DUMMYFUNCTION("IFERROR(INDEX(FILTER('Chi tiết từng link'!$E$2:$E$2505,'Chi tiết từng link'!$B$2:$B$2505=$D30,'Chi tiết từng link'!$F$2:$F$2505&lt;&gt;""CẦN SOÁT""),1),"""")"),"rút tiền mặt từ thẻ tín dụng")</f>
        <v>rút tiền mặt từ thẻ tín dụng</v>
      </c>
      <c r="F30" s="17" t="str">
        <f>IFERROR(__xludf.DUMMYFUNCTION("IFERROR(INDEX(FILTER('Chi tiết từng link'!$D$2:$D$2505,'Chi tiết từng link'!$B$2:$B$2505=$D30,'Chi tiết từng link'!$F$2:$F$2505&lt;&gt;""CẦN SOÁT""),1),"""")"),"https://techcombank.com/thong-tin/blog/phi-rut-tien-mat-the-tin-dung")</f>
        <v>https://techcombank.com/thong-tin/blog/phi-rut-tien-mat-the-tin-dung</v>
      </c>
      <c r="G30" s="19" t="str">
        <f>IFERROR(__xludf.DUMMYFUNCTION("IFERROR(INDEX(FILTER('Chi tiết từng link'!$E$2:$E$2505,'Chi tiết từng link'!$B$2:$B$2505=$D30,'Chi tiết từng link'!$F$2:$F$2505&lt;&gt;""CẦN SOÁT""),2),"""")"),"cách rút tiền thẻ tín dụng")</f>
        <v>cách rút tiền thẻ tín dụng</v>
      </c>
      <c r="H30" s="17" t="str">
        <f>IFERROR(__xludf.DUMMYFUNCTION("IFERROR(INDEX(FILTER('Chi tiết từng link'!$D$2:$D$2505,'Chi tiết từng link'!$B$2:$B$2505=$D30,'Chi tiết từng link'!$F$2:$F$2505&lt;&gt;""CẦN SOÁT""),2),"""")"),"https://techcombank.com/thong-tin/blog/the-visa-co-rut-tien-duoc-khong")</f>
        <v>https://techcombank.com/thong-tin/blog/the-visa-co-rut-tien-duoc-khong</v>
      </c>
      <c r="I30" s="19" t="str">
        <f>IFERROR(__xludf.DUMMYFUNCTION("IFERROR(INDEX(FILTER('Chi tiết từng link'!$E$2:$E$2505,'Chi tiết từng link'!$B$2:$B$2505=$D30,'Chi tiết từng link'!$F$2:$F$2505&lt;&gt;""CẦN SOÁT""),3),"""")"),"rút tiền thẻ tín dụng")</f>
        <v>rút tiền thẻ tín dụng</v>
      </c>
      <c r="J30" s="17" t="str">
        <f>IFERROR(__xludf.DUMMYFUNCTION("IFERROR(INDEX(FILTER('Chi tiết từng link'!$D$2:$D$2505,'Chi tiết từng link'!$B$2:$B$2505=$D30,'Chi tiết từng link'!$F$2:$F$2505&lt;&gt;""CẦN SOÁT""),3),"""")"),"https://techcombank.com/thong-tin/blog/the-tin-dung-co-chuyen-khoan-duoc-khong")</f>
        <v>https://techcombank.com/thong-tin/blog/the-tin-dung-co-chuyen-khoan-duoc-khong</v>
      </c>
      <c r="K30" s="19" t="str">
        <f>IFERROR(__xludf.DUMMYFUNCTION("IFERROR(INDEX(FILTER('Chi tiết từng link'!$E$2:$E$2505,'Chi tiết từng link'!$B$2:$B$2505=$D30,'Chi tiết từng link'!$F$2:$F$2505&lt;&gt;""CẦN SOÁT""),4),"""")"),"rút tiền mặt từ thẻ tín dụng")</f>
        <v>rút tiền mặt từ thẻ tín dụng</v>
      </c>
      <c r="L30" s="17" t="str">
        <f>IFERROR(__xludf.DUMMYFUNCTION("IFERROR(INDEX(FILTER('Chi tiết từng link'!$D$2:$D$2505,'Chi tiết từng link'!$B$2:$B$2505=$D30,'Chi tiết từng link'!$F$2:$F$2505&lt;&gt;""CẦN SOÁT""),4),"""")"),"https://techcombank.com/thong-tin/blog/han-muc-the-tin-dung")</f>
        <v>https://techcombank.com/thong-tin/blog/han-muc-the-tin-dung</v>
      </c>
      <c r="M30" s="19" t="str">
        <f>IFERROR(__xludf.DUMMYFUNCTION("IFERROR(INDEX(FILTER('Chi tiết từng link'!$E$2:$E$2505,'Chi tiết từng link'!$B$2:$B$2505=$D30,'Chi tiết từng link'!$F$2:$F$2505&lt;&gt;""CẦN SOÁT""),5),"""")"),"cách rút tiền thẻ tín dụng")</f>
        <v>cách rút tiền thẻ tín dụng</v>
      </c>
      <c r="N30" s="17" t="str">
        <f>IFERROR(__xludf.DUMMYFUNCTION("IFERROR(INDEX(FILTER('Chi tiết từng link'!$D$2:$D$2505,'Chi tiết từng link'!$B$2:$B$2505=$D30,'Chi tiết từng link'!$F$2:$F$2505&lt;&gt;""CẦN SOÁT""),5),"""")"),"https://techcombank.com/thong-tin/blog/lai-suat-the-tin-dung")</f>
        <v>https://techcombank.com/thong-tin/blog/lai-suat-the-tin-dung</v>
      </c>
      <c r="O30" s="11">
        <f>COUNTIFS('Chi tiết từng link'!$B$2:$B$2505,$D30,'Chi tiết từng link'!$F$2:$F$2505,"&lt;&gt;CẦN SOÁT")</f>
        <v>5</v>
      </c>
      <c r="P30" s="23" t="s">
        <v>65</v>
      </c>
      <c r="Q30" s="23" t="b">
        <v>0</v>
      </c>
      <c r="R30" s="17" t="str">
        <f>IF(COUNTIFS('Chi tiết từng link'!$B$2:$B$2505,$D30,'Chi tiết từng link'!$F$2:$F$2505,"CẦN SOÁT")&gt;0,"Còn "&amp;COUNTIFS('Chi tiết từng link'!$B$2:$B$2505,$D30,'Chi tiết từng link'!$F$2:$F$2505,"CẦN SOÁT")&amp;" gợi ý cần soát ở tab Chi tiết từng link","")</f>
        <v>Còn 31 gợi ý cần soát ở tab Chi tiết từng link</v>
      </c>
    </row>
    <row r="31" ht="18.0" customHeight="1">
      <c r="A31" s="11">
        <f t="shared" si="1"/>
        <v>30</v>
      </c>
      <c r="B31" s="17" t="str">
        <f t="array" ref="B31">INDEX('Báo cáo 75 trang đích'!$C$2:$C$76,$A31)</f>
        <v>CCB</v>
      </c>
      <c r="C31" s="18" t="s">
        <v>218</v>
      </c>
      <c r="D31" s="17" t="str">
        <f t="array" ref="D31">INDEX('Báo cáo 75 trang đích'!$B$2:$B$76,$A31)</f>
        <v>https://techcombank.com/thong-tin/blog/lam-the-tin-dung</v>
      </c>
      <c r="E31" s="19" t="str">
        <f>IFERROR(__xludf.DUMMYFUNCTION("IFERROR(INDEX(FILTER('Chi tiết từng link'!$E$2:$E$2505,'Chi tiết từng link'!$B$2:$B$2505=$D31,'Chi tiết từng link'!$F$2:$F$2505&lt;&gt;""CẦN SOÁT""),1),"""")"),"làm thẻ tín dụng")</f>
        <v>làm thẻ tín dụng</v>
      </c>
      <c r="F31" s="17" t="str">
        <f>IFERROR(__xludf.DUMMYFUNCTION("IFERROR(INDEX(FILTER('Chi tiết từng link'!$D$2:$D$2505,'Chi tiết từng link'!$B$2:$B$2505=$D31,'Chi tiết từng link'!$F$2:$F$2505&lt;&gt;""CẦN SOÁT""),1),"""")"),"https://techcombank.com/thong-tin/blog/the-tin-dung-la-gi")</f>
        <v>https://techcombank.com/thong-tin/blog/the-tin-dung-la-gi</v>
      </c>
      <c r="G31" s="19" t="str">
        <f>IFERROR(__xludf.DUMMYFUNCTION("IFERROR(INDEX(FILTER('Chi tiết từng link'!$E$2:$E$2505,'Chi tiết từng link'!$B$2:$B$2505=$D31,'Chi tiết từng link'!$F$2:$F$2505&lt;&gt;""CẦN SOÁT""),2),"""")"),"mở thẻ tín dụng")</f>
        <v>mở thẻ tín dụng</v>
      </c>
      <c r="H31" s="17" t="str">
        <f>IFERROR(__xludf.DUMMYFUNCTION("IFERROR(INDEX(FILTER('Chi tiết từng link'!$D$2:$D$2505,'Chi tiết từng link'!$B$2:$B$2505=$D31,'Chi tiết từng link'!$F$2:$F$2505&lt;&gt;""CẦN SOÁT""),2),"""")"),"https://techcombank.com/thong-tin/blog/mo-the-tin-dung-chi-can-cccd")</f>
        <v>https://techcombank.com/thong-tin/blog/mo-the-tin-dung-chi-can-cccd</v>
      </c>
      <c r="I31" s="19" t="str">
        <f>IFERROR(__xludf.DUMMYFUNCTION("IFERROR(INDEX(FILTER('Chi tiết từng link'!$E$2:$E$2505,'Chi tiết từng link'!$B$2:$B$2505=$D31,'Chi tiết từng link'!$F$2:$F$2505&lt;&gt;""CẦN SOÁT""),3),"""")"),"làm thẻ tín dụng")</f>
        <v>làm thẻ tín dụng</v>
      </c>
      <c r="J31" s="17" t="str">
        <f>IFERROR(__xludf.DUMMYFUNCTION("IFERROR(INDEX(FILTER('Chi tiết từng link'!$D$2:$D$2505,'Chi tiết từng link'!$B$2:$B$2505=$D31,'Chi tiết từng link'!$F$2:$F$2505&lt;&gt;""CẦN SOÁT""),3),"""")"),"https://techcombank.com/thong-tin/blog/lam-the-tin-dung-co-mat-phi-khong")</f>
        <v>https://techcombank.com/thong-tin/blog/lam-the-tin-dung-co-mat-phi-khong</v>
      </c>
      <c r="K31" s="19" t="str">
        <f>IFERROR(__xludf.DUMMYFUNCTION("IFERROR(INDEX(FILTER('Chi tiết từng link'!$E$2:$E$2505,'Chi tiết từng link'!$B$2:$B$2505=$D31,'Chi tiết từng link'!$F$2:$F$2505&lt;&gt;""CẦN SOÁT""),4),"""")"),"mở thẻ tín dụng")</f>
        <v>mở thẻ tín dụng</v>
      </c>
      <c r="L31" s="17" t="str">
        <f>IFERROR(__xludf.DUMMYFUNCTION("IFERROR(INDEX(FILTER('Chi tiết từng link'!$D$2:$D$2505,'Chi tiết từng link'!$B$2:$B$2505=$D31,'Chi tiết từng link'!$F$2:$F$2505&lt;&gt;""CẦN SOÁT""),4),"""")"),"https://techcombank.com/thong-tin/blog/mo-the-tin-dung-khong-can-chung-minh-thu-nhap")</f>
        <v>https://techcombank.com/thong-tin/blog/mo-the-tin-dung-khong-can-chung-minh-thu-nhap</v>
      </c>
      <c r="M31" s="19" t="str">
        <f>IFERROR(__xludf.DUMMYFUNCTION("IFERROR(INDEX(FILTER('Chi tiết từng link'!$E$2:$E$2505,'Chi tiết từng link'!$B$2:$B$2505=$D31,'Chi tiết từng link'!$F$2:$F$2505&lt;&gt;""CẦN SOÁT""),5),"""")"),"làm thẻ tín dụng")</f>
        <v>làm thẻ tín dụng</v>
      </c>
      <c r="N31" s="17" t="str">
        <f>IFERROR(__xludf.DUMMYFUNCTION("IFERROR(INDEX(FILTER('Chi tiết từng link'!$D$2:$D$2505,'Chi tiết từng link'!$B$2:$B$2505=$D31,'Chi tiết từng link'!$F$2:$F$2505&lt;&gt;""CẦN SOÁT""),5),"""")"),"https://techcombank.com/thong-tin/blog/co-nen-dung-the-tin-dung-khong")</f>
        <v>https://techcombank.com/thong-tin/blog/co-nen-dung-the-tin-dung-khong</v>
      </c>
      <c r="O31" s="11">
        <f>COUNTIFS('Chi tiết từng link'!$B$2:$B$2505,$D31,'Chi tiết từng link'!$F$2:$F$2505,"&lt;&gt;CẦN SOÁT")</f>
        <v>5</v>
      </c>
      <c r="P31" s="23" t="s">
        <v>65</v>
      </c>
      <c r="Q31" s="23" t="b">
        <v>0</v>
      </c>
      <c r="R31" s="17" t="str">
        <f>IF(COUNTIFS('Chi tiết từng link'!$B$2:$B$2505,$D31,'Chi tiết từng link'!$F$2:$F$2505,"CẦN SOÁT")&gt;0,"Còn "&amp;COUNTIFS('Chi tiết từng link'!$B$2:$B$2505,$D31,'Chi tiết từng link'!$F$2:$F$2505,"CẦN SOÁT")&amp;" gợi ý cần soát ở tab Chi tiết từng link","")</f>
        <v>Còn 88 gợi ý cần soát ở tab Chi tiết từng link</v>
      </c>
    </row>
    <row r="32" ht="18.0" customHeight="1">
      <c r="A32" s="11">
        <f t="shared" si="1"/>
        <v>31</v>
      </c>
      <c r="B32" s="17" t="str">
        <f t="array" ref="B32">INDEX('Báo cáo 75 trang đích'!$C$2:$C$76,$A32)</f>
        <v>CCB</v>
      </c>
      <c r="C32" s="18" t="s">
        <v>222</v>
      </c>
      <c r="D32" s="17" t="str">
        <f t="array" ref="D32">INDEX('Báo cáo 75 trang đích'!$B$2:$B$76,$A32)</f>
        <v>https://techcombank.com/khach-hang-ca-nhan/chi-tieu/the/the-tin-dung/techcombank-everyday</v>
      </c>
      <c r="E32" s="19" t="str">
        <f>IFERROR(__xludf.DUMMYFUNCTION("IFERROR(INDEX(FILTER('Chi tiết từng link'!$E$2:$E$2505,'Chi tiết từng link'!$B$2:$B$2505=$D32,'Chi tiết từng link'!$F$2:$F$2505&lt;&gt;""CẦN SOÁT""),1),"""")"),"thẻ tín dụng Techcombank Everyday")</f>
        <v>thẻ tín dụng Techcombank Everyday</v>
      </c>
      <c r="F32" s="17" t="str">
        <f>IFERROR(__xludf.DUMMYFUNCTION("IFERROR(INDEX(FILTER('Chi tiết từng link'!$D$2:$D$2505,'Chi tiết từng link'!$B$2:$B$2505=$D32,'Chi tiết từng link'!$F$2:$F$2505&lt;&gt;""CẦN SOÁT""),1),"""")"),"https://techcombank.com/thong-tin/blog/the-tin-dung-nao-nhieu-uu-dai-nhat")</f>
        <v>https://techcombank.com/thong-tin/blog/the-tin-dung-nao-nhieu-uu-dai-nhat</v>
      </c>
      <c r="G32" s="19" t="str">
        <f>IFERROR(__xludf.DUMMYFUNCTION("IFERROR(INDEX(FILTER('Chi tiết từng link'!$E$2:$E$2505,'Chi tiết từng link'!$B$2:$B$2505=$D32,'Chi tiết từng link'!$F$2:$F$2505&lt;&gt;""CẦN SOÁT""),2),"""")"),"Techcombank Everyday")</f>
        <v>Techcombank Everyday</v>
      </c>
      <c r="H32" s="17" t="str">
        <f>IFERROR(__xludf.DUMMYFUNCTION("IFERROR(INDEX(FILTER('Chi tiết từng link'!$D$2:$D$2505,'Chi tiết từng link'!$B$2:$B$2505=$D32,'Chi tiết từng link'!$F$2:$F$2505&lt;&gt;""CẦN SOÁT""),2),"""")"),"https://techcombank.com/thong-tin/blog/thoi-gian-hoan-tien-the-tin-dung")</f>
        <v>https://techcombank.com/thong-tin/blog/thoi-gian-hoan-tien-the-tin-dung</v>
      </c>
      <c r="I32" s="19" t="str">
        <f>IFERROR(__xludf.DUMMYFUNCTION("IFERROR(INDEX(FILTER('Chi tiết từng link'!$E$2:$E$2505,'Chi tiết từng link'!$B$2:$B$2505=$D32,'Chi tiết từng link'!$F$2:$F$2505&lt;&gt;""CẦN SOÁT""),3),"""")"),"thẻ tín dụng Techcombank Everyday")</f>
        <v>thẻ tín dụng Techcombank Everyday</v>
      </c>
      <c r="J32" s="17" t="str">
        <f>IFERROR(__xludf.DUMMYFUNCTION("IFERROR(INDEX(FILTER('Chi tiết từng link'!$D$2:$D$2505,'Chi tiết từng link'!$B$2:$B$2505=$D32,'Chi tiết từng link'!$F$2:$F$2505&lt;&gt;""CẦN SOÁT""),3),"""")"),"https://techcombank.com/thong-tin/blog/uu-dai-the-tin-dung")</f>
        <v>https://techcombank.com/thong-tin/blog/uu-dai-the-tin-dung</v>
      </c>
      <c r="K32" s="19" t="str">
        <f>IFERROR(__xludf.DUMMYFUNCTION("IFERROR(INDEX(FILTER('Chi tiết từng link'!$E$2:$E$2505,'Chi tiết từng link'!$B$2:$B$2505=$D32,'Chi tiết từng link'!$F$2:$F$2505&lt;&gt;""CẦN SOÁT""),4),"""")"),"Techcombank Everyday")</f>
        <v>Techcombank Everyday</v>
      </c>
      <c r="L32" s="17" t="str">
        <f>IFERROR(__xludf.DUMMYFUNCTION("IFERROR(INDEX(FILTER('Chi tiết từng link'!$D$2:$D$2505,'Chi tiết từng link'!$B$2:$B$2505=$D32,'Chi tiết từng link'!$F$2:$F$2505&lt;&gt;""CẦN SOÁT""),4),"""")"),"https://techcombank.com/thong-tin/blog/cac-loai-the-tin-dung")</f>
        <v>https://techcombank.com/thong-tin/blog/cac-loai-the-tin-dung</v>
      </c>
      <c r="M32" s="19" t="str">
        <f>IFERROR(__xludf.DUMMYFUNCTION("IFERROR(INDEX(FILTER('Chi tiết từng link'!$E$2:$E$2505,'Chi tiết từng link'!$B$2:$B$2505=$D32,'Chi tiết từng link'!$F$2:$F$2505&lt;&gt;""CẦN SOÁT""),5),"""")"),"thẻ tín dụng Techcombank Everyday")</f>
        <v>thẻ tín dụng Techcombank Everyday</v>
      </c>
      <c r="N32" s="17" t="str">
        <f>IFERROR(__xludf.DUMMYFUNCTION("IFERROR(INDEX(FILTER('Chi tiết từng link'!$D$2:$D$2505,'Chi tiết từng link'!$B$2:$B$2505=$D32,'Chi tiết từng link'!$F$2:$F$2505&lt;&gt;""CẦN SOÁT""),5),"""")"),"https://techcombank.com/thong-tin/blog/mo-the-tin-dung-co-loi-ich-gi")</f>
        <v>https://techcombank.com/thong-tin/blog/mo-the-tin-dung-co-loi-ich-gi</v>
      </c>
      <c r="O32" s="11">
        <f>COUNTIFS('Chi tiết từng link'!$B$2:$B$2505,$D32,'Chi tiết từng link'!$F$2:$F$2505,"&lt;&gt;CẦN SOÁT")</f>
        <v>5</v>
      </c>
      <c r="P32" s="23" t="s">
        <v>65</v>
      </c>
      <c r="Q32" s="23" t="b">
        <v>0</v>
      </c>
      <c r="R32" s="17" t="str">
        <f>IF(COUNTIFS('Chi tiết từng link'!$B$2:$B$2505,$D32,'Chi tiết từng link'!$F$2:$F$2505,"CẦN SOÁT")&gt;0,"Còn "&amp;COUNTIFS('Chi tiết từng link'!$B$2:$B$2505,$D32,'Chi tiết từng link'!$F$2:$F$2505,"CẦN SOÁT")&amp;" gợi ý cần soát ở tab Chi tiết từng link","")</f>
        <v>Còn 73 gợi ý cần soát ở tab Chi tiết từng link</v>
      </c>
    </row>
    <row r="33" ht="18.0" customHeight="1">
      <c r="A33" s="11">
        <f t="shared" si="1"/>
        <v>32</v>
      </c>
      <c r="B33" s="17" t="str">
        <f t="array" ref="B33">INDEX('Báo cáo 75 trang đích'!$C$2:$C$76,$A33)</f>
        <v>CCB</v>
      </c>
      <c r="C33" s="18" t="s">
        <v>227</v>
      </c>
      <c r="D33" s="17" t="str">
        <f t="array" ref="D33">INDEX('Báo cáo 75 trang đích'!$B$2:$B$76,$A33)</f>
        <v>https://techcombank.com/thong-tin/blog/the-tin-dung-hoan-tien</v>
      </c>
      <c r="E33" s="19" t="str">
        <f>IFERROR(__xludf.DUMMYFUNCTION("IFERROR(INDEX(FILTER('Chi tiết từng link'!$E$2:$E$2505,'Chi tiết từng link'!$B$2:$B$2505=$D33,'Chi tiết từng link'!$F$2:$F$2505&lt;&gt;""CẦN SOÁT""),1),"""")"),"thẻ tín dụng hoàn tiền")</f>
        <v>thẻ tín dụng hoàn tiền</v>
      </c>
      <c r="F33" s="17" t="str">
        <f>IFERROR(__xludf.DUMMYFUNCTION("IFERROR(INDEX(FILTER('Chi tiết từng link'!$D$2:$D$2505,'Chi tiết từng link'!$B$2:$B$2505=$D33,'Chi tiết từng link'!$F$2:$F$2505&lt;&gt;""CẦN SOÁT""),1),"""")"),"https://techcombank.com/thong-tin/blog/thanh-toan-tien-dien-bang-the-tin-dung")</f>
        <v>https://techcombank.com/thong-tin/blog/thanh-toan-tien-dien-bang-the-tin-dung</v>
      </c>
      <c r="G33" s="19" t="str">
        <f>IFERROR(__xludf.DUMMYFUNCTION("IFERROR(INDEX(FILTER('Chi tiết từng link'!$E$2:$E$2505,'Chi tiết từng link'!$B$2:$B$2505=$D33,'Chi tiết từng link'!$F$2:$F$2505&lt;&gt;""CẦN SOÁT""),2),"""")"),"thẻ hoàn tiền")</f>
        <v>thẻ hoàn tiền</v>
      </c>
      <c r="H33" s="17" t="str">
        <f>IFERROR(__xludf.DUMMYFUNCTION("IFERROR(INDEX(FILTER('Chi tiết từng link'!$D$2:$D$2505,'Chi tiết từng link'!$B$2:$B$2505=$D33,'Chi tiết từng link'!$F$2:$F$2505&lt;&gt;""CẦN SOÁT""),2),"""")"),"https://techcombank.com/thong-tin/blog/cashback-the-thanh-toan")</f>
        <v>https://techcombank.com/thong-tin/blog/cashback-the-thanh-toan</v>
      </c>
      <c r="I33" s="19" t="str">
        <f>IFERROR(__xludf.DUMMYFUNCTION("IFERROR(INDEX(FILTER('Chi tiết từng link'!$E$2:$E$2505,'Chi tiết từng link'!$B$2:$B$2505=$D33,'Chi tiết từng link'!$F$2:$F$2505&lt;&gt;""CẦN SOÁT""),3),"""")"),"thẻ cashback")</f>
        <v>thẻ cashback</v>
      </c>
      <c r="J33" s="17" t="str">
        <f>IFERROR(__xludf.DUMMYFUNCTION("IFERROR(INDEX(FILTER('Chi tiết từng link'!$D$2:$D$2505,'Chi tiết từng link'!$B$2:$B$2505=$D33,'Chi tiết từng link'!$F$2:$F$2505&lt;&gt;""CẦN SOÁT""),3),"""")"),"https://techcombank.com/thong-tin/blog/uu-dai-mo-the-tin-dung")</f>
        <v>https://techcombank.com/thong-tin/blog/uu-dai-mo-the-tin-dung</v>
      </c>
      <c r="K33" s="19" t="str">
        <f>IFERROR(__xludf.DUMMYFUNCTION("IFERROR(INDEX(FILTER('Chi tiết từng link'!$E$2:$E$2505,'Chi tiết từng link'!$B$2:$B$2505=$D33,'Chi tiết từng link'!$F$2:$F$2505&lt;&gt;""CẦN SOÁT""),4),"""")"),"thẻ tín dụng hoàn tiền")</f>
        <v>thẻ tín dụng hoàn tiền</v>
      </c>
      <c r="L33" s="17" t="str">
        <f>IFERROR(__xludf.DUMMYFUNCTION("IFERROR(INDEX(FILTER('Chi tiết từng link'!$D$2:$D$2505,'Chi tiết từng link'!$B$2:$B$2505=$D33,'Chi tiết từng link'!$F$2:$F$2505&lt;&gt;""CẦN SOÁT""),4),"""")"),"https://techcombank.com/thong-tin/blog/the-tin-dung-mien-phi-thuong-nien")</f>
        <v>https://techcombank.com/thong-tin/blog/the-tin-dung-mien-phi-thuong-nien</v>
      </c>
      <c r="M33" s="19" t="str">
        <f>IFERROR(__xludf.DUMMYFUNCTION("IFERROR(INDEX(FILTER('Chi tiết từng link'!$E$2:$E$2505,'Chi tiết từng link'!$B$2:$B$2505=$D33,'Chi tiết từng link'!$F$2:$F$2505&lt;&gt;""CẦN SOÁT""),5),"""")"),"thẻ hoàn tiền")</f>
        <v>thẻ hoàn tiền</v>
      </c>
      <c r="N33" s="17" t="str">
        <f>IFERROR(__xludf.DUMMYFUNCTION("IFERROR(INDEX(FILTER('Chi tiết từng link'!$D$2:$D$2505,'Chi tiết từng link'!$B$2:$B$2505=$D33,'Chi tiết từng link'!$F$2:$F$2505&lt;&gt;""CẦN SOÁT""),5),"""")"),"https://techcombank.com/thong-tin/blog/cach-su-dung-the-tin-dung")</f>
        <v>https://techcombank.com/thong-tin/blog/cach-su-dung-the-tin-dung</v>
      </c>
      <c r="O33" s="11">
        <f>COUNTIFS('Chi tiết từng link'!$B$2:$B$2505,$D33,'Chi tiết từng link'!$F$2:$F$2505,"&lt;&gt;CẦN SOÁT")</f>
        <v>5</v>
      </c>
      <c r="P33" s="23" t="s">
        <v>65</v>
      </c>
      <c r="Q33" s="23" t="b">
        <v>0</v>
      </c>
      <c r="R33" s="17" t="str">
        <f>IF(COUNTIFS('Chi tiết từng link'!$B$2:$B$2505,$D33,'Chi tiết từng link'!$F$2:$F$2505,"CẦN SOÁT")&gt;0,"Còn "&amp;COUNTIFS('Chi tiết từng link'!$B$2:$B$2505,$D33,'Chi tiết từng link'!$F$2:$F$2505,"CẦN SOÁT")&amp;" gợi ý cần soát ở tab Chi tiết từng link","")</f>
        <v>Còn 72 gợi ý cần soát ở tab Chi tiết từng link</v>
      </c>
    </row>
    <row r="34" ht="18.0" customHeight="1">
      <c r="A34" s="11">
        <f t="shared" si="1"/>
        <v>33</v>
      </c>
      <c r="B34" s="17" t="str">
        <f t="array" ref="B34">INDEX('Báo cáo 75 trang đích'!$C$2:$C$76,$A34)</f>
        <v>CCB</v>
      </c>
      <c r="C34" s="18" t="s">
        <v>231</v>
      </c>
      <c r="D34" s="17" t="str">
        <f t="array" ref="D34">INDEX('Báo cáo 75 trang đích'!$B$2:$B$76,$A34)</f>
        <v>https://techcombank.com/thong-tin/blog/cach-huy-the-tin-dung</v>
      </c>
      <c r="E34" s="19" t="str">
        <f>IFERROR(__xludf.DUMMYFUNCTION("IFERROR(INDEX(FILTER('Chi tiết từng link'!$E$2:$E$2505,'Chi tiết từng link'!$B$2:$B$2505=$D34,'Chi tiết từng link'!$F$2:$F$2505&lt;&gt;""CẦN SOÁT""),1),"""")"),"cách hủy thẻ tín dụng")</f>
        <v>cách hủy thẻ tín dụng</v>
      </c>
      <c r="F34" s="17" t="str">
        <f>IFERROR(__xludf.DUMMYFUNCTION("IFERROR(INDEX(FILTER('Chi tiết từng link'!$D$2:$D$2505,'Chi tiết từng link'!$B$2:$B$2505=$D34,'Chi tiết từng link'!$F$2:$F$2505&lt;&gt;""CẦN SOÁT""),1),"""")"),"https://techcombank.com/thong-tin/blog/phi-thuong-nien-la-gi")</f>
        <v>https://techcombank.com/thong-tin/blog/phi-thuong-nien-la-gi</v>
      </c>
      <c r="G34" s="19" t="str">
        <f>IFERROR(__xludf.DUMMYFUNCTION("IFERROR(INDEX(FILTER('Chi tiết từng link'!$E$2:$E$2505,'Chi tiết từng link'!$B$2:$B$2505=$D34,'Chi tiết từng link'!$F$2:$F$2505&lt;&gt;""CẦN SOÁT""),2),"""")"),"hủy thẻ tín dụng")</f>
        <v>hủy thẻ tín dụng</v>
      </c>
      <c r="H34" s="17" t="str">
        <f>IFERROR(__xludf.DUMMYFUNCTION("IFERROR(INDEX(FILTER('Chi tiết từng link'!$D$2:$D$2505,'Chi tiết từng link'!$B$2:$B$2505=$D34,'Chi tiết từng link'!$F$2:$F$2505&lt;&gt;""CẦN SOÁT""),2),"""")"),"https://techcombank.com/thong-tin/blog/khong-su-dung-the-tin-dung-co-mat-phi-khong")</f>
        <v>https://techcombank.com/thong-tin/blog/khong-su-dung-the-tin-dung-co-mat-phi-khong</v>
      </c>
      <c r="I34" s="19" t="str">
        <f>IFERROR(__xludf.DUMMYFUNCTION("IFERROR(INDEX(FILTER('Chi tiết từng link'!$E$2:$E$2505,'Chi tiết từng link'!$B$2:$B$2505=$D34,'Chi tiết từng link'!$F$2:$F$2505&lt;&gt;""CẦN SOÁT""),3),"""")"),"cách hủy thẻ tín dụng")</f>
        <v>cách hủy thẻ tín dụng</v>
      </c>
      <c r="J34" s="17" t="str">
        <f>IFERROR(__xludf.DUMMYFUNCTION("IFERROR(INDEX(FILTER('Chi tiết từng link'!$D$2:$D$2505,'Chi tiết từng link'!$B$2:$B$2505=$D34,'Chi tiết từng link'!$F$2:$F$2505&lt;&gt;""CẦN SOÁT""),3),"""")"),"https://techcombank.com/thong-tin/blog/cach-khoa-the-ngan-hang")</f>
        <v>https://techcombank.com/thong-tin/blog/cach-khoa-the-ngan-hang</v>
      </c>
      <c r="K34" s="19" t="str">
        <f>IFERROR(__xludf.DUMMYFUNCTION("IFERROR(INDEX(FILTER('Chi tiết từng link'!$E$2:$E$2505,'Chi tiết từng link'!$B$2:$B$2505=$D34,'Chi tiết từng link'!$F$2:$F$2505&lt;&gt;""CẦN SOÁT""),4),"""")"),"hủy thẻ tín dụng")</f>
        <v>hủy thẻ tín dụng</v>
      </c>
      <c r="L34" s="17" t="str">
        <f>IFERROR(__xludf.DUMMYFUNCTION("IFERROR(INDEX(FILTER('Chi tiết từng link'!$D$2:$D$2505,'Chi tiết từng link'!$B$2:$B$2505=$D34,'Chi tiết từng link'!$F$2:$F$2505&lt;&gt;""CẦN SOÁT""),4),"""")"),"https://techcombank.com/thong-tin/blog/the-tin-dung-bi-khoa")</f>
        <v>https://techcombank.com/thong-tin/blog/the-tin-dung-bi-khoa</v>
      </c>
      <c r="M34" s="19" t="str">
        <f>IFERROR(__xludf.DUMMYFUNCTION("IFERROR(INDEX(FILTER('Chi tiết từng link'!$E$2:$E$2505,'Chi tiết từng link'!$B$2:$B$2505=$D34,'Chi tiết từng link'!$F$2:$F$2505&lt;&gt;""CẦN SOÁT""),5),"""")"),"cách hủy thẻ tín dụng")</f>
        <v>cách hủy thẻ tín dụng</v>
      </c>
      <c r="N34" s="17" t="str">
        <f>IFERROR(__xludf.DUMMYFUNCTION("IFERROR(INDEX(FILTER('Chi tiết từng link'!$D$2:$D$2505,'Chi tiết từng link'!$B$2:$B$2505=$D34,'Chi tiết từng link'!$F$2:$F$2505&lt;&gt;""CẦN SOÁT""),5),"""")"),"https://techcombank.com/thong-tin/blog/the-tin-dung-het-han")</f>
        <v>https://techcombank.com/thong-tin/blog/the-tin-dung-het-han</v>
      </c>
      <c r="O34" s="11">
        <f>COUNTIFS('Chi tiết từng link'!$B$2:$B$2505,$D34,'Chi tiết từng link'!$F$2:$F$2505,"&lt;&gt;CẦN SOÁT")</f>
        <v>5</v>
      </c>
      <c r="P34" s="23" t="s">
        <v>65</v>
      </c>
      <c r="Q34" s="23" t="b">
        <v>0</v>
      </c>
      <c r="R34" s="17" t="str">
        <f>IF(COUNTIFS('Chi tiết từng link'!$B$2:$B$2505,$D34,'Chi tiết từng link'!$F$2:$F$2505,"CẦN SOÁT")&gt;0,"Còn "&amp;COUNTIFS('Chi tiết từng link'!$B$2:$B$2505,$D34,'Chi tiết từng link'!$F$2:$F$2505,"CẦN SOÁT")&amp;" gợi ý cần soát ở tab Chi tiết từng link","")</f>
        <v>Còn 72 gợi ý cần soát ở tab Chi tiết từng link</v>
      </c>
    </row>
    <row r="35" ht="18.0" customHeight="1">
      <c r="A35" s="11">
        <f t="shared" si="1"/>
        <v>34</v>
      </c>
      <c r="B35" s="17" t="str">
        <f t="array" ref="B35">INDEX('Báo cáo 75 trang đích'!$C$2:$C$76,$A35)</f>
        <v>CCB</v>
      </c>
      <c r="C35" s="18" t="s">
        <v>235</v>
      </c>
      <c r="D35" s="17" t="str">
        <f t="array" ref="D35">INDEX('Báo cáo 75 trang đích'!$B$2:$B$76,$A35)</f>
        <v>https://techcombank.com/thong-tin/blog/xep-hang-tin-dung</v>
      </c>
      <c r="E35" s="19" t="str">
        <f>IFERROR(__xludf.DUMMYFUNCTION("IFERROR(INDEX(FILTER('Chi tiết từng link'!$E$2:$E$2505,'Chi tiết từng link'!$B$2:$B$2505=$D35,'Chi tiết từng link'!$F$2:$F$2505&lt;&gt;""CẦN SOÁT""),1),"""")"),"xếp hạng tín dụng")</f>
        <v>xếp hạng tín dụng</v>
      </c>
      <c r="F35" s="17" t="str">
        <f>IFERROR(__xludf.DUMMYFUNCTION("IFERROR(INDEX(FILTER('Chi tiết từng link'!$D$2:$D$2505,'Chi tiết từng link'!$B$2:$B$2505=$D35,'Chi tiết từng link'!$F$2:$F$2505&lt;&gt;""CẦN SOÁT""),1),"""")"),"https://techcombank.com/thong-tin/blog/lich-su-tin-dung")</f>
        <v>https://techcombank.com/thong-tin/blog/lich-su-tin-dung</v>
      </c>
      <c r="G35" s="19" t="str">
        <f>IFERROR(__xludf.DUMMYFUNCTION("IFERROR(INDEX(FILTER('Chi tiết từng link'!$E$2:$E$2505,'Chi tiết từng link'!$B$2:$B$2505=$D35,'Chi tiết từng link'!$F$2:$F$2505&lt;&gt;""CẦN SOÁT""),2),"""")"),"xếp hạng tín dụng cá nhân")</f>
        <v>xếp hạng tín dụng cá nhân</v>
      </c>
      <c r="H35" s="17" t="str">
        <f>IFERROR(__xludf.DUMMYFUNCTION("IFERROR(INDEX(FILTER('Chi tiết từng link'!$D$2:$D$2505,'Chi tiết từng link'!$B$2:$B$2505=$D35,'Chi tiết từng link'!$F$2:$F$2505&lt;&gt;""CẦN SOÁT""),2),"""")"),"https://techcombank.com/thong-tin/blog/dieu-kien-vay-von-ngan-hang")</f>
        <v>https://techcombank.com/thong-tin/blog/dieu-kien-vay-von-ngan-hang</v>
      </c>
      <c r="I35" s="19" t="str">
        <f>IFERROR(__xludf.DUMMYFUNCTION("IFERROR(INDEX(FILTER('Chi tiết từng link'!$E$2:$E$2505,'Chi tiết từng link'!$B$2:$B$2505=$D35,'Chi tiết từng link'!$F$2:$F$2505&lt;&gt;""CẦN SOÁT""),3),"""")"),"xếp hạng tín dụng")</f>
        <v>xếp hạng tín dụng</v>
      </c>
      <c r="J35" s="17" t="str">
        <f>IFERROR(__xludf.DUMMYFUNCTION("IFERROR(INDEX(FILTER('Chi tiết từng link'!$D$2:$D$2505,'Chi tiết từng link'!$B$2:$B$2505=$D35,'Chi tiết từng link'!$F$2:$F$2505&lt;&gt;""CẦN SOÁT""),3),"""")"),"https://techcombank.com/thong-tin/blog/no-xau-co-vay-the-chap-duoc-khong")</f>
        <v>https://techcombank.com/thong-tin/blog/no-xau-co-vay-the-chap-duoc-khong</v>
      </c>
      <c r="K35" s="19" t="str">
        <f>IFERROR(__xludf.DUMMYFUNCTION("IFERROR(INDEX(FILTER('Chi tiết từng link'!$E$2:$E$2505,'Chi tiết từng link'!$B$2:$B$2505=$D35,'Chi tiết từng link'!$F$2:$F$2505&lt;&gt;""CẦN SOÁT""),4),"""")"),"xếp hạng tín dụng cá nhân")</f>
        <v>xếp hạng tín dụng cá nhân</v>
      </c>
      <c r="L35" s="17" t="str">
        <f>IFERROR(__xludf.DUMMYFUNCTION("IFERROR(INDEX(FILTER('Chi tiết từng link'!$D$2:$D$2505,'Chi tiết từng link'!$B$2:$B$2505=$D35,'Chi tiết từng link'!$F$2:$F$2505&lt;&gt;""CẦN SOÁT""),4),"""")"),"https://techcombank.com/thong-tin/blog/tin-dung-la-gi")</f>
        <v>https://techcombank.com/thong-tin/blog/tin-dung-la-gi</v>
      </c>
      <c r="M35" s="19" t="str">
        <f>IFERROR(__xludf.DUMMYFUNCTION("IFERROR(INDEX(FILTER('Chi tiết từng link'!$E$2:$E$2505,'Chi tiết từng link'!$B$2:$B$2505=$D35,'Chi tiết từng link'!$F$2:$F$2505&lt;&gt;""CẦN SOÁT""),5),"""")"),"xếp hạng tín dụng")</f>
        <v>xếp hạng tín dụng</v>
      </c>
      <c r="N35" s="17" t="str">
        <f>IFERROR(__xludf.DUMMYFUNCTION("IFERROR(INDEX(FILTER('Chi tiết từng link'!$D$2:$D$2505,'Chi tiết từng link'!$B$2:$B$2505=$D35,'Chi tiết từng link'!$F$2:$F$2505&lt;&gt;""CẦN SOÁT""),5),"""")"),"https://techcombank.com/thong-tin/blog/du-no-tin-dung-la-gi")</f>
        <v>https://techcombank.com/thong-tin/blog/du-no-tin-dung-la-gi</v>
      </c>
      <c r="O35" s="11">
        <f>COUNTIFS('Chi tiết từng link'!$B$2:$B$2505,$D35,'Chi tiết từng link'!$F$2:$F$2505,"&lt;&gt;CẦN SOÁT")</f>
        <v>5</v>
      </c>
      <c r="P35" s="23" t="s">
        <v>65</v>
      </c>
      <c r="Q35" s="23" t="b">
        <v>0</v>
      </c>
      <c r="R35" s="17" t="str">
        <f>IF(COUNTIFS('Chi tiết từng link'!$B$2:$B$2505,$D35,'Chi tiết từng link'!$F$2:$F$2505,"CẦN SOÁT")&gt;0,"Còn "&amp;COUNTIFS('Chi tiết từng link'!$B$2:$B$2505,$D35,'Chi tiết từng link'!$F$2:$F$2505,"CẦN SOÁT")&amp;" gợi ý cần soát ở tab Chi tiết từng link","")</f>
        <v>Còn 30 gợi ý cần soát ở tab Chi tiết từng link</v>
      </c>
    </row>
    <row r="36" ht="18.0" customHeight="1">
      <c r="A36" s="11">
        <f t="shared" si="1"/>
        <v>35</v>
      </c>
      <c r="B36" s="17" t="str">
        <f t="array" ref="B36">INDEX('Báo cáo 75 trang đích'!$C$2:$C$76,$A36)</f>
        <v>CCB</v>
      </c>
      <c r="C36" s="18" t="s">
        <v>243</v>
      </c>
      <c r="D36" s="17" t="str">
        <f t="array" ref="D36">INDEX('Báo cáo 75 trang đích'!$B$2:$B$76,$A36)</f>
        <v>https://techcombank.com/thong-tin/blog/cach-thanh-toan-the-tin-dung</v>
      </c>
      <c r="E36" s="19" t="str">
        <f>IFERROR(__xludf.DUMMYFUNCTION("IFERROR(INDEX(FILTER('Chi tiết từng link'!$E$2:$E$2505,'Chi tiết từng link'!$B$2:$B$2505=$D36,'Chi tiết từng link'!$F$2:$F$2505&lt;&gt;""CẦN SOÁT""),1),"""")"),"cách thanh toán thẻ tín dụng")</f>
        <v>cách thanh toán thẻ tín dụng</v>
      </c>
      <c r="F36" s="17" t="str">
        <f>IFERROR(__xludf.DUMMYFUNCTION("IFERROR(INDEX(FILTER('Chi tiết từng link'!$D$2:$D$2505,'Chi tiết từng link'!$B$2:$B$2505=$D36,'Chi tiết từng link'!$F$2:$F$2505&lt;&gt;""CẦN SOÁT""),1),"""")"),"https://techcombank.com/thong-tin/blog/thanh-toan-toi-thieu-the-tin-dung")</f>
        <v>https://techcombank.com/thong-tin/blog/thanh-toan-toi-thieu-the-tin-dung</v>
      </c>
      <c r="G36" s="19" t="str">
        <f>IFERROR(__xludf.DUMMYFUNCTION("IFERROR(INDEX(FILTER('Chi tiết từng link'!$E$2:$E$2505,'Chi tiết từng link'!$B$2:$B$2505=$D36,'Chi tiết từng link'!$F$2:$F$2505&lt;&gt;""CẦN SOÁT""),2),"""")"),"thanh toán dư nợ thẻ tín dụng")</f>
        <v>thanh toán dư nợ thẻ tín dụng</v>
      </c>
      <c r="H36" s="17" t="str">
        <f>IFERROR(__xludf.DUMMYFUNCTION("IFERROR(INDEX(FILTER('Chi tiết từng link'!$D$2:$D$2505,'Chi tiết từng link'!$B$2:$B$2505=$D36,'Chi tiết từng link'!$F$2:$F$2505&lt;&gt;""CẦN SOÁT""),2),"""")"),"https://techcombank.com/thong-tin/blog/qua-han-thanh-toan-the-tin-dung-1-ngay")</f>
        <v>https://techcombank.com/thong-tin/blog/qua-han-thanh-toan-the-tin-dung-1-ngay</v>
      </c>
      <c r="I36" s="19" t="str">
        <f>IFERROR(__xludf.DUMMYFUNCTION("IFERROR(INDEX(FILTER('Chi tiết từng link'!$E$2:$E$2505,'Chi tiết từng link'!$B$2:$B$2505=$D36,'Chi tiết từng link'!$F$2:$F$2505&lt;&gt;""CẦN SOÁT""),3),"""")"),"trả nợ thẻ tín dụng")</f>
        <v>trả nợ thẻ tín dụng</v>
      </c>
      <c r="J36" s="17" t="str">
        <f>IFERROR(__xludf.DUMMYFUNCTION("IFERROR(INDEX(FILTER('Chi tiết từng link'!$D$2:$D$2505,'Chi tiết từng link'!$B$2:$B$2505=$D36,'Chi tiết từng link'!$F$2:$F$2505&lt;&gt;""CẦN SOÁT""),3),"""")"),"https://techcombank.com/thong-tin/blog/sao-ke-the-tin-dung-la-gi")</f>
        <v>https://techcombank.com/thong-tin/blog/sao-ke-the-tin-dung-la-gi</v>
      </c>
      <c r="K36" s="19" t="str">
        <f>IFERROR(__xludf.DUMMYFUNCTION("IFERROR(INDEX(FILTER('Chi tiết từng link'!$E$2:$E$2505,'Chi tiết từng link'!$B$2:$B$2505=$D36,'Chi tiết từng link'!$F$2:$F$2505&lt;&gt;""CẦN SOÁT""),4),"""")"),"cách thanh toán thẻ tín dụng")</f>
        <v>cách thanh toán thẻ tín dụng</v>
      </c>
      <c r="L36" s="17" t="str">
        <f>IFERROR(__xludf.DUMMYFUNCTION("IFERROR(INDEX(FILTER('Chi tiết từng link'!$D$2:$D$2505,'Chi tiết từng link'!$B$2:$B$2505=$D36,'Chi tiết từng link'!$F$2:$F$2505&lt;&gt;""CẦN SOÁT""),4),"""")"),"https://techcombank.com/thong-tin/blog/no-the-tin-dung-qua-han")</f>
        <v>https://techcombank.com/thong-tin/blog/no-the-tin-dung-qua-han</v>
      </c>
      <c r="M36" s="19" t="str">
        <f>IFERROR(__xludf.DUMMYFUNCTION("IFERROR(INDEX(FILTER('Chi tiết từng link'!$E$2:$E$2505,'Chi tiết từng link'!$B$2:$B$2505=$D36,'Chi tiết từng link'!$F$2:$F$2505&lt;&gt;""CẦN SOÁT""),5),"""")"),"thanh toán dư nợ thẻ tín dụng")</f>
        <v>thanh toán dư nợ thẻ tín dụng</v>
      </c>
      <c r="N36" s="17" t="str">
        <f>IFERROR(__xludf.DUMMYFUNCTION("IFERROR(INDEX(FILTER('Chi tiết từng link'!$D$2:$D$2505,'Chi tiết từng link'!$B$2:$B$2505=$D36,'Chi tiết từng link'!$F$2:$F$2505&lt;&gt;""CẦN SOÁT""),5),"""")"),"https://techcombank.com/thong-tin/blog/the-tin-dung-mien-lai-55-ngay")</f>
        <v>https://techcombank.com/thong-tin/blog/the-tin-dung-mien-lai-55-ngay</v>
      </c>
      <c r="O36" s="11">
        <f>COUNTIFS('Chi tiết từng link'!$B$2:$B$2505,$D36,'Chi tiết từng link'!$F$2:$F$2505,"&lt;&gt;CẦN SOÁT")</f>
        <v>5</v>
      </c>
      <c r="P36" s="23" t="s">
        <v>65</v>
      </c>
      <c r="Q36" s="23" t="b">
        <v>0</v>
      </c>
      <c r="R36" s="17" t="str">
        <f>IF(COUNTIFS('Chi tiết từng link'!$B$2:$B$2505,$D36,'Chi tiết từng link'!$F$2:$F$2505,"CẦN SOÁT")&gt;0,"Còn "&amp;COUNTIFS('Chi tiết từng link'!$B$2:$B$2505,$D36,'Chi tiết từng link'!$F$2:$F$2505,"CẦN SOÁT")&amp;" gợi ý cần soát ở tab Chi tiết từng link","")</f>
        <v>Còn 81 gợi ý cần soát ở tab Chi tiết từng link</v>
      </c>
    </row>
    <row r="37" ht="18.0" customHeight="1">
      <c r="A37" s="11">
        <f t="shared" si="1"/>
        <v>36</v>
      </c>
      <c r="B37" s="17" t="str">
        <f t="array" ref="B37">INDEX('Báo cáo 75 trang đích'!$C$2:$C$76,$A37)</f>
        <v>CD</v>
      </c>
      <c r="C37" s="18" t="s">
        <v>249</v>
      </c>
      <c r="D37" s="17" t="str">
        <f t="array" ref="D37">INDEX('Báo cáo 75 trang đích'!$B$2:$B$76,$A37)</f>
        <v>https://techcombank.com/thong-tin/blog/chung-chi-tien-gui-la-gi</v>
      </c>
      <c r="E37" s="19" t="str">
        <f>IFERROR(__xludf.DUMMYFUNCTION("IFERROR(INDEX(FILTER('Chi tiết từng link'!$E$2:$E$2505,'Chi tiết từng link'!$B$2:$B$2505=$D37,'Chi tiết từng link'!$F$2:$F$2505&lt;&gt;""CẦN SOÁT""),1),"""")"),"chứng chỉ tiền gửi là gì")</f>
        <v>chứng chỉ tiền gửi là gì</v>
      </c>
      <c r="F37" s="17" t="str">
        <f>IFERROR(__xludf.DUMMYFUNCTION("IFERROR(INDEX(FILTER('Chi tiết từng link'!$D$2:$D$2505,'Chi tiết từng link'!$B$2:$B$2505=$D37,'Chi tiết từng link'!$F$2:$F$2505&lt;&gt;""CẦN SOÁT""),1),"""")"),"https://techcombank.com/thong-tin/blog/chung-chi-tien-gui-khac-gi-so-tiet-kiem")</f>
        <v>https://techcombank.com/thong-tin/blog/chung-chi-tien-gui-khac-gi-so-tiet-kiem</v>
      </c>
      <c r="G37" s="19" t="str">
        <f>IFERROR(__xludf.DUMMYFUNCTION("IFERROR(INDEX(FILTER('Chi tiết từng link'!$E$2:$E$2505,'Chi tiết từng link'!$B$2:$B$2505=$D37,'Chi tiết từng link'!$F$2:$F$2505&lt;&gt;""CẦN SOÁT""),2),"""")"),"chứng chỉ tiền gửi")</f>
        <v>chứng chỉ tiền gửi</v>
      </c>
      <c r="H37" s="17" t="str">
        <f>IFERROR(__xludf.DUMMYFUNCTION("IFERROR(INDEX(FILTER('Chi tiết từng link'!$D$2:$D$2505,'Chi tiết từng link'!$B$2:$B$2505=$D37,'Chi tiết từng link'!$F$2:$F$2505&lt;&gt;""CẦN SOÁT""),2),"""")"),"https://techcombank.com/thong-tin/blog/chung-chi-tien-gui-co-phai-la-trai-phieu-khong")</f>
        <v>https://techcombank.com/thong-tin/blog/chung-chi-tien-gui-co-phai-la-trai-phieu-khong</v>
      </c>
      <c r="I37" s="19" t="str">
        <f>IFERROR(__xludf.DUMMYFUNCTION("IFERROR(INDEX(FILTER('Chi tiết từng link'!$E$2:$E$2505,'Chi tiết từng link'!$B$2:$B$2505=$D37,'Chi tiết từng link'!$F$2:$F$2505&lt;&gt;""CẦN SOÁT""),3),"""")"),"chứng chỉ tiền gửi là gì")</f>
        <v>chứng chỉ tiền gửi là gì</v>
      </c>
      <c r="J37" s="17" t="str">
        <f>IFERROR(__xludf.DUMMYFUNCTION("IFERROR(INDEX(FILTER('Chi tiết từng link'!$D$2:$D$2505,'Chi tiết từng link'!$B$2:$B$2505=$D37,'Chi tiết từng link'!$F$2:$F$2505&lt;&gt;""CẦN SOÁT""),3),"""")"),"https://techcombank.com/thong-tin/blog/co-nen-gui-chung-chi-tien-gui")</f>
        <v>https://techcombank.com/thong-tin/blog/co-nen-gui-chung-chi-tien-gui</v>
      </c>
      <c r="K37" s="19" t="str">
        <f>IFERROR(__xludf.DUMMYFUNCTION("IFERROR(INDEX(FILTER('Chi tiết từng link'!$E$2:$E$2505,'Chi tiết từng link'!$B$2:$B$2505=$D37,'Chi tiết từng link'!$F$2:$F$2505&lt;&gt;""CẦN SOÁT""),4),"""")"),"chứng chỉ tiền gửi")</f>
        <v>chứng chỉ tiền gửi</v>
      </c>
      <c r="L37" s="17" t="str">
        <f>IFERROR(__xludf.DUMMYFUNCTION("IFERROR(INDEX(FILTER('Chi tiết từng link'!$D$2:$D$2505,'Chi tiết từng link'!$B$2:$B$2505=$D37,'Chi tiết từng link'!$F$2:$F$2505&lt;&gt;""CẦN SOÁT""),4),"""")"),"https://techcombank.com/thong-tin/blog/chung-chi-tien-gui-co-an-toan-khong")</f>
        <v>https://techcombank.com/thong-tin/blog/chung-chi-tien-gui-co-an-toan-khong</v>
      </c>
      <c r="M37" s="19" t="str">
        <f>IFERROR(__xludf.DUMMYFUNCTION("IFERROR(INDEX(FILTER('Chi tiết từng link'!$E$2:$E$2505,'Chi tiết từng link'!$B$2:$B$2505=$D37,'Chi tiết từng link'!$F$2:$F$2505&lt;&gt;""CẦN SOÁT""),5),"""")"),"chứng chỉ tiền gửi là gì")</f>
        <v>chứng chỉ tiền gửi là gì</v>
      </c>
      <c r="N37" s="17" t="str">
        <f>IFERROR(__xludf.DUMMYFUNCTION("IFERROR(INDEX(FILTER('Chi tiết từng link'!$D$2:$D$2505,'Chi tiết từng link'!$B$2:$B$2505=$D37,'Chi tiết từng link'!$F$2:$F$2505&lt;&gt;""CẦN SOÁT""),5),"""")"),"https://techcombank.com/thong-tin/blog/tien-nhan-roi-nen-lam-gi")</f>
        <v>https://techcombank.com/thong-tin/blog/tien-nhan-roi-nen-lam-gi</v>
      </c>
      <c r="O37" s="11">
        <f>COUNTIFS('Chi tiết từng link'!$B$2:$B$2505,$D37,'Chi tiết từng link'!$F$2:$F$2505,"&lt;&gt;CẦN SOÁT")</f>
        <v>5</v>
      </c>
      <c r="P37" s="23" t="s">
        <v>65</v>
      </c>
      <c r="Q37" s="23" t="b">
        <v>0</v>
      </c>
      <c r="R37" s="17" t="str">
        <f>IF(COUNTIFS('Chi tiết từng link'!$B$2:$B$2505,$D37,'Chi tiết từng link'!$F$2:$F$2505,"CẦN SOÁT")&gt;0,"Còn "&amp;COUNTIFS('Chi tiết từng link'!$B$2:$B$2505,$D37,'Chi tiết từng link'!$F$2:$F$2505,"CẦN SOÁT")&amp;" gợi ý cần soát ở tab Chi tiết từng link","")</f>
        <v>Còn 43 gợi ý cần soát ở tab Chi tiết từng link</v>
      </c>
    </row>
    <row r="38" ht="18.0" customHeight="1">
      <c r="A38" s="11">
        <f t="shared" si="1"/>
        <v>37</v>
      </c>
      <c r="B38" s="17" t="str">
        <f t="array" ref="B38">INDEX('Báo cáo 75 trang đích'!$C$2:$C$76,$A38)</f>
        <v>CD</v>
      </c>
      <c r="C38" s="18" t="s">
        <v>254</v>
      </c>
      <c r="D38" s="17" t="str">
        <f t="array" ref="D38">INDEX('Báo cáo 75 trang đích'!$B$2:$B$76,$A38)</f>
        <v>https://techcombank.com/thong-tin/blog/lai-suat-chung-chi-tien-gui-cac-ngan-hang</v>
      </c>
      <c r="E38" s="19" t="str">
        <f>IFERROR(__xludf.DUMMYFUNCTION("IFERROR(INDEX(FILTER('Chi tiết từng link'!$E$2:$E$2505,'Chi tiết từng link'!$B$2:$B$2505=$D38,'Chi tiết từng link'!$F$2:$F$2505&lt;&gt;""CẦN SOÁT""),1),"""")"),"lãi suất chứng chỉ tiền gửi các ngân hàng")</f>
        <v>lãi suất chứng chỉ tiền gửi các ngân hàng</v>
      </c>
      <c r="F38" s="17" t="str">
        <f>IFERROR(__xludf.DUMMYFUNCTION("IFERROR(INDEX(FILTER('Chi tiết từng link'!$D$2:$D$2505,'Chi tiết từng link'!$B$2:$B$2505=$D38,'Chi tiết từng link'!$F$2:$F$2505&lt;&gt;""CẦN SOÁT""),1),"""")"),"https://techcombank.com/thong-tin/blog/cach-tinh-loi-nhuan-chung-chi-tien-gui")</f>
        <v>https://techcombank.com/thong-tin/blog/cach-tinh-loi-nhuan-chung-chi-tien-gui</v>
      </c>
      <c r="G38" s="19" t="str">
        <f>IFERROR(__xludf.DUMMYFUNCTION("IFERROR(INDEX(FILTER('Chi tiết từng link'!$E$2:$E$2505,'Chi tiết từng link'!$B$2:$B$2505=$D38,'Chi tiết từng link'!$F$2:$F$2505&lt;&gt;""CẦN SOÁT""),2),"""")"),"lãi suất chứng chỉ tiền gửi")</f>
        <v>lãi suất chứng chỉ tiền gửi</v>
      </c>
      <c r="H38" s="17" t="str">
        <f>IFERROR(__xludf.DUMMYFUNCTION("IFERROR(INDEX(FILTER('Chi tiết từng link'!$D$2:$D$2505,'Chi tiết từng link'!$B$2:$B$2505=$D38,'Chi tiết từng link'!$F$2:$F$2505&lt;&gt;""CẦN SOÁT""),2),"""")"),"https://techcombank.com/thong-tin/blog/tat-toan-chung-chi-tien-gui")</f>
        <v>https://techcombank.com/thong-tin/blog/tat-toan-chung-chi-tien-gui</v>
      </c>
      <c r="I38" s="19" t="str">
        <f>IFERROR(__xludf.DUMMYFUNCTION("IFERROR(INDEX(FILTER('Chi tiết từng link'!$E$2:$E$2505,'Chi tiết từng link'!$B$2:$B$2505=$D38,'Chi tiết từng link'!$F$2:$F$2505&lt;&gt;""CẦN SOÁT""),3),"""")"),"lợi suất chứng chỉ tiền gửi")</f>
        <v>lợi suất chứng chỉ tiền gửi</v>
      </c>
      <c r="J38" s="17" t="str">
        <f>IFERROR(__xludf.DUMMYFUNCTION("IFERROR(INDEX(FILTER('Chi tiết từng link'!$D$2:$D$2505,'Chi tiết từng link'!$B$2:$B$2505=$D38,'Chi tiết từng link'!$F$2:$F$2505&lt;&gt;""CẦN SOÁT""),3),"""")"),"https://techcombank.com/thong-tin/blog/chung-chi-tien-gui-co-duoc-rut-truoc-han")</f>
        <v>https://techcombank.com/thong-tin/blog/chung-chi-tien-gui-co-duoc-rut-truoc-han</v>
      </c>
      <c r="K38" s="19" t="str">
        <f>IFERROR(__xludf.DUMMYFUNCTION("IFERROR(INDEX(FILTER('Chi tiết từng link'!$E$2:$E$2505,'Chi tiết từng link'!$B$2:$B$2505=$D38,'Chi tiết từng link'!$F$2:$F$2505&lt;&gt;""CẦN SOÁT""),4),"""")"),"lãi suất chứng chỉ tiền gửi các ngân hàng")</f>
        <v>lãi suất chứng chỉ tiền gửi các ngân hàng</v>
      </c>
      <c r="L38" s="17" t="str">
        <f>IFERROR(__xludf.DUMMYFUNCTION("IFERROR(INDEX(FILTER('Chi tiết từng link'!$D$2:$D$2505,'Chi tiết từng link'!$B$2:$B$2505=$D38,'Chi tiết từng link'!$F$2:$F$2505&lt;&gt;""CẦN SOÁT""),4),"""")"),"https://techcombank.com/thong-tin/blog/chuyen-nhuong-chung-chi-tien-gui")</f>
        <v>https://techcombank.com/thong-tin/blog/chuyen-nhuong-chung-chi-tien-gui</v>
      </c>
      <c r="M38" s="19" t="str">
        <f>IFERROR(__xludf.DUMMYFUNCTION("IFERROR(INDEX(FILTER('Chi tiết từng link'!$E$2:$E$2505,'Chi tiết từng link'!$B$2:$B$2505=$D38,'Chi tiết từng link'!$F$2:$F$2505&lt;&gt;""CẦN SOÁT""),5),"""")"),"lãi suất chứng chỉ tiền gửi")</f>
        <v>lãi suất chứng chỉ tiền gửi</v>
      </c>
      <c r="N38" s="17" t="str">
        <f>IFERROR(__xludf.DUMMYFUNCTION("IFERROR(INDEX(FILTER('Chi tiết từng link'!$D$2:$D$2505,'Chi tiết từng link'!$B$2:$B$2505=$D38,'Chi tiết từng link'!$F$2:$F$2505&lt;&gt;""CẦN SOÁT""),5),"""")"),"https://techcombank.com/thong-tin/blog/chung-chi-tien-gui-co-duoc-bao-hiem-khong")</f>
        <v>https://techcombank.com/thong-tin/blog/chung-chi-tien-gui-co-duoc-bao-hiem-khong</v>
      </c>
      <c r="O38" s="11">
        <f>COUNTIFS('Chi tiết từng link'!$B$2:$B$2505,$D38,'Chi tiết từng link'!$F$2:$F$2505,"&lt;&gt;CẦN SOÁT")</f>
        <v>5</v>
      </c>
      <c r="P38" s="23" t="s">
        <v>65</v>
      </c>
      <c r="Q38" s="23" t="b">
        <v>0</v>
      </c>
      <c r="R38" s="17" t="str">
        <f>IF(COUNTIFS('Chi tiết từng link'!$B$2:$B$2505,$D38,'Chi tiết từng link'!$F$2:$F$2505,"CẦN SOÁT")&gt;0,"Còn "&amp;COUNTIFS('Chi tiết từng link'!$B$2:$B$2505,$D38,'Chi tiết từng link'!$F$2:$F$2505,"CẦN SOÁT")&amp;" gợi ý cần soát ở tab Chi tiết từng link","")</f>
        <v>Còn 9 gợi ý cần soát ở tab Chi tiết từng link</v>
      </c>
    </row>
    <row r="39" ht="18.0" customHeight="1">
      <c r="A39" s="11">
        <f t="shared" si="1"/>
        <v>38</v>
      </c>
      <c r="B39" s="17" t="str">
        <f t="array" ref="B39">INDEX('Báo cáo 75 trang đích'!$C$2:$C$76,$A39)</f>
        <v>FX</v>
      </c>
      <c r="C39" s="18" t="s">
        <v>259</v>
      </c>
      <c r="D39" s="17" t="str">
        <f t="array" ref="D39">INDEX('Báo cáo 75 trang đích'!$B$2:$B$76,$A39)</f>
        <v>https://techcombank.com/thong-tin/blog/1-te-bang-bao-nhieu-tien-viet-nam</v>
      </c>
      <c r="E39" s="19" t="str">
        <f>IFERROR(__xludf.DUMMYFUNCTION("IFERROR(INDEX(FILTER('Chi tiết từng link'!$E$2:$E$2505,'Chi tiết từng link'!$B$2:$B$2505=$D39,'Chi tiết từng link'!$F$2:$F$2505&lt;&gt;""CẦN SOÁT""),1),"""")"),"1 Tệ bằng bao nhiêu tiền Việt")</f>
        <v>1 Tệ bằng bao nhiêu tiền Việt</v>
      </c>
      <c r="F39" s="17" t="str">
        <f>IFERROR(__xludf.DUMMYFUNCTION("IFERROR(INDEX(FILTER('Chi tiết từng link'!$D$2:$D$2505,'Chi tiết từng link'!$B$2:$B$2505=$D39,'Chi tiết từng link'!$F$2:$F$2505&lt;&gt;""CẦN SOÁT""),1),"""")"),"https://techcombank.com/thong-tin/blog/tien-trung-quoc")</f>
        <v>https://techcombank.com/thong-tin/blog/tien-trung-quoc</v>
      </c>
      <c r="G39" s="19" t="str">
        <f>IFERROR(__xludf.DUMMYFUNCTION("IFERROR(INDEX(FILTER('Chi tiết từng link'!$E$2:$E$2505,'Chi tiết từng link'!$B$2:$B$2505=$D39,'Chi tiết từng link'!$F$2:$F$2505&lt;&gt;""CẦN SOÁT""),2),"""")"),"tỷ giá Nhân dân tệ")</f>
        <v>tỷ giá Nhân dân tệ</v>
      </c>
      <c r="H39" s="17" t="str">
        <f>IFERROR(__xludf.DUMMYFUNCTION("IFERROR(INDEX(FILTER('Chi tiết từng link'!$D$2:$D$2505,'Chi tiết từng link'!$B$2:$B$2505=$D39,'Chi tiết từng link'!$F$2:$F$2505&lt;&gt;""CẦN SOÁT""),2),"""")"),"https://techcombank.com/thong-tin/blog/1-van-te-bang-bao-nhieu-tien-viet")</f>
        <v>https://techcombank.com/thong-tin/blog/1-van-te-bang-bao-nhieu-tien-viet</v>
      </c>
      <c r="I39" s="19" t="str">
        <f>IFERROR(__xludf.DUMMYFUNCTION("IFERROR(INDEX(FILTER('Chi tiết từng link'!$E$2:$E$2505,'Chi tiết từng link'!$B$2:$B$2505=$D39,'Chi tiết từng link'!$F$2:$F$2505&lt;&gt;""CẦN SOÁT""),3),"""")"),"1 Tệ bằng bao nhiêu tiền Việt")</f>
        <v>1 Tệ bằng bao nhiêu tiền Việt</v>
      </c>
      <c r="J39" s="17" t="str">
        <f>IFERROR(__xludf.DUMMYFUNCTION("IFERROR(INDEX(FILTER('Chi tiết từng link'!$D$2:$D$2505,'Chi tiết từng link'!$B$2:$B$2505=$D39,'Chi tiết từng link'!$F$2:$F$2505&lt;&gt;""CẦN SOÁT""),3),"""")"),"https://techcombank.com/thong-tin/blog/1000-te-bang-bao-nhieu-tien-viet")</f>
        <v>https://techcombank.com/thong-tin/blog/1000-te-bang-bao-nhieu-tien-viet</v>
      </c>
      <c r="K39" s="19" t="str">
        <f>IFERROR(__xludf.DUMMYFUNCTION("IFERROR(INDEX(FILTER('Chi tiết từng link'!$E$2:$E$2505,'Chi tiết từng link'!$B$2:$B$2505=$D39,'Chi tiết từng link'!$F$2:$F$2505&lt;&gt;""CẦN SOÁT""),4),"""")"),"tỷ giá Nhân dân tệ")</f>
        <v>tỷ giá Nhân dân tệ</v>
      </c>
      <c r="L39" s="17" t="str">
        <f>IFERROR(__xludf.DUMMYFUNCTION("IFERROR(INDEX(FILTER('Chi tiết từng link'!$D$2:$D$2505,'Chi tiết từng link'!$B$2:$B$2505=$D39,'Chi tiết từng link'!$F$2:$F$2505&lt;&gt;""CẦN SOÁT""),4),"""")"),"https://techcombank.com/thong-tin/blog/thanh-toan-khi-du-lich-trung-quoc")</f>
        <v>https://techcombank.com/thong-tin/blog/thanh-toan-khi-du-lich-trung-quoc</v>
      </c>
      <c r="M39" s="19" t="str">
        <f>IFERROR(__xludf.DUMMYFUNCTION("IFERROR(INDEX(FILTER('Chi tiết từng link'!$E$2:$E$2505,'Chi tiết từng link'!$B$2:$B$2505=$D39,'Chi tiết từng link'!$F$2:$F$2505&lt;&gt;""CẦN SOÁT""),5),"""")"),"")</f>
        <v/>
      </c>
      <c r="N39" s="17" t="str">
        <f>IFERROR(__xludf.DUMMYFUNCTION("IFERROR(INDEX(FILTER('Chi tiết từng link'!$D$2:$D$2505,'Chi tiết từng link'!$B$2:$B$2505=$D39,'Chi tiết từng link'!$F$2:$F$2505&lt;&gt;""CẦN SOÁT""),5),"""")"),"")</f>
        <v/>
      </c>
      <c r="O39" s="11">
        <f>COUNTIFS('Chi tiết từng link'!$B$2:$B$2505,$D39,'Chi tiết từng link'!$F$2:$F$2505,"&lt;&gt;CẦN SOÁT")</f>
        <v>4</v>
      </c>
      <c r="P39" s="23" t="s">
        <v>65</v>
      </c>
      <c r="Q39" s="23" t="b">
        <v>0</v>
      </c>
      <c r="R39" s="17" t="str">
        <f>IF(COUNTIFS('Chi tiết từng link'!$B$2:$B$2505,$D39,'Chi tiết từng link'!$F$2:$F$2505,"CẦN SOÁT")&gt;0,"Còn "&amp;COUNTIFS('Chi tiết từng link'!$B$2:$B$2505,$D39,'Chi tiết từng link'!$F$2:$F$2505,"CẦN SOÁT")&amp;" gợi ý cần soát ở tab Chi tiết từng link","")</f>
        <v>Còn 16 gợi ý cần soát ở tab Chi tiết từng link</v>
      </c>
    </row>
    <row r="40" ht="18.0" customHeight="1">
      <c r="A40" s="11">
        <f t="shared" si="1"/>
        <v>39</v>
      </c>
      <c r="B40" s="17" t="str">
        <f t="array" ref="B40">INDEX('Báo cáo 75 trang đích'!$C$2:$C$76,$A40)</f>
        <v>FX</v>
      </c>
      <c r="C40" s="18" t="s">
        <v>262</v>
      </c>
      <c r="D40" s="17" t="str">
        <f t="array" ref="D40">INDEX('Báo cáo 75 trang đích'!$B$2:$B$76,$A40)</f>
        <v>https://techcombank.com/thong-tin/blog/1-dong-do-la-my-bang-bao-nhieu-tien-viet-nam</v>
      </c>
      <c r="E40" s="19" t="str">
        <f>IFERROR(__xludf.DUMMYFUNCTION("IFERROR(INDEX(FILTER('Chi tiết từng link'!$E$2:$E$2505,'Chi tiết từng link'!$B$2:$B$2505=$D40,'Chi tiết từng link'!$F$2:$F$2505&lt;&gt;""CẦN SOÁT""),1),"""")"),"1 đô la Mỹ bằng bao nhiêu tiền Việt")</f>
        <v>1 đô la Mỹ bằng bao nhiêu tiền Việt</v>
      </c>
      <c r="F40" s="17" t="str">
        <f>IFERROR(__xludf.DUMMYFUNCTION("IFERROR(INDEX(FILTER('Chi tiết từng link'!$D$2:$D$2505,'Chi tiết từng link'!$B$2:$B$2505=$D40,'Chi tiết từng link'!$F$2:$F$2505&lt;&gt;""CẦN SOÁT""),1),"""")"),"https://techcombank.com/thong-tin/blog/xu-huong-ty-gia-usd")</f>
        <v>https://techcombank.com/thong-tin/blog/xu-huong-ty-gia-usd</v>
      </c>
      <c r="G40" s="19" t="str">
        <f>IFERROR(__xludf.DUMMYFUNCTION("IFERROR(INDEX(FILTER('Chi tiết từng link'!$E$2:$E$2505,'Chi tiết từng link'!$B$2:$B$2505=$D40,'Chi tiết từng link'!$F$2:$F$2505&lt;&gt;""CẦN SOÁT""),2),"""")"),"1 đô bằng bao nhiêu tiền Việt")</f>
        <v>1 đô bằng bao nhiêu tiền Việt</v>
      </c>
      <c r="H40" s="17" t="str">
        <f>IFERROR(__xludf.DUMMYFUNCTION("IFERROR(INDEX(FILTER('Chi tiết từng link'!$D$2:$D$2505,'Chi tiết từng link'!$B$2:$B$2505=$D40,'Chi tiết từng link'!$F$2:$F$2505&lt;&gt;""CẦN SOÁT""),2),"""")"),"https://techcombank.com/thong-tin/blog/dieu-kien-mua-usd-tu-ngan-hang")</f>
        <v>https://techcombank.com/thong-tin/blog/dieu-kien-mua-usd-tu-ngan-hang</v>
      </c>
      <c r="I40" s="19" t="str">
        <f>IFERROR(__xludf.DUMMYFUNCTION("IFERROR(INDEX(FILTER('Chi tiết từng link'!$E$2:$E$2505,'Chi tiết từng link'!$B$2:$B$2505=$D40,'Chi tiết từng link'!$F$2:$F$2505&lt;&gt;""CẦN SOÁT""),3),"""")"),"tỷ giá USD/VND")</f>
        <v>tỷ giá USD/VND</v>
      </c>
      <c r="J40" s="17" t="str">
        <f>IFERROR(__xludf.DUMMYFUNCTION("IFERROR(INDEX(FILTER('Chi tiết từng link'!$D$2:$D$2505,'Chi tiết từng link'!$B$2:$B$2505=$D40,'Chi tiết từng link'!$F$2:$F$2505&lt;&gt;""CẦN SOÁT""),3),"""")"),"https://techcombank.com/thong-tin/blog/1-cent-bang-bao-nhieu-tien-viet")</f>
        <v>https://techcombank.com/thong-tin/blog/1-cent-bang-bao-nhieu-tien-viet</v>
      </c>
      <c r="K40" s="19" t="str">
        <f>IFERROR(__xludf.DUMMYFUNCTION("IFERROR(INDEX(FILTER('Chi tiết từng link'!$E$2:$E$2505,'Chi tiết từng link'!$B$2:$B$2505=$D40,'Chi tiết từng link'!$F$2:$F$2505&lt;&gt;""CẦN SOÁT""),4),"""")"),"1 đô la Mỹ bằng bao nhiêu tiền Việt")</f>
        <v>1 đô la Mỹ bằng bao nhiêu tiền Việt</v>
      </c>
      <c r="L40" s="17" t="str">
        <f>IFERROR(__xludf.DUMMYFUNCTION("IFERROR(INDEX(FILTER('Chi tiết từng link'!$D$2:$D$2505,'Chi tiết từng link'!$B$2:$B$2505=$D40,'Chi tiết từng link'!$F$2:$F$2505&lt;&gt;""CẦN SOÁT""),4),"""")"),"https://techcombank.com/thong-tin/blog/lai-suat-gui-tiet-kiem-usd")</f>
        <v>https://techcombank.com/thong-tin/blog/lai-suat-gui-tiet-kiem-usd</v>
      </c>
      <c r="M40" s="19" t="str">
        <f>IFERROR(__xludf.DUMMYFUNCTION("IFERROR(INDEX(FILTER('Chi tiết từng link'!$E$2:$E$2505,'Chi tiết từng link'!$B$2:$B$2505=$D40,'Chi tiết từng link'!$F$2:$F$2505&lt;&gt;""CẦN SOÁT""),5),"""")"),"1 đô bằng bao nhiêu tiền Việt")</f>
        <v>1 đô bằng bao nhiêu tiền Việt</v>
      </c>
      <c r="N40" s="17" t="str">
        <f>IFERROR(__xludf.DUMMYFUNCTION("IFERROR(INDEX(FILTER('Chi tiết từng link'!$D$2:$D$2505,'Chi tiết từng link'!$B$2:$B$2505=$D40,'Chi tiết từng link'!$F$2:$F$2505&lt;&gt;""CẦN SOÁT""),5),"""")"),"https://techcombank.com/thong-tin/blog/chuyen-tien-tu-my-ve-viet-nam")</f>
        <v>https://techcombank.com/thong-tin/blog/chuyen-tien-tu-my-ve-viet-nam</v>
      </c>
      <c r="O40" s="11">
        <f>COUNTIFS('Chi tiết từng link'!$B$2:$B$2505,$D40,'Chi tiết từng link'!$F$2:$F$2505,"&lt;&gt;CẦN SOÁT")</f>
        <v>5</v>
      </c>
      <c r="P40" s="23" t="s">
        <v>65</v>
      </c>
      <c r="Q40" s="23" t="b">
        <v>0</v>
      </c>
      <c r="R40" s="17" t="str">
        <f>IF(COUNTIFS('Chi tiết từng link'!$B$2:$B$2505,$D40,'Chi tiết từng link'!$F$2:$F$2505,"CẦN SOÁT")&gt;0,"Còn "&amp;COUNTIFS('Chi tiết từng link'!$B$2:$B$2505,$D40,'Chi tiết từng link'!$F$2:$F$2505,"CẦN SOÁT")&amp;" gợi ý cần soát ở tab Chi tiết từng link","")</f>
        <v>Còn 7 gợi ý cần soát ở tab Chi tiết từng link</v>
      </c>
    </row>
    <row r="41" ht="18.0" customHeight="1">
      <c r="A41" s="11">
        <f t="shared" si="1"/>
        <v>40</v>
      </c>
      <c r="B41" s="17" t="str">
        <f t="array" ref="B41">INDEX('Báo cáo 75 trang đích'!$C$2:$C$76,$A41)</f>
        <v>FX</v>
      </c>
      <c r="C41" s="18" t="s">
        <v>265</v>
      </c>
      <c r="D41" s="17" t="str">
        <f t="array" ref="D41">INDEX('Báo cáo 75 trang đích'!$B$2:$B$76,$A41)</f>
        <v>https://techcombank.com/thong-tin/blog/tien-nhat</v>
      </c>
      <c r="E41" s="19" t="str">
        <f>IFERROR(__xludf.DUMMYFUNCTION("IFERROR(INDEX(FILTER('Chi tiết từng link'!$E$2:$E$2505,'Chi tiết từng link'!$B$2:$B$2505=$D41,'Chi tiết từng link'!$F$2:$F$2505&lt;&gt;""CẦN SOÁT""),1),"""")"),"tiền Nhật")</f>
        <v>tiền Nhật</v>
      </c>
      <c r="F41" s="17" t="str">
        <f>IFERROR(__xludf.DUMMYFUNCTION("IFERROR(INDEX(FILTER('Chi tiết từng link'!$D$2:$D$2505,'Chi tiết từng link'!$B$2:$B$2505=$D41,'Chi tiết từng link'!$F$2:$F$2505&lt;&gt;""CẦN SOÁT""),1),"""")"),"https://techcombank.com/thong-tin/blog/thanh-toan-khi-du-lich-nhat-ban")</f>
        <v>https://techcombank.com/thong-tin/blog/thanh-toan-khi-du-lich-nhat-ban</v>
      </c>
      <c r="G41" s="19" t="str">
        <f>IFERROR(__xludf.DUMMYFUNCTION("IFERROR(INDEX(FILTER('Chi tiết từng link'!$E$2:$E$2505,'Chi tiết từng link'!$B$2:$B$2505=$D41,'Chi tiết từng link'!$F$2:$F$2505&lt;&gt;""CẦN SOÁT""),2),"""")"),"tiền Yên Nhật")</f>
        <v>tiền Yên Nhật</v>
      </c>
      <c r="H41" s="17" t="str">
        <f>IFERROR(__xludf.DUMMYFUNCTION("IFERROR(INDEX(FILTER('Chi tiết từng link'!$D$2:$D$2505,'Chi tiết từng link'!$B$2:$B$2505=$D41,'Chi tiết từng link'!$F$2:$F$2505&lt;&gt;""CẦN SOÁT""),2),"""")"),"https://techcombank.com/thong-tin/blog/chuyen-tien-tu-nhat-ve-viet-nam")</f>
        <v>https://techcombank.com/thong-tin/blog/chuyen-tien-tu-nhat-ve-viet-nam</v>
      </c>
      <c r="I41" s="19" t="str">
        <f>IFERROR(__xludf.DUMMYFUNCTION("IFERROR(INDEX(FILTER('Chi tiết từng link'!$E$2:$E$2505,'Chi tiết từng link'!$B$2:$B$2505=$D41,'Chi tiết từng link'!$F$2:$F$2505&lt;&gt;""CẦN SOÁT""),3),"""")"),"tiền Nhật")</f>
        <v>tiền Nhật</v>
      </c>
      <c r="J41" s="17" t="str">
        <f>IFERROR(__xludf.DUMMYFUNCTION("IFERROR(INDEX(FILTER('Chi tiết từng link'!$D$2:$D$2505,'Chi tiết từng link'!$B$2:$B$2505=$D41,'Chi tiết từng link'!$F$2:$F$2505&lt;&gt;""CẦN SOÁT""),3),"""")"),"https://techcombank.com/thong-tin/blog/1-yen-bang-bao-nhieu-tien-viet-nam")</f>
        <v>https://techcombank.com/thong-tin/blog/1-yen-bang-bao-nhieu-tien-viet-nam</v>
      </c>
      <c r="K41" s="19" t="str">
        <f>IFERROR(__xludf.DUMMYFUNCTION("IFERROR(INDEX(FILTER('Chi tiết từng link'!$E$2:$E$2505,'Chi tiết từng link'!$B$2:$B$2505=$D41,'Chi tiết từng link'!$F$2:$F$2505&lt;&gt;""CẦN SOÁT""),4),"""")"),"tiền Yên Nhật")</f>
        <v>tiền Yên Nhật</v>
      </c>
      <c r="L41" s="17" t="str">
        <f>IFERROR(__xludf.DUMMYFUNCTION("IFERROR(INDEX(FILTER('Chi tiết từng link'!$D$2:$D$2505,'Chi tiết từng link'!$B$2:$B$2505=$D41,'Chi tiết từng link'!$F$2:$F$2505&lt;&gt;""CẦN SOÁT""),4),"""")"),"https://techcombank.com/thong-tin/blog/1-man-bang-bao-nhieu-tien-viet")</f>
        <v>https://techcombank.com/thong-tin/blog/1-man-bang-bao-nhieu-tien-viet</v>
      </c>
      <c r="M41" s="19" t="str">
        <f>IFERROR(__xludf.DUMMYFUNCTION("IFERROR(INDEX(FILTER('Chi tiết từng link'!$E$2:$E$2505,'Chi tiết từng link'!$B$2:$B$2505=$D41,'Chi tiết từng link'!$F$2:$F$2505&lt;&gt;""CẦN SOÁT""),5),"""")"),"tiền Nhật")</f>
        <v>tiền Nhật</v>
      </c>
      <c r="N41" s="17" t="str">
        <f>IFERROR(__xludf.DUMMYFUNCTION("IFERROR(INDEX(FILTER('Chi tiết từng link'!$D$2:$D$2505,'Chi tiết từng link'!$B$2:$B$2505=$D41,'Chi tiết từng link'!$F$2:$F$2505&lt;&gt;""CẦN SOÁT""),5),"""")"),"https://techcombank.com/thong-tin/blog/cach-tiet-kiem-tien-cua-nguoi-nhat")</f>
        <v>https://techcombank.com/thong-tin/blog/cach-tiet-kiem-tien-cua-nguoi-nhat</v>
      </c>
      <c r="O41" s="11">
        <f>COUNTIFS('Chi tiết từng link'!$B$2:$B$2505,$D41,'Chi tiết từng link'!$F$2:$F$2505,"&lt;&gt;CẦN SOÁT")</f>
        <v>5</v>
      </c>
      <c r="P41" s="23" t="s">
        <v>65</v>
      </c>
      <c r="Q41" s="23" t="b">
        <v>0</v>
      </c>
      <c r="R41" s="17" t="str">
        <f>IF(COUNTIFS('Chi tiết từng link'!$B$2:$B$2505,$D41,'Chi tiết từng link'!$F$2:$F$2505,"CẦN SOÁT")&gt;0,"Còn "&amp;COUNTIFS('Chi tiết từng link'!$B$2:$B$2505,$D41,'Chi tiết từng link'!$F$2:$F$2505,"CẦN SOÁT")&amp;" gợi ý cần soát ở tab Chi tiết từng link","")</f>
        <v>Còn 3 gợi ý cần soát ở tab Chi tiết từng link</v>
      </c>
    </row>
    <row r="42" ht="18.0" customHeight="1">
      <c r="A42" s="11">
        <f t="shared" si="1"/>
        <v>41</v>
      </c>
      <c r="B42" s="17" t="str">
        <f t="array" ref="B42">INDEX('Báo cáo 75 trang đích'!$C$2:$C$76,$A42)</f>
        <v>FX</v>
      </c>
      <c r="C42" s="18" t="s">
        <v>271</v>
      </c>
      <c r="D42" s="17" t="str">
        <f t="array" ref="D42">INDEX('Báo cáo 75 trang đích'!$B$2:$B$76,$A42)</f>
        <v>https://techcombank.com/thong-tin/blog/1-yen-bang-bao-nhieu-tien-viet-nam</v>
      </c>
      <c r="E42" s="19" t="str">
        <f>IFERROR(__xludf.DUMMYFUNCTION("IFERROR(INDEX(FILTER('Chi tiết từng link'!$E$2:$E$2505,'Chi tiết từng link'!$B$2:$B$2505=$D42,'Chi tiết từng link'!$F$2:$F$2505&lt;&gt;""CẦN SOÁT""),1),"""")"),"1 Yên bằng bao nhiêu tiền Việt")</f>
        <v>1 Yên bằng bao nhiêu tiền Việt</v>
      </c>
      <c r="F42" s="17" t="str">
        <f>IFERROR(__xludf.DUMMYFUNCTION("IFERROR(INDEX(FILTER('Chi tiết từng link'!$D$2:$D$2505,'Chi tiết từng link'!$B$2:$B$2505=$D42,'Chi tiết từng link'!$F$2:$F$2505&lt;&gt;""CẦN SOÁT""),1),"""")"),"https://techcombank.com/thong-tin/blog/1000-yen-bang-bao-nhieu-tien-viet")</f>
        <v>https://techcombank.com/thong-tin/blog/1000-yen-bang-bao-nhieu-tien-viet</v>
      </c>
      <c r="G42" s="19" t="str">
        <f>IFERROR(__xludf.DUMMYFUNCTION("IFERROR(INDEX(FILTER('Chi tiết từng link'!$E$2:$E$2505,'Chi tiết từng link'!$B$2:$B$2505=$D42,'Chi tiết từng link'!$F$2:$F$2505&lt;&gt;""CẦN SOÁT""),2),"""")"),"tỷ giá Yên Nhật")</f>
        <v>tỷ giá Yên Nhật</v>
      </c>
      <c r="H42" s="17" t="str">
        <f>IFERROR(__xludf.DUMMYFUNCTION("IFERROR(INDEX(FILTER('Chi tiết từng link'!$D$2:$D$2505,'Chi tiết từng link'!$B$2:$B$2505=$D42,'Chi tiết từng link'!$F$2:$F$2505&lt;&gt;""CẦN SOÁT""),2),"""")"),"https://techcombank.com/thong-tin/blog/tien-nhat")</f>
        <v>https://techcombank.com/thong-tin/blog/tien-nhat</v>
      </c>
      <c r="I42" s="19" t="str">
        <f>IFERROR(__xludf.DUMMYFUNCTION("IFERROR(INDEX(FILTER('Chi tiết từng link'!$E$2:$E$2505,'Chi tiết từng link'!$B$2:$B$2505=$D42,'Chi tiết từng link'!$F$2:$F$2505&lt;&gt;""CẦN SOÁT""),3),"""")"),"1 Yên bằng bao nhiêu tiền Việt")</f>
        <v>1 Yên bằng bao nhiêu tiền Việt</v>
      </c>
      <c r="J42" s="17" t="str">
        <f>IFERROR(__xludf.DUMMYFUNCTION("IFERROR(INDEX(FILTER('Chi tiết từng link'!$D$2:$D$2505,'Chi tiết từng link'!$B$2:$B$2505=$D42,'Chi tiết từng link'!$F$2:$F$2505&lt;&gt;""CẦN SOÁT""),3),"""")"),"https://techcombank.com/thong-tin/blog/1-man-bang-bao-nhieu-tien-viet")</f>
        <v>https://techcombank.com/thong-tin/blog/1-man-bang-bao-nhieu-tien-viet</v>
      </c>
      <c r="K42" s="19" t="str">
        <f>IFERROR(__xludf.DUMMYFUNCTION("IFERROR(INDEX(FILTER('Chi tiết từng link'!$E$2:$E$2505,'Chi tiết từng link'!$B$2:$B$2505=$D42,'Chi tiết từng link'!$F$2:$F$2505&lt;&gt;""CẦN SOÁT""),4),"""")"),"tỷ giá Yên Nhật")</f>
        <v>tỷ giá Yên Nhật</v>
      </c>
      <c r="L42" s="17" t="str">
        <f>IFERROR(__xludf.DUMMYFUNCTION("IFERROR(INDEX(FILTER('Chi tiết từng link'!$D$2:$D$2505,'Chi tiết từng link'!$B$2:$B$2505=$D42,'Chi tiết từng link'!$F$2:$F$2505&lt;&gt;""CẦN SOÁT""),4),"""")"),"https://techcombank.com/thong-tin/blog/chuyen-tien-tu-nhat-ve-viet-nam")</f>
        <v>https://techcombank.com/thong-tin/blog/chuyen-tien-tu-nhat-ve-viet-nam</v>
      </c>
      <c r="M42" s="19" t="str">
        <f>IFERROR(__xludf.DUMMYFUNCTION("IFERROR(INDEX(FILTER('Chi tiết từng link'!$E$2:$E$2505,'Chi tiết từng link'!$B$2:$B$2505=$D42,'Chi tiết từng link'!$F$2:$F$2505&lt;&gt;""CẦN SOÁT""),5),"""")"),"")</f>
        <v/>
      </c>
      <c r="N42" s="17" t="str">
        <f>IFERROR(__xludf.DUMMYFUNCTION("IFERROR(INDEX(FILTER('Chi tiết từng link'!$D$2:$D$2505,'Chi tiết từng link'!$B$2:$B$2505=$D42,'Chi tiết từng link'!$F$2:$F$2505&lt;&gt;""CẦN SOÁT""),5),"""")"),"")</f>
        <v/>
      </c>
      <c r="O42" s="11">
        <f>COUNTIFS('Chi tiết từng link'!$B$2:$B$2505,$D42,'Chi tiết từng link'!$F$2:$F$2505,"&lt;&gt;CẦN SOÁT")</f>
        <v>4</v>
      </c>
      <c r="P42" s="23" t="s">
        <v>65</v>
      </c>
      <c r="Q42" s="23" t="b">
        <v>0</v>
      </c>
      <c r="R42" s="17" t="str">
        <f>IF(COUNTIFS('Chi tiết từng link'!$B$2:$B$2505,$D42,'Chi tiết từng link'!$F$2:$F$2505,"CẦN SOÁT")&gt;0,"Còn "&amp;COUNTIFS('Chi tiết từng link'!$B$2:$B$2505,$D42,'Chi tiết từng link'!$F$2:$F$2505,"CẦN SOÁT")&amp;" gợi ý cần soát ở tab Chi tiết từng link","")</f>
        <v>Còn 3 gợi ý cần soát ở tab Chi tiết từng link</v>
      </c>
    </row>
    <row r="43" ht="18.0" customHeight="1">
      <c r="A43" s="11">
        <f t="shared" si="1"/>
        <v>42</v>
      </c>
      <c r="B43" s="17" t="str">
        <f t="array" ref="B43">INDEX('Báo cáo 75 trang đích'!$C$2:$C$76,$A43)</f>
        <v>FX</v>
      </c>
      <c r="C43" s="18" t="s">
        <v>275</v>
      </c>
      <c r="D43" s="17" t="str">
        <f t="array" ref="D43">INDEX('Báo cáo 75 trang đích'!$B$2:$B$76,$A43)</f>
        <v>https://techcombank.com/thong-tin/blog/1-won-bang-bao-nhieu-tien-viet</v>
      </c>
      <c r="E43" s="19" t="str">
        <f>IFERROR(__xludf.DUMMYFUNCTION("IFERROR(INDEX(FILTER('Chi tiết từng link'!$E$2:$E$2505,'Chi tiết từng link'!$B$2:$B$2505=$D43,'Chi tiết từng link'!$F$2:$F$2505&lt;&gt;""CẦN SOÁT""),1),"""")"),"1 Won bằng bao nhiêu tiền Việt")</f>
        <v>1 Won bằng bao nhiêu tiền Việt</v>
      </c>
      <c r="F43" s="17" t="str">
        <f>IFERROR(__xludf.DUMMYFUNCTION("IFERROR(INDEX(FILTER('Chi tiết từng link'!$D$2:$D$2505,'Chi tiết từng link'!$B$2:$B$2505=$D43,'Chi tiết từng link'!$F$2:$F$2505&lt;&gt;""CẦN SOÁT""),1),"""")"),"https://techcombank.com/thong-tin/blog/1-trieu-won-bang-bao-nhieu-tien-viet")</f>
        <v>https://techcombank.com/thong-tin/blog/1-trieu-won-bang-bao-nhieu-tien-viet</v>
      </c>
      <c r="G43" s="19" t="str">
        <f>IFERROR(__xludf.DUMMYFUNCTION("IFERROR(INDEX(FILTER('Chi tiết từng link'!$E$2:$E$2505,'Chi tiết từng link'!$B$2:$B$2505=$D43,'Chi tiết từng link'!$F$2:$F$2505&lt;&gt;""CẦN SOÁT""),2),"""")"),"tỷ giá Won")</f>
        <v>tỷ giá Won</v>
      </c>
      <c r="H43" s="17" t="str">
        <f>IFERROR(__xludf.DUMMYFUNCTION("IFERROR(INDEX(FILTER('Chi tiết từng link'!$D$2:$D$2505,'Chi tiết từng link'!$B$2:$B$2505=$D43,'Chi tiết từng link'!$F$2:$F$2505&lt;&gt;""CẦN SOÁT""),2),"""")"),"https://techcombank.com/thong-tin/blog/1000-won-bang-bao-nhieu-tien-viet")</f>
        <v>https://techcombank.com/thong-tin/blog/1000-won-bang-bao-nhieu-tien-viet</v>
      </c>
      <c r="I43" s="19" t="str">
        <f>IFERROR(__xludf.DUMMYFUNCTION("IFERROR(INDEX(FILTER('Chi tiết từng link'!$E$2:$E$2505,'Chi tiết từng link'!$B$2:$B$2505=$D43,'Chi tiết từng link'!$F$2:$F$2505&lt;&gt;""CẦN SOÁT""),3),"""")"),"1 Won bằng bao nhiêu tiền Việt")</f>
        <v>1 Won bằng bao nhiêu tiền Việt</v>
      </c>
      <c r="J43" s="17" t="str">
        <f>IFERROR(__xludf.DUMMYFUNCTION("IFERROR(INDEX(FILTER('Chi tiết từng link'!$D$2:$D$2505,'Chi tiết từng link'!$B$2:$B$2505=$D43,'Chi tiết từng link'!$F$2:$F$2505&lt;&gt;""CẦN SOÁT""),3),"""")"),"https://techcombank.com/thong-tin/blog/thanh-toan-khi-du-lich-han-quoc")</f>
        <v>https://techcombank.com/thong-tin/blog/thanh-toan-khi-du-lich-han-quoc</v>
      </c>
      <c r="K43" s="19" t="str">
        <f>IFERROR(__xludf.DUMMYFUNCTION("IFERROR(INDEX(FILTER('Chi tiết từng link'!$E$2:$E$2505,'Chi tiết từng link'!$B$2:$B$2505=$D43,'Chi tiết từng link'!$F$2:$F$2505&lt;&gt;""CẦN SOÁT""),4),"""")"),"tỷ giá Won")</f>
        <v>tỷ giá Won</v>
      </c>
      <c r="L43" s="17" t="str">
        <f>IFERROR(__xludf.DUMMYFUNCTION("IFERROR(INDEX(FILTER('Chi tiết từng link'!$D$2:$D$2505,'Chi tiết từng link'!$B$2:$B$2505=$D43,'Chi tiết từng link'!$F$2:$F$2505&lt;&gt;""CẦN SOÁT""),4),"""")"),"https://techcombank.com/thong-tin/blog/chuyen-tien-tu-han-sang-viet-nam")</f>
        <v>https://techcombank.com/thong-tin/blog/chuyen-tien-tu-han-sang-viet-nam</v>
      </c>
      <c r="M43" s="19" t="str">
        <f>IFERROR(__xludf.DUMMYFUNCTION("IFERROR(INDEX(FILTER('Chi tiết từng link'!$E$2:$E$2505,'Chi tiết từng link'!$B$2:$B$2505=$D43,'Chi tiết từng link'!$F$2:$F$2505&lt;&gt;""CẦN SOÁT""),5),"""")"),"1 Won bằng bao nhiêu tiền Việt")</f>
        <v>1 Won bằng bao nhiêu tiền Việt</v>
      </c>
      <c r="N43" s="17" t="str">
        <f>IFERROR(__xludf.DUMMYFUNCTION("IFERROR(INDEX(FILTER('Chi tiết từng link'!$D$2:$D$2505,'Chi tiết từng link'!$B$2:$B$2505=$D43,'Chi tiết từng link'!$F$2:$F$2505&lt;&gt;""CẦN SOÁT""),5),"""")"),"https://techcombank.com/thong-tin/blog/ty-gia-cac-ngan-hang")</f>
        <v>https://techcombank.com/thong-tin/blog/ty-gia-cac-ngan-hang</v>
      </c>
      <c r="O43" s="11">
        <f>COUNTIFS('Chi tiết từng link'!$B$2:$B$2505,$D43,'Chi tiết từng link'!$F$2:$F$2505,"&lt;&gt;CẦN SOÁT")</f>
        <v>5</v>
      </c>
      <c r="P43" s="23" t="s">
        <v>65</v>
      </c>
      <c r="Q43" s="23" t="b">
        <v>0</v>
      </c>
      <c r="R43" s="17" t="str">
        <f>IF(COUNTIFS('Chi tiết từng link'!$B$2:$B$2505,$D43,'Chi tiết từng link'!$F$2:$F$2505,"CẦN SOÁT")&gt;0,"Còn "&amp;COUNTIFS('Chi tiết từng link'!$B$2:$B$2505,$D43,'Chi tiết từng link'!$F$2:$F$2505,"CẦN SOÁT")&amp;" gợi ý cần soát ở tab Chi tiết từng link","")</f>
        <v/>
      </c>
    </row>
    <row r="44" ht="18.0" customHeight="1">
      <c r="A44" s="11">
        <f t="shared" si="1"/>
        <v>43</v>
      </c>
      <c r="B44" s="17" t="str">
        <f t="array" ref="B44">INDEX('Báo cáo 75 trang đích'!$C$2:$C$76,$A44)</f>
        <v>FX</v>
      </c>
      <c r="C44" s="18" t="s">
        <v>279</v>
      </c>
      <c r="D44" s="17" t="str">
        <f t="array" ref="D44">INDEX('Báo cáo 75 trang đích'!$B$2:$B$76,$A44)</f>
        <v>https://techcombank.com/thong-tin/blog/tien-dai-loan</v>
      </c>
      <c r="E44" s="19" t="str">
        <f>IFERROR(__xludf.DUMMYFUNCTION("IFERROR(INDEX(FILTER('Chi tiết từng link'!$E$2:$E$2505,'Chi tiết từng link'!$B$2:$B$2505=$D44,'Chi tiết từng link'!$F$2:$F$2505&lt;&gt;""CẦN SOÁT""),1),"""")"),"tiền Đài Loan")</f>
        <v>tiền Đài Loan</v>
      </c>
      <c r="F44" s="17" t="str">
        <f>IFERROR(__xludf.DUMMYFUNCTION("IFERROR(INDEX(FILTER('Chi tiết từng link'!$D$2:$D$2505,'Chi tiết từng link'!$B$2:$B$2505=$D44,'Chi tiết từng link'!$F$2:$F$2505&lt;&gt;""CẦN SOÁT""),1),"""")"),"https://techcombank.com/thong-tin/blog/1-van-tien-dai-loan-bang-bao-nhieu-tien-viet")</f>
        <v>https://techcombank.com/thong-tin/blog/1-van-tien-dai-loan-bang-bao-nhieu-tien-viet</v>
      </c>
      <c r="G44" s="19" t="str">
        <f>IFERROR(__xludf.DUMMYFUNCTION("IFERROR(INDEX(FILTER('Chi tiết từng link'!$E$2:$E$2505,'Chi tiết từng link'!$B$2:$B$2505=$D44,'Chi tiết từng link'!$F$2:$F$2505&lt;&gt;""CẦN SOÁT""),2),"""")"),"Tân Đài tệ")</f>
        <v>Tân Đài tệ</v>
      </c>
      <c r="H44" s="17" t="str">
        <f>IFERROR(__xludf.DUMMYFUNCTION("IFERROR(INDEX(FILTER('Chi tiết từng link'!$D$2:$D$2505,'Chi tiết từng link'!$B$2:$B$2505=$D44,'Chi tiết từng link'!$F$2:$F$2505&lt;&gt;""CẦN SOÁT""),2),"""")"),"https://techcombank.com/thong-tin/blog/ngoai-te-la-gi")</f>
        <v>https://techcombank.com/thong-tin/blog/ngoai-te-la-gi</v>
      </c>
      <c r="I44" s="19" t="str">
        <f>IFERROR(__xludf.DUMMYFUNCTION("IFERROR(INDEX(FILTER('Chi tiết từng link'!$E$2:$E$2505,'Chi tiết từng link'!$B$2:$B$2505=$D44,'Chi tiết từng link'!$F$2:$F$2505&lt;&gt;""CẦN SOÁT""),3),"""")"),"tỷ giá Đài tệ")</f>
        <v>tỷ giá Đài tệ</v>
      </c>
      <c r="J44" s="17" t="str">
        <f>IFERROR(__xludf.DUMMYFUNCTION("IFERROR(INDEX(FILTER('Chi tiết từng link'!$D$2:$D$2505,'Chi tiết từng link'!$B$2:$B$2505=$D44,'Chi tiết từng link'!$F$2:$F$2505&lt;&gt;""CẦN SOÁT""),3),"""")"),"https://techcombank.com/thong-tin/blog/ty-gia-cac-ngan-hang")</f>
        <v>https://techcombank.com/thong-tin/blog/ty-gia-cac-ngan-hang</v>
      </c>
      <c r="K44" s="19" t="str">
        <f>IFERROR(__xludf.DUMMYFUNCTION("IFERROR(INDEX(FILTER('Chi tiết từng link'!$E$2:$E$2505,'Chi tiết từng link'!$B$2:$B$2505=$D44,'Chi tiết từng link'!$F$2:$F$2505&lt;&gt;""CẦN SOÁT""),4),"""")"),"tiền Đài Loan")</f>
        <v>tiền Đài Loan</v>
      </c>
      <c r="L44" s="17" t="str">
        <f>IFERROR(__xludf.DUMMYFUNCTION("IFERROR(INDEX(FILTER('Chi tiết từng link'!$D$2:$D$2505,'Chi tiết từng link'!$B$2:$B$2505=$D44,'Chi tiết từng link'!$F$2:$F$2505&lt;&gt;""CẦN SOÁT""),4),"""")"),"https://techcombank.com/thong-tin/blog/han-muc-mua-ngoai-te-khi-di-du-lich")</f>
        <v>https://techcombank.com/thong-tin/blog/han-muc-mua-ngoai-te-khi-di-du-lich</v>
      </c>
      <c r="M44" s="19" t="str">
        <f>IFERROR(__xludf.DUMMYFUNCTION("IFERROR(INDEX(FILTER('Chi tiết từng link'!$E$2:$E$2505,'Chi tiết từng link'!$B$2:$B$2505=$D44,'Chi tiết từng link'!$F$2:$F$2505&lt;&gt;""CẦN SOÁT""),5),"""")"),"")</f>
        <v/>
      </c>
      <c r="N44" s="17" t="str">
        <f>IFERROR(__xludf.DUMMYFUNCTION("IFERROR(INDEX(FILTER('Chi tiết từng link'!$D$2:$D$2505,'Chi tiết từng link'!$B$2:$B$2505=$D44,'Chi tiết từng link'!$F$2:$F$2505&lt;&gt;""CẦN SOÁT""),5),"""")"),"")</f>
        <v/>
      </c>
      <c r="O44" s="11">
        <f>COUNTIFS('Chi tiết từng link'!$B$2:$B$2505,$D44,'Chi tiết từng link'!$F$2:$F$2505,"&lt;&gt;CẦN SOÁT")</f>
        <v>4</v>
      </c>
      <c r="P44" s="23" t="s">
        <v>65</v>
      </c>
      <c r="Q44" s="23" t="b">
        <v>0</v>
      </c>
      <c r="R44" s="17" t="str">
        <f>IF(COUNTIFS('Chi tiết từng link'!$B$2:$B$2505,$D44,'Chi tiết từng link'!$F$2:$F$2505,"CẦN SOÁT")&gt;0,"Còn "&amp;COUNTIFS('Chi tiết từng link'!$B$2:$B$2505,$D44,'Chi tiết từng link'!$F$2:$F$2505,"CẦN SOÁT")&amp;" gợi ý cần soát ở tab Chi tiết từng link","")</f>
        <v>Còn 1 gợi ý cần soát ở tab Chi tiết từng link</v>
      </c>
    </row>
    <row r="45" ht="18.0" customHeight="1">
      <c r="A45" s="11">
        <f t="shared" si="1"/>
        <v>44</v>
      </c>
      <c r="B45" s="17" t="str">
        <f t="array" ref="B45">INDEX('Báo cáo 75 trang đích'!$C$2:$C$76,$A45)</f>
        <v>FX</v>
      </c>
      <c r="C45" s="18" t="s">
        <v>284</v>
      </c>
      <c r="D45" s="17" t="str">
        <f t="array" ref="D45">INDEX('Báo cáo 75 trang đích'!$B$2:$B$76,$A45)</f>
        <v>https://techcombank.com/thong-tin/blog/1-man-bang-bao-nhieu-tien-viet</v>
      </c>
      <c r="E45" s="19" t="str">
        <f>IFERROR(__xludf.DUMMYFUNCTION("IFERROR(INDEX(FILTER('Chi tiết từng link'!$E$2:$E$2505,'Chi tiết từng link'!$B$2:$B$2505=$D45,'Chi tiết từng link'!$F$2:$F$2505&lt;&gt;""CẦN SOÁT""),1),"""")"),"1 Man bằng bao nhiêu tiền Việt")</f>
        <v>1 Man bằng bao nhiêu tiền Việt</v>
      </c>
      <c r="F45" s="17" t="str">
        <f>IFERROR(__xludf.DUMMYFUNCTION("IFERROR(INDEX(FILTER('Chi tiết từng link'!$D$2:$D$2505,'Chi tiết từng link'!$B$2:$B$2505=$D45,'Chi tiết từng link'!$F$2:$F$2505&lt;&gt;""CẦN SOÁT""),1),"""")"),"https://techcombank.com/thong-tin/blog/tien-nhat")</f>
        <v>https://techcombank.com/thong-tin/blog/tien-nhat</v>
      </c>
      <c r="G45" s="19" t="str">
        <f>IFERROR(__xludf.DUMMYFUNCTION("IFERROR(INDEX(FILTER('Chi tiết từng link'!$E$2:$E$2505,'Chi tiết từng link'!$B$2:$B$2505=$D45,'Chi tiết từng link'!$F$2:$F$2505&lt;&gt;""CẦN SOÁT""),2),"""")"),"1 Man Nhật")</f>
        <v>1 Man Nhật</v>
      </c>
      <c r="H45" s="17" t="str">
        <f>IFERROR(__xludf.DUMMYFUNCTION("IFERROR(INDEX(FILTER('Chi tiết từng link'!$D$2:$D$2505,'Chi tiết từng link'!$B$2:$B$2505=$D45,'Chi tiết từng link'!$F$2:$F$2505&lt;&gt;""CẦN SOÁT""),2),"""")"),"https://techcombank.com/thong-tin/blog/1-yen-bang-bao-nhieu-tien-viet-nam")</f>
        <v>https://techcombank.com/thong-tin/blog/1-yen-bang-bao-nhieu-tien-viet-nam</v>
      </c>
      <c r="I45" s="19" t="str">
        <f>IFERROR(__xludf.DUMMYFUNCTION("IFERROR(INDEX(FILTER('Chi tiết từng link'!$E$2:$E$2505,'Chi tiết từng link'!$B$2:$B$2505=$D45,'Chi tiết từng link'!$F$2:$F$2505&lt;&gt;""CẦN SOÁT""),3),"""")"),"1 Man bằng bao nhiêu tiền Việt")</f>
        <v>1 Man bằng bao nhiêu tiền Việt</v>
      </c>
      <c r="J45" s="17" t="str">
        <f>IFERROR(__xludf.DUMMYFUNCTION("IFERROR(INDEX(FILTER('Chi tiết từng link'!$D$2:$D$2505,'Chi tiết từng link'!$B$2:$B$2505=$D45,'Chi tiết từng link'!$F$2:$F$2505&lt;&gt;""CẦN SOÁT""),3),"""")"),"https://techcombank.com/thong-tin/blog/1000-yen-bang-bao-nhieu-tien-viet")</f>
        <v>https://techcombank.com/thong-tin/blog/1000-yen-bang-bao-nhieu-tien-viet</v>
      </c>
      <c r="K45" s="19" t="str">
        <f>IFERROR(__xludf.DUMMYFUNCTION("IFERROR(INDEX(FILTER('Chi tiết từng link'!$E$2:$E$2505,'Chi tiết từng link'!$B$2:$B$2505=$D45,'Chi tiết từng link'!$F$2:$F$2505&lt;&gt;""CẦN SOÁT""),4),"""")"),"1 Man Nhật")</f>
        <v>1 Man Nhật</v>
      </c>
      <c r="L45" s="17" t="str">
        <f>IFERROR(__xludf.DUMMYFUNCTION("IFERROR(INDEX(FILTER('Chi tiết từng link'!$D$2:$D$2505,'Chi tiết từng link'!$B$2:$B$2505=$D45,'Chi tiết từng link'!$F$2:$F$2505&lt;&gt;""CẦN SOÁT""),4),"""")"),"https://techcombank.com/thong-tin/blog/chuyen-tien-tu-nhat-ve-viet-nam")</f>
        <v>https://techcombank.com/thong-tin/blog/chuyen-tien-tu-nhat-ve-viet-nam</v>
      </c>
      <c r="M45" s="19" t="str">
        <f>IFERROR(__xludf.DUMMYFUNCTION("IFERROR(INDEX(FILTER('Chi tiết từng link'!$E$2:$E$2505,'Chi tiết từng link'!$B$2:$B$2505=$D45,'Chi tiết từng link'!$F$2:$F$2505&lt;&gt;""CẦN SOÁT""),5),"""")"),"1 Man bằng bao nhiêu tiền Việt")</f>
        <v>1 Man bằng bao nhiêu tiền Việt</v>
      </c>
      <c r="N45" s="17" t="str">
        <f>IFERROR(__xludf.DUMMYFUNCTION("IFERROR(INDEX(FILTER('Chi tiết từng link'!$D$2:$D$2505,'Chi tiết từng link'!$B$2:$B$2505=$D45,'Chi tiết từng link'!$F$2:$F$2505&lt;&gt;""CẦN SOÁT""),5),"""")"),"https://techcombank.com/thong-tin/blog/thanh-toan-khi-du-lich-nhat-ban")</f>
        <v>https://techcombank.com/thong-tin/blog/thanh-toan-khi-du-lich-nhat-ban</v>
      </c>
      <c r="O45" s="11">
        <f>COUNTIFS('Chi tiết từng link'!$B$2:$B$2505,$D45,'Chi tiết từng link'!$F$2:$F$2505,"&lt;&gt;CẦN SOÁT")</f>
        <v>5</v>
      </c>
      <c r="P45" s="23" t="s">
        <v>65</v>
      </c>
      <c r="Q45" s="23" t="b">
        <v>0</v>
      </c>
      <c r="R45" s="17" t="str">
        <f>IF(COUNTIFS('Chi tiết từng link'!$B$2:$B$2505,$D45,'Chi tiết từng link'!$F$2:$F$2505,"CẦN SOÁT")&gt;0,"Còn "&amp;COUNTIFS('Chi tiết từng link'!$B$2:$B$2505,$D45,'Chi tiết từng link'!$F$2:$F$2505,"CẦN SOÁT")&amp;" gợi ý cần soát ở tab Chi tiết từng link","")</f>
        <v>Còn 2 gợi ý cần soát ở tab Chi tiết từng link</v>
      </c>
    </row>
    <row r="46" ht="18.0" customHeight="1">
      <c r="A46" s="11">
        <f t="shared" si="1"/>
        <v>45</v>
      </c>
      <c r="B46" s="17" t="str">
        <f t="array" ref="B46">INDEX('Báo cáo 75 trang đích'!$C$2:$C$76,$A46)</f>
        <v>FX</v>
      </c>
      <c r="C46" s="18" t="s">
        <v>290</v>
      </c>
      <c r="D46" s="17" t="str">
        <f t="array" ref="D46">INDEX('Báo cáo 75 trang đích'!$B$2:$B$76,$A46)</f>
        <v>https://techcombank.com/thong-tin/blog/tien-thai-lan</v>
      </c>
      <c r="E46" s="19" t="str">
        <f>IFERROR(__xludf.DUMMYFUNCTION("IFERROR(INDEX(FILTER('Chi tiết từng link'!$E$2:$E$2505,'Chi tiết từng link'!$B$2:$B$2505=$D46,'Chi tiết từng link'!$F$2:$F$2505&lt;&gt;""CẦN SOÁT""),1),"""")"),"tiền Thái Lan")</f>
        <v>tiền Thái Lan</v>
      </c>
      <c r="F46" s="17" t="str">
        <f>IFERROR(__xludf.DUMMYFUNCTION("IFERROR(INDEX(FILTER('Chi tiết từng link'!$D$2:$D$2505,'Chi tiết từng link'!$B$2:$B$2505=$D46,'Chi tiết từng link'!$F$2:$F$2505&lt;&gt;""CẦN SOÁT""),1),"""")"),"https://techcombank.com/thong-tin/blog/thanh-toan-khi-du-lich-thai-lan")</f>
        <v>https://techcombank.com/thong-tin/blog/thanh-toan-khi-du-lich-thai-lan</v>
      </c>
      <c r="G46" s="19" t="str">
        <f>IFERROR(__xludf.DUMMYFUNCTION("IFERROR(INDEX(FILTER('Chi tiết từng link'!$E$2:$E$2505,'Chi tiết từng link'!$B$2:$B$2505=$D46,'Chi tiết từng link'!$F$2:$F$2505&lt;&gt;""CẦN SOÁT""),2),"""")"),"tiền Baht Thái")</f>
        <v>tiền Baht Thái</v>
      </c>
      <c r="H46" s="17" t="str">
        <f>IFERROR(__xludf.DUMMYFUNCTION("IFERROR(INDEX(FILTER('Chi tiết từng link'!$D$2:$D$2505,'Chi tiết từng link'!$B$2:$B$2505=$D46,'Chi tiết từng link'!$F$2:$F$2505&lt;&gt;""CẦN SOÁT""),2),"""")"),"https://techcombank.com/thong-tin/blog/thanh-toan-qr-thai-lan")</f>
        <v>https://techcombank.com/thong-tin/blog/thanh-toan-qr-thai-lan</v>
      </c>
      <c r="I46" s="19" t="str">
        <f>IFERROR(__xludf.DUMMYFUNCTION("IFERROR(INDEX(FILTER('Chi tiết từng link'!$E$2:$E$2505,'Chi tiết từng link'!$B$2:$B$2505=$D46,'Chi tiết từng link'!$F$2:$F$2505&lt;&gt;""CẦN SOÁT""),3),"""")"),"tiền Baht")</f>
        <v>tiền Baht</v>
      </c>
      <c r="J46" s="17" t="str">
        <f>IFERROR(__xludf.DUMMYFUNCTION("IFERROR(INDEX(FILTER('Chi tiết từng link'!$D$2:$D$2505,'Chi tiết từng link'!$B$2:$B$2505=$D46,'Chi tiết từng link'!$F$2:$F$2505&lt;&gt;""CẦN SOÁT""),3),"""")"),"https://techcombank.com/thong-tin/blog/han-muc-mua-ngoai-te-khi-di-du-lich")</f>
        <v>https://techcombank.com/thong-tin/blog/han-muc-mua-ngoai-te-khi-di-du-lich</v>
      </c>
      <c r="K46" s="19" t="str">
        <f>IFERROR(__xludf.DUMMYFUNCTION("IFERROR(INDEX(FILTER('Chi tiết từng link'!$E$2:$E$2505,'Chi tiết từng link'!$B$2:$B$2505=$D46,'Chi tiết từng link'!$F$2:$F$2505&lt;&gt;""CẦN SOÁT""),4),"""")"),"tiền Thái Lan")</f>
        <v>tiền Thái Lan</v>
      </c>
      <c r="L46" s="17" t="str">
        <f>IFERROR(__xludf.DUMMYFUNCTION("IFERROR(INDEX(FILTER('Chi tiết từng link'!$D$2:$D$2505,'Chi tiết từng link'!$B$2:$B$2505=$D46,'Chi tiết từng link'!$F$2:$F$2505&lt;&gt;""CẦN SOÁT""),4),"""")"),"https://techcombank.com/thong-tin/blog/di-du-lich-nuoc-ngoai-can-chuan-bi-gi")</f>
        <v>https://techcombank.com/thong-tin/blog/di-du-lich-nuoc-ngoai-can-chuan-bi-gi</v>
      </c>
      <c r="M46" s="19" t="str">
        <f>IFERROR(__xludf.DUMMYFUNCTION("IFERROR(INDEX(FILTER('Chi tiết từng link'!$E$2:$E$2505,'Chi tiết từng link'!$B$2:$B$2505=$D46,'Chi tiết từng link'!$F$2:$F$2505&lt;&gt;""CẦN SOÁT""),5),"""")"),"tiền Baht Thái")</f>
        <v>tiền Baht Thái</v>
      </c>
      <c r="N46" s="17" t="str">
        <f>IFERROR(__xludf.DUMMYFUNCTION("IFERROR(INDEX(FILTER('Chi tiết từng link'!$D$2:$D$2505,'Chi tiết từng link'!$B$2:$B$2505=$D46,'Chi tiết từng link'!$F$2:$F$2505&lt;&gt;""CẦN SOÁT""),5),"""")"),"https://techcombank.com/thong-tin/blog/thanh-toan-bang-the-quoc-te")</f>
        <v>https://techcombank.com/thong-tin/blog/thanh-toan-bang-the-quoc-te</v>
      </c>
      <c r="O46" s="11">
        <f>COUNTIFS('Chi tiết từng link'!$B$2:$B$2505,$D46,'Chi tiết từng link'!$F$2:$F$2505,"&lt;&gt;CẦN SOÁT")</f>
        <v>5</v>
      </c>
      <c r="P46" s="23" t="s">
        <v>65</v>
      </c>
      <c r="Q46" s="23" t="b">
        <v>0</v>
      </c>
      <c r="R46" s="17" t="str">
        <f>IF(COUNTIFS('Chi tiết từng link'!$B$2:$B$2505,$D46,'Chi tiết từng link'!$F$2:$F$2505,"CẦN SOÁT")&gt;0,"Còn "&amp;COUNTIFS('Chi tiết từng link'!$B$2:$B$2505,$D46,'Chi tiết từng link'!$F$2:$F$2505,"CẦN SOÁT")&amp;" gợi ý cần soát ở tab Chi tiết từng link","")</f>
        <v/>
      </c>
    </row>
    <row r="47" ht="18.0" customHeight="1">
      <c r="A47" s="11">
        <f t="shared" si="1"/>
        <v>46</v>
      </c>
      <c r="B47" s="17" t="str">
        <f t="array" ref="B47">INDEX('Báo cáo 75 trang đích'!$C$2:$C$76,$A47)</f>
        <v>FX</v>
      </c>
      <c r="C47" s="18" t="s">
        <v>296</v>
      </c>
      <c r="D47" s="17" t="str">
        <f t="array" ref="D47">INDEX('Báo cáo 75 trang đích'!$B$2:$B$76,$A47)</f>
        <v>https://techcombank.com/thong-tin/blog/1-trieu-do-bang-bao-nhieu-tien-viet</v>
      </c>
      <c r="E47" s="19" t="str">
        <f>IFERROR(__xludf.DUMMYFUNCTION("IFERROR(INDEX(FILTER('Chi tiết từng link'!$E$2:$E$2505,'Chi tiết từng link'!$B$2:$B$2505=$D47,'Chi tiết từng link'!$F$2:$F$2505&lt;&gt;""CẦN SOÁT""),1),"""")"),"1 triệu đô bằng bao nhiêu tiền Việt")</f>
        <v>1 triệu đô bằng bao nhiêu tiền Việt</v>
      </c>
      <c r="F47" s="17" t="str">
        <f>IFERROR(__xludf.DUMMYFUNCTION("IFERROR(INDEX(FILTER('Chi tiết từng link'!$D$2:$D$2505,'Chi tiết từng link'!$B$2:$B$2505=$D47,'Chi tiết từng link'!$F$2:$F$2505&lt;&gt;""CẦN SOÁT""),1),"""")"),"https://techcombank.com/thong-tin/blog/1-dong-do-la-my-bang-bao-nhieu-tien-viet-nam")</f>
        <v>https://techcombank.com/thong-tin/blog/1-dong-do-la-my-bang-bao-nhieu-tien-viet-nam</v>
      </c>
      <c r="G47" s="19" t="str">
        <f>IFERROR(__xludf.DUMMYFUNCTION("IFERROR(INDEX(FILTER('Chi tiết từng link'!$E$2:$E$2505,'Chi tiết từng link'!$B$2:$B$2505=$D47,'Chi tiết từng link'!$F$2:$F$2505&lt;&gt;""CẦN SOÁT""),2),"""")"),"1 triệu đô bằng bao nhiêu tiền Việt")</f>
        <v>1 triệu đô bằng bao nhiêu tiền Việt</v>
      </c>
      <c r="H47" s="17" t="str">
        <f>IFERROR(__xludf.DUMMYFUNCTION("IFERROR(INDEX(FILTER('Chi tiết từng link'!$D$2:$D$2505,'Chi tiết từng link'!$B$2:$B$2505=$D47,'Chi tiết từng link'!$F$2:$F$2505&lt;&gt;""CẦN SOÁT""),2),"""")"),"https://techcombank.com/thong-tin/blog/high-net-worth-client-va-ultra-high-net-worth-client")</f>
        <v>https://techcombank.com/thong-tin/blog/high-net-worth-client-va-ultra-high-net-worth-client</v>
      </c>
      <c r="I47" s="19" t="str">
        <f>IFERROR(__xludf.DUMMYFUNCTION("IFERROR(INDEX(FILTER('Chi tiết từng link'!$E$2:$E$2505,'Chi tiết từng link'!$B$2:$B$2505=$D47,'Chi tiết từng link'!$F$2:$F$2505&lt;&gt;""CẦN SOÁT""),3),"""")"),"1 triệu đô bằng bao nhiêu tiền Việt")</f>
        <v>1 triệu đô bằng bao nhiêu tiền Việt</v>
      </c>
      <c r="J47" s="17" t="str">
        <f>IFERROR(__xludf.DUMMYFUNCTION("IFERROR(INDEX(FILTER('Chi tiết từng link'!$D$2:$D$2505,'Chi tiết từng link'!$B$2:$B$2505=$D47,'Chi tiết từng link'!$F$2:$F$2505&lt;&gt;""CẦN SOÁT""),3),"""")"),"https://techcombank.com/thong-tin/blog/xu-huong-ty-gia-usd")</f>
        <v>https://techcombank.com/thong-tin/blog/xu-huong-ty-gia-usd</v>
      </c>
      <c r="K47" s="19" t="str">
        <f>IFERROR(__xludf.DUMMYFUNCTION("IFERROR(INDEX(FILTER('Chi tiết từng link'!$E$2:$E$2505,'Chi tiết từng link'!$B$2:$B$2505=$D47,'Chi tiết từng link'!$F$2:$F$2505&lt;&gt;""CẦN SOÁT""),4),"""")"),"1 triệu đô bằng bao nhiêu tiền Việt")</f>
        <v>1 triệu đô bằng bao nhiêu tiền Việt</v>
      </c>
      <c r="L47" s="17" t="str">
        <f>IFERROR(__xludf.DUMMYFUNCTION("IFERROR(INDEX(FILTER('Chi tiết từng link'!$D$2:$D$2505,'Chi tiết từng link'!$B$2:$B$2505=$D47,'Chi tiết từng link'!$F$2:$F$2505&lt;&gt;""CẦN SOÁT""),4),"""")"),"https://techcombank.com/thong-tin/blog/gia-tri-tai-san-rong")</f>
        <v>https://techcombank.com/thong-tin/blog/gia-tri-tai-san-rong</v>
      </c>
      <c r="M47" s="19" t="str">
        <f>IFERROR(__xludf.DUMMYFUNCTION("IFERROR(INDEX(FILTER('Chi tiết từng link'!$E$2:$E$2505,'Chi tiết từng link'!$B$2:$B$2505=$D47,'Chi tiết từng link'!$F$2:$F$2505&lt;&gt;""CẦN SOÁT""),5),"""")"),"")</f>
        <v/>
      </c>
      <c r="N47" s="17" t="str">
        <f>IFERROR(__xludf.DUMMYFUNCTION("IFERROR(INDEX(FILTER('Chi tiết từng link'!$D$2:$D$2505,'Chi tiết từng link'!$B$2:$B$2505=$D47,'Chi tiết từng link'!$F$2:$F$2505&lt;&gt;""CẦN SOÁT""),5),"""")"),"")</f>
        <v/>
      </c>
      <c r="O47" s="11">
        <f>COUNTIFS('Chi tiết từng link'!$B$2:$B$2505,$D47,'Chi tiết từng link'!$F$2:$F$2505,"&lt;&gt;CẦN SOÁT")</f>
        <v>4</v>
      </c>
      <c r="P47" s="23" t="s">
        <v>65</v>
      </c>
      <c r="Q47" s="23" t="b">
        <v>0</v>
      </c>
      <c r="R47" s="17" t="str">
        <f>IF(COUNTIFS('Chi tiết từng link'!$B$2:$B$2505,$D47,'Chi tiết từng link'!$F$2:$F$2505,"CẦN SOÁT")&gt;0,"Còn "&amp;COUNTIFS('Chi tiết từng link'!$B$2:$B$2505,$D47,'Chi tiết từng link'!$F$2:$F$2505,"CẦN SOÁT")&amp;" gợi ý cần soát ở tab Chi tiết từng link","")</f>
        <v>Còn 9 gợi ý cần soát ở tab Chi tiết từng link</v>
      </c>
    </row>
    <row r="48" ht="18.0" customHeight="1">
      <c r="A48" s="11">
        <f t="shared" si="1"/>
        <v>47</v>
      </c>
      <c r="B48" s="17" t="str">
        <f t="array" ref="B48">INDEX('Báo cáo 75 trang đích'!$C$2:$C$76,$A48)</f>
        <v>FX</v>
      </c>
      <c r="C48" s="18" t="s">
        <v>298</v>
      </c>
      <c r="D48" s="17" t="str">
        <f t="array" ref="D48">INDEX('Báo cáo 75 trang đích'!$B$2:$B$76,$A48)</f>
        <v>https://techcombank.com/thong-tin/blog/1000-won-bang-bao-nhieu-tien-viet</v>
      </c>
      <c r="E48" s="19" t="str">
        <f>IFERROR(__xludf.DUMMYFUNCTION("IFERROR(INDEX(FILTER('Chi tiết từng link'!$E$2:$E$2505,'Chi tiết từng link'!$B$2:$B$2505=$D48,'Chi tiết từng link'!$F$2:$F$2505&lt;&gt;""CẦN SOÁT""),1),"""")"),"1000 Won bằng bao nhiêu tiền Việt")</f>
        <v>1000 Won bằng bao nhiêu tiền Việt</v>
      </c>
      <c r="F48" s="17" t="str">
        <f>IFERROR(__xludf.DUMMYFUNCTION("IFERROR(INDEX(FILTER('Chi tiết từng link'!$D$2:$D$2505,'Chi tiết từng link'!$B$2:$B$2505=$D48,'Chi tiết từng link'!$F$2:$F$2505&lt;&gt;""CẦN SOÁT""),1),"""")"),"https://techcombank.com/thong-tin/blog/1-won-bang-bao-nhieu-tien-viet")</f>
        <v>https://techcombank.com/thong-tin/blog/1-won-bang-bao-nhieu-tien-viet</v>
      </c>
      <c r="G48" s="19" t="str">
        <f>IFERROR(__xludf.DUMMYFUNCTION("IFERROR(INDEX(FILTER('Chi tiết từng link'!$E$2:$E$2505,'Chi tiết từng link'!$B$2:$B$2505=$D48,'Chi tiết từng link'!$F$2:$F$2505&lt;&gt;""CẦN SOÁT""),2),"""")"),"1,000 won")</f>
        <v>1,000 won</v>
      </c>
      <c r="H48" s="17" t="str">
        <f>IFERROR(__xludf.DUMMYFUNCTION("IFERROR(INDEX(FILTER('Chi tiết từng link'!$D$2:$D$2505,'Chi tiết từng link'!$B$2:$B$2505=$D48,'Chi tiết từng link'!$F$2:$F$2505&lt;&gt;""CẦN SOÁT""),2),"""")"),"https://techcombank.com/thong-tin/blog/1-trieu-won-bang-bao-nhieu-tien-viet")</f>
        <v>https://techcombank.com/thong-tin/blog/1-trieu-won-bang-bao-nhieu-tien-viet</v>
      </c>
      <c r="I48" s="19" t="str">
        <f>IFERROR(__xludf.DUMMYFUNCTION("IFERROR(INDEX(FILTER('Chi tiết từng link'!$E$2:$E$2505,'Chi tiết từng link'!$B$2:$B$2505=$D48,'Chi tiết từng link'!$F$2:$F$2505&lt;&gt;""CẦN SOÁT""),3),"""")"),"1000 Won bằng bao nhiêu tiền Việt")</f>
        <v>1000 Won bằng bao nhiêu tiền Việt</v>
      </c>
      <c r="J48" s="17" t="str">
        <f>IFERROR(__xludf.DUMMYFUNCTION("IFERROR(INDEX(FILTER('Chi tiết từng link'!$D$2:$D$2505,'Chi tiết từng link'!$B$2:$B$2505=$D48,'Chi tiết từng link'!$F$2:$F$2505&lt;&gt;""CẦN SOÁT""),3),"""")"),"https://techcombank.com/thong-tin/blog/thanh-toan-khi-du-lich-han-quoc")</f>
        <v>https://techcombank.com/thong-tin/blog/thanh-toan-khi-du-lich-han-quoc</v>
      </c>
      <c r="K48" s="19" t="str">
        <f>IFERROR(__xludf.DUMMYFUNCTION("IFERROR(INDEX(FILTER('Chi tiết từng link'!$E$2:$E$2505,'Chi tiết từng link'!$B$2:$B$2505=$D48,'Chi tiết từng link'!$F$2:$F$2505&lt;&gt;""CẦN SOÁT""),4),"""")"),"1,000 won")</f>
        <v>1,000 won</v>
      </c>
      <c r="L48" s="17" t="str">
        <f>IFERROR(__xludf.DUMMYFUNCTION("IFERROR(INDEX(FILTER('Chi tiết từng link'!$D$2:$D$2505,'Chi tiết từng link'!$B$2:$B$2505=$D48,'Chi tiết từng link'!$F$2:$F$2505&lt;&gt;""CẦN SOÁT""),4),"""")"),"https://techcombank.com/thong-tin/blog/chuyen-tien-tu-han-sang-viet-nam")</f>
        <v>https://techcombank.com/thong-tin/blog/chuyen-tien-tu-han-sang-viet-nam</v>
      </c>
      <c r="M48" s="19" t="str">
        <f>IFERROR(__xludf.DUMMYFUNCTION("IFERROR(INDEX(FILTER('Chi tiết từng link'!$E$2:$E$2505,'Chi tiết từng link'!$B$2:$B$2505=$D48,'Chi tiết từng link'!$F$2:$F$2505&lt;&gt;""CẦN SOÁT""),5),"""")"),"")</f>
        <v/>
      </c>
      <c r="N48" s="17" t="str">
        <f>IFERROR(__xludf.DUMMYFUNCTION("IFERROR(INDEX(FILTER('Chi tiết từng link'!$D$2:$D$2505,'Chi tiết từng link'!$B$2:$B$2505=$D48,'Chi tiết từng link'!$F$2:$F$2505&lt;&gt;""CẦN SOÁT""),5),"""")"),"")</f>
        <v/>
      </c>
      <c r="O48" s="11">
        <f>COUNTIFS('Chi tiết từng link'!$B$2:$B$2505,$D48,'Chi tiết từng link'!$F$2:$F$2505,"&lt;&gt;CẦN SOÁT")</f>
        <v>4</v>
      </c>
      <c r="P48" s="23" t="s">
        <v>65</v>
      </c>
      <c r="Q48" s="23" t="b">
        <v>0</v>
      </c>
      <c r="R48" s="17" t="str">
        <f>IF(COUNTIFS('Chi tiết từng link'!$B$2:$B$2505,$D48,'Chi tiết từng link'!$F$2:$F$2505,"CẦN SOÁT")&gt;0,"Còn "&amp;COUNTIFS('Chi tiết từng link'!$B$2:$B$2505,$D48,'Chi tiết từng link'!$F$2:$F$2505,"CẦN SOÁT")&amp;" gợi ý cần soát ở tab Chi tiết từng link","")</f>
        <v/>
      </c>
    </row>
    <row r="49" ht="18.0" customHeight="1">
      <c r="A49" s="11">
        <f t="shared" si="1"/>
        <v>48</v>
      </c>
      <c r="B49" s="17" t="str">
        <f t="array" ref="B49">INDEX('Báo cáo 75 trang đích'!$C$2:$C$76,$A49)</f>
        <v>FX</v>
      </c>
      <c r="C49" s="18" t="s">
        <v>302</v>
      </c>
      <c r="D49" s="17" t="str">
        <f t="array" ref="D49">INDEX('Báo cáo 75 trang đích'!$B$2:$B$76,$A49)</f>
        <v>https://techcombank.com/thong-tin/blog/cach-nhan-tien-tu-nuoc-ngoai-ve-viet-nam</v>
      </c>
      <c r="E49" s="19" t="str">
        <f>IFERROR(__xludf.DUMMYFUNCTION("IFERROR(INDEX(FILTER('Chi tiết từng link'!$E$2:$E$2505,'Chi tiết từng link'!$B$2:$B$2505=$D49,'Chi tiết từng link'!$F$2:$F$2505&lt;&gt;""CẦN SOÁT""),1),"""")"),"cách nhận tiền từ nước ngoài về Việt Nam")</f>
        <v>cách nhận tiền từ nước ngoài về Việt Nam</v>
      </c>
      <c r="F49" s="17" t="str">
        <f>IFERROR(__xludf.DUMMYFUNCTION("IFERROR(INDEX(FILTER('Chi tiết từng link'!$D$2:$D$2505,'Chi tiết từng link'!$B$2:$B$2505=$D49,'Chi tiết từng link'!$F$2:$F$2505&lt;&gt;""CẦN SOÁT""),1),"""")"),"https://techcombank.com/thong-tin/blog/kieu-hoi-la-gi")</f>
        <v>https://techcombank.com/thong-tin/blog/kieu-hoi-la-gi</v>
      </c>
      <c r="G49" s="19" t="str">
        <f>IFERROR(__xludf.DUMMYFUNCTION("IFERROR(INDEX(FILTER('Chi tiết từng link'!$E$2:$E$2505,'Chi tiết từng link'!$B$2:$B$2505=$D49,'Chi tiết từng link'!$F$2:$F$2505&lt;&gt;""CẦN SOÁT""),2),"""")"),"nhận tiền từ nước ngoài")</f>
        <v>nhận tiền từ nước ngoài</v>
      </c>
      <c r="H49" s="17" t="str">
        <f>IFERROR(__xludf.DUMMYFUNCTION("IFERROR(INDEX(FILTER('Chi tiết từng link'!$D$2:$D$2505,'Chi tiết từng link'!$B$2:$B$2505=$D49,'Chi tiết từng link'!$F$2:$F$2505&lt;&gt;""CẦN SOÁT""),2),"""")"),"https://techcombank.com/thong-tin/blog/nhan-tien-western-union")</f>
        <v>https://techcombank.com/thong-tin/blog/nhan-tien-western-union</v>
      </c>
      <c r="I49" s="19" t="str">
        <f>IFERROR(__xludf.DUMMYFUNCTION("IFERROR(INDEX(FILTER('Chi tiết từng link'!$E$2:$E$2505,'Chi tiết từng link'!$B$2:$B$2505=$D49,'Chi tiết từng link'!$F$2:$F$2505&lt;&gt;""CẦN SOÁT""),3),"""")"),"nhận kiều hối")</f>
        <v>nhận kiều hối</v>
      </c>
      <c r="J49" s="17" t="str">
        <f>IFERROR(__xludf.DUMMYFUNCTION("IFERROR(INDEX(FILTER('Chi tiết từng link'!$D$2:$D$2505,'Chi tiết từng link'!$B$2:$B$2505=$D49,'Chi tiết từng link'!$F$2:$F$2505&lt;&gt;""CẦN SOÁT""),3),"""")"),"https://techcombank.com/thong-tin/blog/ma-swift-ngan-hang")</f>
        <v>https://techcombank.com/thong-tin/blog/ma-swift-ngan-hang</v>
      </c>
      <c r="K49" s="19" t="str">
        <f>IFERROR(__xludf.DUMMYFUNCTION("IFERROR(INDEX(FILTER('Chi tiết từng link'!$E$2:$E$2505,'Chi tiết từng link'!$B$2:$B$2505=$D49,'Chi tiết từng link'!$F$2:$F$2505&lt;&gt;""CẦN SOÁT""),4),"""")"),"cách nhận tiền từ nước ngoài về Việt Nam")</f>
        <v>cách nhận tiền từ nước ngoài về Việt Nam</v>
      </c>
      <c r="L49" s="17" t="str">
        <f>IFERROR(__xludf.DUMMYFUNCTION("IFERROR(INDEX(FILTER('Chi tiết từng link'!$D$2:$D$2505,'Chi tiết từng link'!$B$2:$B$2505=$D49,'Chi tiết từng link'!$F$2:$F$2505&lt;&gt;""CẦN SOÁT""),4),"""")"),"https://techcombank.com/thong-tin/blog/chuyen-tien-tu-my-ve-viet-nam")</f>
        <v>https://techcombank.com/thong-tin/blog/chuyen-tien-tu-my-ve-viet-nam</v>
      </c>
      <c r="M49" s="19" t="str">
        <f>IFERROR(__xludf.DUMMYFUNCTION("IFERROR(INDEX(FILTER('Chi tiết từng link'!$E$2:$E$2505,'Chi tiết từng link'!$B$2:$B$2505=$D49,'Chi tiết từng link'!$F$2:$F$2505&lt;&gt;""CẦN SOÁT""),5),"""")"),"nhận tiền từ nước ngoài")</f>
        <v>nhận tiền từ nước ngoài</v>
      </c>
      <c r="N49" s="17" t="str">
        <f>IFERROR(__xludf.DUMMYFUNCTION("IFERROR(INDEX(FILTER('Chi tiết từng link'!$D$2:$D$2505,'Chi tiết từng link'!$B$2:$B$2505=$D49,'Chi tiết từng link'!$F$2:$F$2505&lt;&gt;""CẦN SOÁT""),5),"""")"),"https://techcombank.com/thong-tin/blog/remittance-la-gi")</f>
        <v>https://techcombank.com/thong-tin/blog/remittance-la-gi</v>
      </c>
      <c r="O49" s="11">
        <f>COUNTIFS('Chi tiết từng link'!$B$2:$B$2505,$D49,'Chi tiết từng link'!$F$2:$F$2505,"&lt;&gt;CẦN SOÁT")</f>
        <v>5</v>
      </c>
      <c r="P49" s="23" t="s">
        <v>65</v>
      </c>
      <c r="Q49" s="23" t="b">
        <v>0</v>
      </c>
      <c r="R49" s="17" t="str">
        <f>IF(COUNTIFS('Chi tiết từng link'!$B$2:$B$2505,$D49,'Chi tiết từng link'!$F$2:$F$2505,"CẦN SOÁT")&gt;0,"Còn "&amp;COUNTIFS('Chi tiết từng link'!$B$2:$B$2505,$D49,'Chi tiết từng link'!$F$2:$F$2505,"CẦN SOÁT")&amp;" gợi ý cần soát ở tab Chi tiết từng link","")</f>
        <v>Còn 30 gợi ý cần soát ở tab Chi tiết từng link</v>
      </c>
    </row>
    <row r="50" ht="18.0" customHeight="1">
      <c r="A50" s="11">
        <f t="shared" si="1"/>
        <v>49</v>
      </c>
      <c r="B50" s="17" t="str">
        <f t="array" ref="B50">INDEX('Báo cáo 75 trang đích'!$C$2:$C$76,$A50)</f>
        <v>FX</v>
      </c>
      <c r="C50" s="18" t="s">
        <v>310</v>
      </c>
      <c r="D50" s="17" t="str">
        <f t="array" ref="D50">INDEX('Báo cáo 75 trang đích'!$B$2:$B$76,$A50)</f>
        <v>https://techcombank.com/thong-tin/blog/doi-tien-do-o-dau</v>
      </c>
      <c r="E50" s="19" t="str">
        <f>IFERROR(__xludf.DUMMYFUNCTION("IFERROR(INDEX(FILTER('Chi tiết từng link'!$E$2:$E$2505,'Chi tiết từng link'!$B$2:$B$2505=$D50,'Chi tiết từng link'!$F$2:$F$2505&lt;&gt;""CẦN SOÁT""),1),"""")"),"đổi tiền đô ở đâu")</f>
        <v>đổi tiền đô ở đâu</v>
      </c>
      <c r="F50" s="17" t="str">
        <f>IFERROR(__xludf.DUMMYFUNCTION("IFERROR(INDEX(FILTER('Chi tiết từng link'!$D$2:$D$2505,'Chi tiết từng link'!$B$2:$B$2505=$D50,'Chi tiết từng link'!$F$2:$F$2505&lt;&gt;""CẦN SOÁT""),1),"""")"),"https://techcombank.com/thong-tin/blog/dieu-kien-mua-usd-tu-ngan-hang")</f>
        <v>https://techcombank.com/thong-tin/blog/dieu-kien-mua-usd-tu-ngan-hang</v>
      </c>
      <c r="G50" s="19" t="str">
        <f>IFERROR(__xludf.DUMMYFUNCTION("IFERROR(INDEX(FILTER('Chi tiết từng link'!$E$2:$E$2505,'Chi tiết từng link'!$B$2:$B$2505=$D50,'Chi tiết từng link'!$F$2:$F$2505&lt;&gt;""CẦN SOÁT""),2),"""")"),"đổi USD ở đâu")</f>
        <v>đổi USD ở đâu</v>
      </c>
      <c r="H50" s="17" t="str">
        <f>IFERROR(__xludf.DUMMYFUNCTION("IFERROR(INDEX(FILTER('Chi tiết từng link'!$D$2:$D$2505,'Chi tiết từng link'!$B$2:$B$2505=$D50,'Chi tiết từng link'!$F$2:$F$2505&lt;&gt;""CẦN SOÁT""),2),"""")"),"https://techcombank.com/thong-tin/blog/han-muc-mua-ngoai-te-khi-di-du-lich")</f>
        <v>https://techcombank.com/thong-tin/blog/han-muc-mua-ngoai-te-khi-di-du-lich</v>
      </c>
      <c r="I50" s="19" t="str">
        <f>IFERROR(__xludf.DUMMYFUNCTION("IFERROR(INDEX(FILTER('Chi tiết từng link'!$E$2:$E$2505,'Chi tiết từng link'!$B$2:$B$2505=$D50,'Chi tiết từng link'!$F$2:$F$2505&lt;&gt;""CẦN SOÁT""),3),"""")"),"đổi tiền đô ở đâu")</f>
        <v>đổi tiền đô ở đâu</v>
      </c>
      <c r="J50" s="17" t="str">
        <f>IFERROR(__xludf.DUMMYFUNCTION("IFERROR(INDEX(FILTER('Chi tiết từng link'!$D$2:$D$2505,'Chi tiết từng link'!$B$2:$B$2505=$D50,'Chi tiết từng link'!$F$2:$F$2505&lt;&gt;""CẦN SOÁT""),3),"""")"),"https://techcombank.com/thong-tin/blog/ty-gia-cac-ngan-hang")</f>
        <v>https://techcombank.com/thong-tin/blog/ty-gia-cac-ngan-hang</v>
      </c>
      <c r="K50" s="19" t="str">
        <f>IFERROR(__xludf.DUMMYFUNCTION("IFERROR(INDEX(FILTER('Chi tiết từng link'!$E$2:$E$2505,'Chi tiết từng link'!$B$2:$B$2505=$D50,'Chi tiết từng link'!$F$2:$F$2505&lt;&gt;""CẦN SOÁT""),4),"""")"),"đổi USD ở đâu")</f>
        <v>đổi USD ở đâu</v>
      </c>
      <c r="L50" s="17" t="str">
        <f>IFERROR(__xludf.DUMMYFUNCTION("IFERROR(INDEX(FILTER('Chi tiết từng link'!$D$2:$D$2505,'Chi tiết từng link'!$B$2:$B$2505=$D50,'Chi tiết từng link'!$F$2:$F$2505&lt;&gt;""CẦN SOÁT""),4),"""")"),"https://techcombank.com/thong-tin/blog/di-du-lich-nuoc-ngoai-can-chuan-bi-gi")</f>
        <v>https://techcombank.com/thong-tin/blog/di-du-lich-nuoc-ngoai-can-chuan-bi-gi</v>
      </c>
      <c r="M50" s="19" t="str">
        <f>IFERROR(__xludf.DUMMYFUNCTION("IFERROR(INDEX(FILTER('Chi tiết từng link'!$E$2:$E$2505,'Chi tiết từng link'!$B$2:$B$2505=$D50,'Chi tiết từng link'!$F$2:$F$2505&lt;&gt;""CẦN SOÁT""),5),"""")"),"đổi tiền đô ở đâu")</f>
        <v>đổi tiền đô ở đâu</v>
      </c>
      <c r="N50" s="17" t="str">
        <f>IFERROR(__xludf.DUMMYFUNCTION("IFERROR(INDEX(FILTER('Chi tiết từng link'!$D$2:$D$2505,'Chi tiết từng link'!$B$2:$B$2505=$D50,'Chi tiết từng link'!$F$2:$F$2505&lt;&gt;""CẦN SOÁT""),5),"""")"),"https://techcombank.com/thong-tin/blog/1-trieu-do-bang-bao-nhieu-tien-viet")</f>
        <v>https://techcombank.com/thong-tin/blog/1-trieu-do-bang-bao-nhieu-tien-viet</v>
      </c>
      <c r="O50" s="11">
        <f>COUNTIFS('Chi tiết từng link'!$B$2:$B$2505,$D50,'Chi tiết từng link'!$F$2:$F$2505,"&lt;&gt;CẦN SOÁT")</f>
        <v>5</v>
      </c>
      <c r="P50" s="23" t="s">
        <v>65</v>
      </c>
      <c r="Q50" s="23" t="b">
        <v>0</v>
      </c>
      <c r="R50" s="17" t="str">
        <f>IF(COUNTIFS('Chi tiết từng link'!$B$2:$B$2505,$D50,'Chi tiết từng link'!$F$2:$F$2505,"CẦN SOÁT")&gt;0,"Còn "&amp;COUNTIFS('Chi tiết từng link'!$B$2:$B$2505,$D50,'Chi tiết từng link'!$F$2:$F$2505,"CẦN SOÁT")&amp;" gợi ý cần soát ở tab Chi tiết từng link","")</f>
        <v>Còn 47 gợi ý cần soát ở tab Chi tiết từng link</v>
      </c>
    </row>
    <row r="51" ht="18.0" customHeight="1">
      <c r="A51" s="11">
        <f t="shared" si="1"/>
        <v>50</v>
      </c>
      <c r="B51" s="17" t="str">
        <f t="array" ref="B51">INDEX('Báo cáo 75 trang đích'!$C$2:$C$76,$A51)</f>
        <v>Home Loan</v>
      </c>
      <c r="C51" s="18" t="s">
        <v>315</v>
      </c>
      <c r="D51" s="17" t="str">
        <f t="array" ref="D51">INDEX('Báo cáo 75 trang đích'!$B$2:$B$76,$A51)</f>
        <v>https://techcombank.com/thong-tin/blog/vay-ngan-hang-1-ty-moi-thang-tra-bao-nhieu</v>
      </c>
      <c r="E51" s="19" t="str">
        <f>IFERROR(__xludf.DUMMYFUNCTION("IFERROR(INDEX(FILTER('Chi tiết từng link'!$E$2:$E$2505,'Chi tiết từng link'!$B$2:$B$2505=$D51,'Chi tiết từng link'!$F$2:$F$2505&lt;&gt;""CẦN SOÁT""),1),"""")"),"vay ngân hàng 1 tỷ mỗi tháng trả bao nhiêu")</f>
        <v>vay ngân hàng 1 tỷ mỗi tháng trả bao nhiêu</v>
      </c>
      <c r="F51" s="17" t="str">
        <f>IFERROR(__xludf.DUMMYFUNCTION("IFERROR(INDEX(FILTER('Chi tiết từng link'!$D$2:$D$2505,'Chi tiết từng link'!$B$2:$B$2505=$D51,'Chi tiết từng link'!$F$2:$F$2505&lt;&gt;""CẦN SOÁT""),1),"""")"),"https://techcombank.com/thong-tin/blog/co-nen-vay-ngan-hang-mua-nha")</f>
        <v>https://techcombank.com/thong-tin/blog/co-nen-vay-ngan-hang-mua-nha</v>
      </c>
      <c r="G51" s="19" t="str">
        <f>IFERROR(__xludf.DUMMYFUNCTION("IFERROR(INDEX(FILTER('Chi tiết từng link'!$E$2:$E$2505,'Chi tiết từng link'!$B$2:$B$2505=$D51,'Chi tiết từng link'!$F$2:$F$2505&lt;&gt;""CẦN SOÁT""),2),"""")"),"vay 1 tỷ mỗi tháng trả bao nhiêu")</f>
        <v>vay 1 tỷ mỗi tháng trả bao nhiêu</v>
      </c>
      <c r="H51" s="17" t="str">
        <f>IFERROR(__xludf.DUMMYFUNCTION("IFERROR(INDEX(FILTER('Chi tiết từng link'!$D$2:$D$2505,'Chi tiết từng link'!$B$2:$B$2505=$D51,'Chi tiết từng link'!$F$2:$F$2505&lt;&gt;""CẦN SOÁT""),2),"""")"),"https://techcombank.com/thong-tin/blog/thu-tuc-vay-ngan-hang-mua-nha")</f>
        <v>https://techcombank.com/thong-tin/blog/thu-tuc-vay-ngan-hang-mua-nha</v>
      </c>
      <c r="I51" s="19" t="str">
        <f>IFERROR(__xludf.DUMMYFUNCTION("IFERROR(INDEX(FILTER('Chi tiết từng link'!$E$2:$E$2505,'Chi tiết từng link'!$B$2:$B$2505=$D51,'Chi tiết từng link'!$F$2:$F$2505&lt;&gt;""CẦN SOÁT""),3),"""")"),"vay 1 tỷ trong 20 năm mỗi tháng trả bao nhiêu")</f>
        <v>vay 1 tỷ trong 20 năm mỗi tháng trả bao nhiêu</v>
      </c>
      <c r="J51" s="17" t="str">
        <f>IFERROR(__xludf.DUMMYFUNCTION("IFERROR(INDEX(FILTER('Chi tiết từng link'!$D$2:$D$2505,'Chi tiết từng link'!$B$2:$B$2505=$D51,'Chi tiết từng link'!$F$2:$F$2505&lt;&gt;""CẦN SOÁT""),3),"""")"),"https://techcombank.com/thong-tin/blog/kinh-nghiem-vay-tien-mua-nha")</f>
        <v>https://techcombank.com/thong-tin/blog/kinh-nghiem-vay-tien-mua-nha</v>
      </c>
      <c r="K51" s="19" t="str">
        <f>IFERROR(__xludf.DUMMYFUNCTION("IFERROR(INDEX(FILTER('Chi tiết từng link'!$E$2:$E$2505,'Chi tiết từng link'!$B$2:$B$2505=$D51,'Chi tiết từng link'!$F$2:$F$2505&lt;&gt;""CẦN SOÁT""),4),"""")"),"vay ngân hàng 1 tỷ mỗi tháng trả bao nhiêu")</f>
        <v>vay ngân hàng 1 tỷ mỗi tháng trả bao nhiêu</v>
      </c>
      <c r="L51" s="17" t="str">
        <f>IFERROR(__xludf.DUMMYFUNCTION("IFERROR(INDEX(FILTER('Chi tiết từng link'!$D$2:$D$2505,'Chi tiết từng link'!$B$2:$B$2505=$D51,'Chi tiết từng link'!$F$2:$F$2505&lt;&gt;""CẦN SOÁT""),4),"""")"),"https://techcombank.com/thong-tin/blog/vay-mua-chung-cu")</f>
        <v>https://techcombank.com/thong-tin/blog/vay-mua-chung-cu</v>
      </c>
      <c r="M51" s="19" t="str">
        <f>IFERROR(__xludf.DUMMYFUNCTION("IFERROR(INDEX(FILTER('Chi tiết từng link'!$E$2:$E$2505,'Chi tiết từng link'!$B$2:$B$2505=$D51,'Chi tiết từng link'!$F$2:$F$2505&lt;&gt;""CẦN SOÁT""),5),"""")"),"vay 1 tỷ mỗi tháng trả bao nhiêu")</f>
        <v>vay 1 tỷ mỗi tháng trả bao nhiêu</v>
      </c>
      <c r="N51" s="17" t="str">
        <f>IFERROR(__xludf.DUMMYFUNCTION("IFERROR(INDEX(FILTER('Chi tiết từng link'!$D$2:$D$2505,'Chi tiết từng link'!$B$2:$B$2505=$D51,'Chi tiết từng link'!$F$2:$F$2505&lt;&gt;""CẦN SOÁT""),5),"""")"),"https://techcombank.com/thong-tin/blog/lai-suat-vay-the-chap")</f>
        <v>https://techcombank.com/thong-tin/blog/lai-suat-vay-the-chap</v>
      </c>
      <c r="O51" s="11">
        <f>COUNTIFS('Chi tiết từng link'!$B$2:$B$2505,$D51,'Chi tiết từng link'!$F$2:$F$2505,"&lt;&gt;CẦN SOÁT")</f>
        <v>5</v>
      </c>
      <c r="P51" s="23" t="s">
        <v>65</v>
      </c>
      <c r="Q51" s="23" t="b">
        <v>0</v>
      </c>
      <c r="R51" s="17" t="str">
        <f>IF(COUNTIFS('Chi tiết từng link'!$B$2:$B$2505,$D51,'Chi tiết từng link'!$F$2:$F$2505,"CẦN SOÁT")&gt;0,"Còn "&amp;COUNTIFS('Chi tiết từng link'!$B$2:$B$2505,$D51,'Chi tiết từng link'!$F$2:$F$2505,"CẦN SOÁT")&amp;" gợi ý cần soát ở tab Chi tiết từng link","")</f>
        <v>Còn 59 gợi ý cần soát ở tab Chi tiết từng link</v>
      </c>
    </row>
    <row r="52" ht="18.0" customHeight="1">
      <c r="A52" s="11">
        <f t="shared" si="1"/>
        <v>51</v>
      </c>
      <c r="B52" s="17" t="str">
        <f t="array" ref="B52">INDEX('Báo cáo 75 trang đích'!$C$2:$C$76,$A52)</f>
        <v>Loyalty</v>
      </c>
      <c r="C52" s="18" t="s">
        <v>320</v>
      </c>
      <c r="D52" s="17" t="str">
        <f t="array" ref="D52">INDEX('Báo cáo 75 trang đích'!$B$2:$B$76,$A52)</f>
        <v>https://techcombank.com/thong-tin/blog/traveloka-voucher</v>
      </c>
      <c r="E52" s="19" t="str">
        <f>IFERROR(__xludf.DUMMYFUNCTION("IFERROR(INDEX(FILTER('Chi tiết từng link'!$E$2:$E$2505,'Chi tiết từng link'!$B$2:$B$2505=$D52,'Chi tiết từng link'!$F$2:$F$2505&lt;&gt;""CẦN SOÁT""),1),"""")"),"voucher Traveloka")</f>
        <v>voucher Traveloka</v>
      </c>
      <c r="F52" s="17" t="str">
        <f>IFERROR(__xludf.DUMMYFUNCTION("IFERROR(INDEX(FILTER('Chi tiết từng link'!$D$2:$D$2505,'Chi tiết từng link'!$B$2:$B$2505=$D52,'Chi tiết từng link'!$F$2:$F$2505&lt;&gt;""CẦN SOÁT""),1),"""")"),"https://techcombank.com/thong-tin/blog/dat-ve-may-bay")</f>
        <v>https://techcombank.com/thong-tin/blog/dat-ve-may-bay</v>
      </c>
      <c r="G52" s="19" t="str">
        <f>IFERROR(__xludf.DUMMYFUNCTION("IFERROR(INDEX(FILTER('Chi tiết từng link'!$E$2:$E$2505,'Chi tiết từng link'!$B$2:$B$2505=$D52,'Chi tiết từng link'!$F$2:$F$2505&lt;&gt;""CẦN SOÁT""),2),"""")"),"cách lấy voucher Traveloka")</f>
        <v>cách lấy voucher Traveloka</v>
      </c>
      <c r="H52" s="17" t="str">
        <f>IFERROR(__xludf.DUMMYFUNCTION("IFERROR(INDEX(FILTER('Chi tiết từng link'!$D$2:$D$2505,'Chi tiết từng link'!$B$2:$B$2505=$D52,'Chi tiết từng link'!$F$2:$F$2505&lt;&gt;""CẦN SOÁT""),2),"""")"),"https://techcombank.com/thong-tin/blog/mua-ve-may-bay-gia-re")</f>
        <v>https://techcombank.com/thong-tin/blog/mua-ve-may-bay-gia-re</v>
      </c>
      <c r="I52" s="19" t="str">
        <f>IFERROR(__xludf.DUMMYFUNCTION("IFERROR(INDEX(FILTER('Chi tiết từng link'!$E$2:$E$2505,'Chi tiết từng link'!$B$2:$B$2505=$D52,'Chi tiết từng link'!$F$2:$F$2505&lt;&gt;""CẦN SOÁT""),3),"""")"),"voucher Traveloka")</f>
        <v>voucher Traveloka</v>
      </c>
      <c r="J52" s="17" t="str">
        <f>IFERROR(__xludf.DUMMYFUNCTION("IFERROR(INDEX(FILTER('Chi tiết từng link'!$D$2:$D$2505,'Chi tiết từng link'!$B$2:$B$2505=$D52,'Chi tiết từng link'!$F$2:$F$2505&lt;&gt;""CẦN SOÁT""),3),"""")"),"https://techcombank.com/thong-tin/blog/techcombank-oneu")</f>
        <v>https://techcombank.com/thong-tin/blog/techcombank-oneu</v>
      </c>
      <c r="K52" s="19" t="str">
        <f>IFERROR(__xludf.DUMMYFUNCTION("IFERROR(INDEX(FILTER('Chi tiết từng link'!$E$2:$E$2505,'Chi tiết từng link'!$B$2:$B$2505=$D52,'Chi tiết từng link'!$F$2:$F$2505&lt;&gt;""CẦN SOÁT""),4),"""")"),"cách lấy voucher Traveloka")</f>
        <v>cách lấy voucher Traveloka</v>
      </c>
      <c r="L52" s="17" t="str">
        <f>IFERROR(__xludf.DUMMYFUNCTION("IFERROR(INDEX(FILTER('Chi tiết từng link'!$D$2:$D$2505,'Chi tiết từng link'!$B$2:$B$2505=$D52,'Chi tiết từng link'!$F$2:$F$2505&lt;&gt;""CẦN SOÁT""),4),"""")"),"https://techcombank.com/thong-tin/blog/tich-diem-doi-qua")</f>
        <v>https://techcombank.com/thong-tin/blog/tich-diem-doi-qua</v>
      </c>
      <c r="M52" s="19" t="str">
        <f>IFERROR(__xludf.DUMMYFUNCTION("IFERROR(INDEX(FILTER('Chi tiết từng link'!$E$2:$E$2505,'Chi tiết từng link'!$B$2:$B$2505=$D52,'Chi tiết từng link'!$F$2:$F$2505&lt;&gt;""CẦN SOÁT""),5),"""")"),"voucher Traveloka")</f>
        <v>voucher Traveloka</v>
      </c>
      <c r="N52" s="17" t="str">
        <f>IFERROR(__xludf.DUMMYFUNCTION("IFERROR(INDEX(FILTER('Chi tiết từng link'!$D$2:$D$2505,'Chi tiết từng link'!$B$2:$B$2505=$D52,'Chi tiết từng link'!$F$2:$F$2505&lt;&gt;""CẦN SOÁT""),5),"""")"),"https://techcombank.com/thong-tin/blog/tiet-kiem-khi-di-du-lich")</f>
        <v>https://techcombank.com/thong-tin/blog/tiet-kiem-khi-di-du-lich</v>
      </c>
      <c r="O52" s="11">
        <f>COUNTIFS('Chi tiết từng link'!$B$2:$B$2505,$D52,'Chi tiết từng link'!$F$2:$F$2505,"&lt;&gt;CẦN SOÁT")</f>
        <v>5</v>
      </c>
      <c r="P52" s="23" t="s">
        <v>65</v>
      </c>
      <c r="Q52" s="23" t="b">
        <v>0</v>
      </c>
      <c r="R52" s="17" t="str">
        <f>IF(COUNTIFS('Chi tiết từng link'!$B$2:$B$2505,$D52,'Chi tiết từng link'!$F$2:$F$2505,"CẦN SOÁT")&gt;0,"Còn "&amp;COUNTIFS('Chi tiết từng link'!$B$2:$B$2505,$D52,'Chi tiết từng link'!$F$2:$F$2505,"CẦN SOÁT")&amp;" gợi ý cần soát ở tab Chi tiết từng link","")</f>
        <v>Còn 58 gợi ý cần soát ở tab Chi tiết từng link</v>
      </c>
    </row>
    <row r="53" ht="18.0" customHeight="1">
      <c r="A53" s="11">
        <f t="shared" si="1"/>
        <v>52</v>
      </c>
      <c r="B53" s="17" t="str">
        <f t="array" ref="B53">INDEX('Báo cáo 75 trang đích'!$C$2:$C$76,$A53)</f>
        <v>Merchant</v>
      </c>
      <c r="C53" s="18" t="s">
        <v>322</v>
      </c>
      <c r="D53" s="17" t="str">
        <f t="array" ref="D53">INDEX('Báo cáo 75 trang đích'!$B$2:$B$76,$A53)</f>
        <v>https://techcombank.com/thong-tin/blog/ho-kinh-doanh-dong-thue-nhu-nao</v>
      </c>
      <c r="E53" s="19" t="str">
        <f>IFERROR(__xludf.DUMMYFUNCTION("IFERROR(INDEX(FILTER('Chi tiết từng link'!$E$2:$E$2505,'Chi tiết từng link'!$B$2:$B$2505=$D53,'Chi tiết từng link'!$F$2:$F$2505&lt;&gt;""CẦN SOÁT""),1),"""")"),"hộ kinh doanh đóng thuế như thế nào")</f>
        <v>hộ kinh doanh đóng thuế như thế nào</v>
      </c>
      <c r="F53" s="17" t="str">
        <f>IFERROR(__xludf.DUMMYFUNCTION("IFERROR(INDEX(FILTER('Chi tiết từng link'!$D$2:$D$2505,'Chi tiết từng link'!$B$2:$B$2505=$D53,'Chi tiết từng link'!$F$2:$F$2505&lt;&gt;""CẦN SOÁT""),1),"""")"),"https://techcombank.com/thong-tin/blog/ho-kinh-doanh-la-gi")</f>
        <v>https://techcombank.com/thong-tin/blog/ho-kinh-doanh-la-gi</v>
      </c>
      <c r="G53" s="19" t="str">
        <f>IFERROR(__xludf.DUMMYFUNCTION("IFERROR(INDEX(FILTER('Chi tiết từng link'!$E$2:$E$2505,'Chi tiết từng link'!$B$2:$B$2505=$D53,'Chi tiết từng link'!$F$2:$F$2505&lt;&gt;""CẦN SOÁT""),2),"""")"),"hộ kinh doanh đóng thuế")</f>
        <v>hộ kinh doanh đóng thuế</v>
      </c>
      <c r="H53" s="17" t="str">
        <f>IFERROR(__xludf.DUMMYFUNCTION("IFERROR(INDEX(FILTER('Chi tiết từng link'!$D$2:$D$2505,'Chi tiết từng link'!$B$2:$B$2505=$D53,'Chi tiết từng link'!$F$2:$F$2505&lt;&gt;""CẦN SOÁT""),2),"""")"),"https://techcombank.com/thong-tin/blog/thue-khoan-ho-kinh-doanh-la-gi")</f>
        <v>https://techcombank.com/thong-tin/blog/thue-khoan-ho-kinh-doanh-la-gi</v>
      </c>
      <c r="I53" s="19" t="str">
        <f>IFERROR(__xludf.DUMMYFUNCTION("IFERROR(INDEX(FILTER('Chi tiết từng link'!$E$2:$E$2505,'Chi tiết từng link'!$B$2:$B$2505=$D53,'Chi tiết từng link'!$F$2:$F$2505&lt;&gt;""CẦN SOÁT""),3),"""")"),"thuế hộ kinh doanh")</f>
        <v>thuế hộ kinh doanh</v>
      </c>
      <c r="J53" s="17" t="str">
        <f>IFERROR(__xludf.DUMMYFUNCTION("IFERROR(INDEX(FILTER('Chi tiết từng link'!$D$2:$D$2505,'Chi tiết từng link'!$B$2:$B$2505=$D53,'Chi tiết từng link'!$F$2:$F$2505&lt;&gt;""CẦN SOÁT""),3),"""")"),"https://techcombank.com/thong-tin/blog/nhung-ho-kinh-doanh-duoc-mien-thue")</f>
        <v>https://techcombank.com/thong-tin/blog/nhung-ho-kinh-doanh-duoc-mien-thue</v>
      </c>
      <c r="K53" s="19" t="str">
        <f>IFERROR(__xludf.DUMMYFUNCTION("IFERROR(INDEX(FILTER('Chi tiết từng link'!$E$2:$E$2505,'Chi tiết từng link'!$B$2:$B$2505=$D53,'Chi tiết từng link'!$F$2:$F$2505&lt;&gt;""CẦN SOÁT""),4),"""")"),"nghĩa vụ thuế hộ kinh doanh")</f>
        <v>nghĩa vụ thuế hộ kinh doanh</v>
      </c>
      <c r="L53" s="17" t="str">
        <f>IFERROR(__xludf.DUMMYFUNCTION("IFERROR(INDEX(FILTER('Chi tiết từng link'!$D$2:$D$2505,'Chi tiết từng link'!$B$2:$B$2505=$D53,'Chi tiết từng link'!$F$2:$F$2505&lt;&gt;""CẦN SOÁT""),4),"""")"),"https://techcombank.com/thong-tin/blog/truy-thu-thue-ho-kinh-doanh")</f>
        <v>https://techcombank.com/thong-tin/blog/truy-thu-thue-ho-kinh-doanh</v>
      </c>
      <c r="M53" s="19" t="str">
        <f>IFERROR(__xludf.DUMMYFUNCTION("IFERROR(INDEX(FILTER('Chi tiết từng link'!$E$2:$E$2505,'Chi tiết từng link'!$B$2:$B$2505=$D53,'Chi tiết từng link'!$F$2:$F$2505&lt;&gt;""CẦN SOÁT""),5),"""")"),"hộ kinh doanh đóng thuế như thế nào")</f>
        <v>hộ kinh doanh đóng thuế như thế nào</v>
      </c>
      <c r="N53" s="17" t="str">
        <f>IFERROR(__xludf.DUMMYFUNCTION("IFERROR(INDEX(FILTER('Chi tiết từng link'!$D$2:$D$2505,'Chi tiết từng link'!$B$2:$B$2505=$D53,'Chi tiết từng link'!$F$2:$F$2505&lt;&gt;""CẦN SOÁT""),5),"""")"),"https://techcombank.com/thong-tin/blog/thue-ho-kinh-doanh-2025")</f>
        <v>https://techcombank.com/thong-tin/blog/thue-ho-kinh-doanh-2025</v>
      </c>
      <c r="O53" s="11">
        <f>COUNTIFS('Chi tiết từng link'!$B$2:$B$2505,$D53,'Chi tiết từng link'!$F$2:$F$2505,"&lt;&gt;CẦN SOÁT")</f>
        <v>5</v>
      </c>
      <c r="P53" s="23" t="s">
        <v>65</v>
      </c>
      <c r="Q53" s="23" t="b">
        <v>0</v>
      </c>
      <c r="R53" s="17" t="str">
        <f>IF(COUNTIFS('Chi tiết từng link'!$B$2:$B$2505,$D53,'Chi tiết từng link'!$F$2:$F$2505,"CẦN SOÁT")&gt;0,"Còn "&amp;COUNTIFS('Chi tiết từng link'!$B$2:$B$2505,$D53,'Chi tiết từng link'!$F$2:$F$2505,"CẦN SOÁT")&amp;" gợi ý cần soát ở tab Chi tiết từng link","")</f>
        <v>Còn 80 gợi ý cần soát ở tab Chi tiết từng link</v>
      </c>
    </row>
    <row r="54" ht="18.0" customHeight="1">
      <c r="A54" s="11">
        <f t="shared" si="1"/>
        <v>53</v>
      </c>
      <c r="B54" s="17" t="str">
        <f t="array" ref="B54">INDEX('Báo cáo 75 trang đích'!$C$2:$C$76,$A54)</f>
        <v>Merchant</v>
      </c>
      <c r="C54" s="18" t="s">
        <v>326</v>
      </c>
      <c r="D54" s="17" t="str">
        <f t="array" ref="D54">INDEX('Báo cáo 75 trang đích'!$B$2:$B$76,$A54)</f>
        <v>https://techcombank.com/thong-tin/blog/mo-hinh-kinh-doanh-la-gi</v>
      </c>
      <c r="E54" s="19" t="str">
        <f>IFERROR(__xludf.DUMMYFUNCTION("IFERROR(INDEX(FILTER('Chi tiết từng link'!$E$2:$E$2505,'Chi tiết từng link'!$B$2:$B$2505=$D54,'Chi tiết từng link'!$F$2:$F$2505&lt;&gt;""CẦN SOÁT""),1),"""")"),"mô hình kinh doanh là gì")</f>
        <v>mô hình kinh doanh là gì</v>
      </c>
      <c r="F54" s="17" t="str">
        <f>IFERROR(__xludf.DUMMYFUNCTION("IFERROR(INDEX(FILTER('Chi tiết từng link'!$D$2:$D$2505,'Chi tiết từng link'!$B$2:$B$2505=$D54,'Chi tiết từng link'!$F$2:$F$2505&lt;&gt;""CẦN SOÁT""),1),"""")"),"https://techcombank.com/thong-tin/blog/nhuong-quyen-la-gi")</f>
        <v>https://techcombank.com/thong-tin/blog/nhuong-quyen-la-gi</v>
      </c>
      <c r="G54" s="19" t="str">
        <f>IFERROR(__xludf.DUMMYFUNCTION("IFERROR(INDEX(FILTER('Chi tiết từng link'!$E$2:$E$2505,'Chi tiết từng link'!$B$2:$B$2505=$D54,'Chi tiết từng link'!$F$2:$F$2505&lt;&gt;""CẦN SOÁT""),2),"""")"),"mô hình kinh doanh")</f>
        <v>mô hình kinh doanh</v>
      </c>
      <c r="H54" s="17" t="str">
        <f>IFERROR(__xludf.DUMMYFUNCTION("IFERROR(INDEX(FILTER('Chi tiết từng link'!$D$2:$D$2505,'Chi tiết từng link'!$B$2:$B$2505=$D54,'Chi tiết từng link'!$F$2:$F$2505&lt;&gt;""CẦN SOÁT""),2),"""")"),"https://techcombank.com/thong-tin/blog/kinh-doanh-online")</f>
        <v>https://techcombank.com/thong-tin/blog/kinh-doanh-online</v>
      </c>
      <c r="I54" s="19" t="str">
        <f>IFERROR(__xludf.DUMMYFUNCTION("IFERROR(INDEX(FILTER('Chi tiết từng link'!$E$2:$E$2505,'Chi tiết từng link'!$B$2:$B$2505=$D54,'Chi tiết từng link'!$F$2:$F$2505&lt;&gt;""CẦN SOÁT""),3),"""")"),"mô hình kinh doanh là gì")</f>
        <v>mô hình kinh doanh là gì</v>
      </c>
      <c r="J54" s="17" t="str">
        <f>IFERROR(__xludf.DUMMYFUNCTION("IFERROR(INDEX(FILTER('Chi tiết từng link'!$D$2:$D$2505,'Chi tiết từng link'!$B$2:$B$2505=$D54,'Chi tiết từng link'!$F$2:$F$2505&lt;&gt;""CẦN SOÁT""),3),"""")"),"https://techcombank.com/thong-tin/blog/one-stop-shop")</f>
        <v>https://techcombank.com/thong-tin/blog/one-stop-shop</v>
      </c>
      <c r="K54" s="19" t="str">
        <f>IFERROR(__xludf.DUMMYFUNCTION("IFERROR(INDEX(FILTER('Chi tiết từng link'!$E$2:$E$2505,'Chi tiết từng link'!$B$2:$B$2505=$D54,'Chi tiết từng link'!$F$2:$F$2505&lt;&gt;""CẦN SOÁT""),4),"""")"),"mô hình kinh doanh")</f>
        <v>mô hình kinh doanh</v>
      </c>
      <c r="L54" s="17" t="str">
        <f>IFERROR(__xludf.DUMMYFUNCTION("IFERROR(INDEX(FILTER('Chi tiết từng link'!$D$2:$D$2505,'Chi tiết từng link'!$B$2:$B$2505=$D54,'Chi tiết từng link'!$F$2:$F$2505&lt;&gt;""CẦN SOÁT""),4),"""")"),"https://techcombank.com/thong-tin/blog/cac-loai-hinh-doanh-nghiep")</f>
        <v>https://techcombank.com/thong-tin/blog/cac-loai-hinh-doanh-nghiep</v>
      </c>
      <c r="M54" s="19" t="str">
        <f>IFERROR(__xludf.DUMMYFUNCTION("IFERROR(INDEX(FILTER('Chi tiết từng link'!$E$2:$E$2505,'Chi tiết từng link'!$B$2:$B$2505=$D54,'Chi tiết từng link'!$F$2:$F$2505&lt;&gt;""CẦN SOÁT""),5),"""")"),"mô hình kinh doanh là gì")</f>
        <v>mô hình kinh doanh là gì</v>
      </c>
      <c r="N54" s="17" t="str">
        <f>IFERROR(__xludf.DUMMYFUNCTION("IFERROR(INDEX(FILTER('Chi tiết từng link'!$D$2:$D$2505,'Chi tiết từng link'!$B$2:$B$2505=$D54,'Chi tiết từng link'!$F$2:$F$2505&lt;&gt;""CẦN SOÁT""),5),"""")"),"https://techcombank.com/thong-tin/blog/merchant-la-gi")</f>
        <v>https://techcombank.com/thong-tin/blog/merchant-la-gi</v>
      </c>
      <c r="O54" s="11">
        <f>COUNTIFS('Chi tiết từng link'!$B$2:$B$2505,$D54,'Chi tiết từng link'!$F$2:$F$2505,"&lt;&gt;CẦN SOÁT")</f>
        <v>5</v>
      </c>
      <c r="P54" s="23" t="s">
        <v>65</v>
      </c>
      <c r="Q54" s="23" t="b">
        <v>0</v>
      </c>
      <c r="R54" s="17" t="str">
        <f>IF(COUNTIFS('Chi tiết từng link'!$B$2:$B$2505,$D54,'Chi tiết từng link'!$F$2:$F$2505,"CẦN SOÁT")&gt;0,"Còn "&amp;COUNTIFS('Chi tiết từng link'!$B$2:$B$2505,$D54,'Chi tiết từng link'!$F$2:$F$2505,"CẦN SOÁT")&amp;" gợi ý cần soát ở tab Chi tiết từng link","")</f>
        <v>Còn 14 gợi ý cần soát ở tab Chi tiết từng link</v>
      </c>
    </row>
    <row r="55" ht="18.0" customHeight="1">
      <c r="A55" s="11">
        <f t="shared" si="1"/>
        <v>54</v>
      </c>
      <c r="B55" s="17" t="str">
        <f t="array" ref="B55">INDEX('Báo cáo 75 trang đích'!$C$2:$C$76,$A55)</f>
        <v>Merchant</v>
      </c>
      <c r="C55" s="18" t="s">
        <v>330</v>
      </c>
      <c r="D55" s="17" t="str">
        <f t="array" ref="D55">INDEX('Báo cáo 75 trang đích'!$B$2:$B$76,$A55)</f>
        <v>https://techcombank.com/thong-tin/blog/gui-ma-qr-ngan-hang</v>
      </c>
      <c r="E55" s="19" t="str">
        <f>IFERROR(__xludf.DUMMYFUNCTION("IFERROR(INDEX(FILTER('Chi tiết từng link'!$E$2:$E$2505,'Chi tiết từng link'!$B$2:$B$2505=$D55,'Chi tiết từng link'!$F$2:$F$2505&lt;&gt;""CẦN SOÁT""),1),"""")"),"gửi mã QR ngân hàng")</f>
        <v>gửi mã QR ngân hàng</v>
      </c>
      <c r="F55" s="17" t="str">
        <f>IFERROR(__xludf.DUMMYFUNCTION("IFERROR(INDEX(FILTER('Chi tiết từng link'!$D$2:$D$2505,'Chi tiết từng link'!$B$2:$B$2505=$D55,'Chi tiết từng link'!$F$2:$F$2505&lt;&gt;""CẦN SOÁT""),1),"""")"),"https://techcombank.com/thong-tin/blog/cach-tao-ma-qr")</f>
        <v>https://techcombank.com/thong-tin/blog/cach-tao-ma-qr</v>
      </c>
      <c r="G55" s="19" t="str">
        <f>IFERROR(__xludf.DUMMYFUNCTION("IFERROR(INDEX(FILTER('Chi tiết từng link'!$E$2:$E$2505,'Chi tiết từng link'!$B$2:$B$2505=$D55,'Chi tiết từng link'!$F$2:$F$2505&lt;&gt;""CẦN SOÁT""),2),"""")"),"cách gửi mã QR ngân hàng")</f>
        <v>cách gửi mã QR ngân hàng</v>
      </c>
      <c r="H55" s="17" t="str">
        <f>IFERROR(__xludf.DUMMYFUNCTION("IFERROR(INDEX(FILTER('Chi tiết từng link'!$D$2:$D$2505,'Chi tiết từng link'!$B$2:$B$2505=$D55,'Chi tiết từng link'!$F$2:$F$2505&lt;&gt;""CẦN SOÁT""),2),"""")"),"https://techcombank.com/thong-tin/blog/in-ma-qr-ngan-hang")</f>
        <v>https://techcombank.com/thong-tin/blog/in-ma-qr-ngan-hang</v>
      </c>
      <c r="I55" s="19" t="str">
        <f>IFERROR(__xludf.DUMMYFUNCTION("IFERROR(INDEX(FILTER('Chi tiết từng link'!$E$2:$E$2505,'Chi tiết từng link'!$B$2:$B$2505=$D55,'Chi tiết từng link'!$F$2:$F$2505&lt;&gt;""CẦN SOÁT""),3),"""")"),"gửi mã QR ngân hàng")</f>
        <v>gửi mã QR ngân hàng</v>
      </c>
      <c r="J55" s="17" t="str">
        <f>IFERROR(__xludf.DUMMYFUNCTION("IFERROR(INDEX(FILTER('Chi tiết từng link'!$D$2:$D$2505,'Chi tiết từng link'!$B$2:$B$2505=$D55,'Chi tiết từng link'!$F$2:$F$2505&lt;&gt;""CẦN SOÁT""),3),"""")"),"https://techcombank.com/thong-tin/blog/lo-ma-qr-ngan-hang-co-sao-khong")</f>
        <v>https://techcombank.com/thong-tin/blog/lo-ma-qr-ngan-hang-co-sao-khong</v>
      </c>
      <c r="K55" s="19" t="str">
        <f>IFERROR(__xludf.DUMMYFUNCTION("IFERROR(INDEX(FILTER('Chi tiết từng link'!$E$2:$E$2505,'Chi tiết từng link'!$B$2:$B$2505=$D55,'Chi tiết từng link'!$F$2:$F$2505&lt;&gt;""CẦN SOÁT""),4),"""")"),"cách gửi mã QR ngân hàng")</f>
        <v>cách gửi mã QR ngân hàng</v>
      </c>
      <c r="L55" s="17" t="str">
        <f>IFERROR(__xludf.DUMMYFUNCTION("IFERROR(INDEX(FILTER('Chi tiết từng link'!$D$2:$D$2505,'Chi tiết từng link'!$B$2:$B$2505=$D55,'Chi tiết từng link'!$F$2:$F$2505&lt;&gt;""CẦN SOÁT""),4),"""")"),"https://techcombank.com/thong-tin/blog/lam-ma-qr-ngan-hang-co-mat-phi-khong")</f>
        <v>https://techcombank.com/thong-tin/blog/lam-ma-qr-ngan-hang-co-mat-phi-khong</v>
      </c>
      <c r="M55" s="19" t="str">
        <f>IFERROR(__xludf.DUMMYFUNCTION("IFERROR(INDEX(FILTER('Chi tiết từng link'!$E$2:$E$2505,'Chi tiết từng link'!$B$2:$B$2505=$D55,'Chi tiết từng link'!$F$2:$F$2505&lt;&gt;""CẦN SOÁT""),5),"""")"),"gửi mã QR ngân hàng")</f>
        <v>gửi mã QR ngân hàng</v>
      </c>
      <c r="N55" s="17" t="str">
        <f>IFERROR(__xludf.DUMMYFUNCTION("IFERROR(INDEX(FILTER('Chi tiết từng link'!$D$2:$D$2505,'Chi tiết từng link'!$B$2:$B$2505=$D55,'Chi tiết từng link'!$F$2:$F$2505&lt;&gt;""CẦN SOÁT""),5),"""")"),"https://techcombank.com/thong-tin/blog/ma-qr-ngan-hang-khong-hop-le")</f>
        <v>https://techcombank.com/thong-tin/blog/ma-qr-ngan-hang-khong-hop-le</v>
      </c>
      <c r="O55" s="11">
        <f>COUNTIFS('Chi tiết từng link'!$B$2:$B$2505,$D55,'Chi tiết từng link'!$F$2:$F$2505,"&lt;&gt;CẦN SOÁT")</f>
        <v>5</v>
      </c>
      <c r="P55" s="23" t="s">
        <v>65</v>
      </c>
      <c r="Q55" s="23" t="b">
        <v>0</v>
      </c>
      <c r="R55" s="17" t="str">
        <f>IF(COUNTIFS('Chi tiết từng link'!$B$2:$B$2505,$D55,'Chi tiết từng link'!$F$2:$F$2505,"CẦN SOÁT")&gt;0,"Còn "&amp;COUNTIFS('Chi tiết từng link'!$B$2:$B$2505,$D55,'Chi tiết từng link'!$F$2:$F$2505,"CẦN SOÁT")&amp;" gợi ý cần soát ở tab Chi tiết từng link","")</f>
        <v>Còn 21 gợi ý cần soát ở tab Chi tiết từng link</v>
      </c>
    </row>
    <row r="56" ht="18.0" customHeight="1">
      <c r="A56" s="11">
        <f t="shared" si="1"/>
        <v>55</v>
      </c>
      <c r="B56" s="17" t="str">
        <f t="array" ref="B56">INDEX('Báo cáo 75 trang đích'!$C$2:$C$76,$A56)</f>
        <v>Merchant</v>
      </c>
      <c r="C56" s="18" t="s">
        <v>332</v>
      </c>
      <c r="D56" s="17" t="str">
        <f t="array" ref="D56">INDEX('Báo cáo 75 trang đích'!$B$2:$B$76,$A56)</f>
        <v>https://techcombank.com/thong-tin/blog/mo-tai-khoan-ho-kinh-doanh</v>
      </c>
      <c r="E56" s="19" t="str">
        <f>IFERROR(__xludf.DUMMYFUNCTION("IFERROR(INDEX(FILTER('Chi tiết từng link'!$E$2:$E$2505,'Chi tiết từng link'!$B$2:$B$2505=$D56,'Chi tiết từng link'!$F$2:$F$2505&lt;&gt;""CẦN SOÁT""),1),"""")"),"mở tài khoản hộ kinh doanh")</f>
        <v>mở tài khoản hộ kinh doanh</v>
      </c>
      <c r="F56" s="17" t="str">
        <f>IFERROR(__xludf.DUMMYFUNCTION("IFERROR(INDEX(FILTER('Chi tiết từng link'!$D$2:$D$2505,'Chi tiết từng link'!$B$2:$B$2505=$D56,'Chi tiết từng link'!$F$2:$F$2505&lt;&gt;""CẦN SOÁT""),1),"""")"),"https://techcombank.com/thong-tin/blog/ho-kinh-doanh-can-gi-o-tai-khoan-ngan-hang")</f>
        <v>https://techcombank.com/thong-tin/blog/ho-kinh-doanh-can-gi-o-tai-khoan-ngan-hang</v>
      </c>
      <c r="G56" s="19" t="str">
        <f>IFERROR(__xludf.DUMMYFUNCTION("IFERROR(INDEX(FILTER('Chi tiết từng link'!$E$2:$E$2505,'Chi tiết từng link'!$B$2:$B$2505=$D56,'Chi tiết từng link'!$F$2:$F$2505&lt;&gt;""CẦN SOÁT""),2),"""")"),"cách mở tài khoản hộ kinh doanh")</f>
        <v>cách mở tài khoản hộ kinh doanh</v>
      </c>
      <c r="H56" s="17" t="str">
        <f>IFERROR(__xludf.DUMMYFUNCTION("IFERROR(INDEX(FILTER('Chi tiết từng link'!$D$2:$D$2505,'Chi tiết từng link'!$B$2:$B$2505=$D56,'Chi tiết từng link'!$F$2:$F$2505&lt;&gt;""CẦN SOÁT""),2),"""")"),"https://techcombank.com/thong-tin/blog/thanh-lap-ho-kinh-doanh-ca-the")</f>
        <v>https://techcombank.com/thong-tin/blog/thanh-lap-ho-kinh-doanh-ca-the</v>
      </c>
      <c r="I56" s="19" t="str">
        <f>IFERROR(__xludf.DUMMYFUNCTION("IFERROR(INDEX(FILTER('Chi tiết từng link'!$E$2:$E$2505,'Chi tiết từng link'!$B$2:$B$2505=$D56,'Chi tiết từng link'!$F$2:$F$2505&lt;&gt;""CẦN SOÁT""),3),"""")"),"tài khoản hộ kinh doanh")</f>
        <v>tài khoản hộ kinh doanh</v>
      </c>
      <c r="J56" s="17" t="str">
        <f>IFERROR(__xludf.DUMMYFUNCTION("IFERROR(INDEX(FILTER('Chi tiết từng link'!$D$2:$D$2505,'Chi tiết từng link'!$B$2:$B$2505=$D56,'Chi tiết từng link'!$F$2:$F$2505&lt;&gt;""CẦN SOÁT""),3),"""")"),"https://techcombank.com/thong-tin/blog/khai-bao-tai-khoan-ngan-hang-voi-co-quan-thue")</f>
        <v>https://techcombank.com/thong-tin/blog/khai-bao-tai-khoan-ngan-hang-voi-co-quan-thue</v>
      </c>
      <c r="K56" s="19" t="str">
        <f>IFERROR(__xludf.DUMMYFUNCTION("IFERROR(INDEX(FILTER('Chi tiết từng link'!$E$2:$E$2505,'Chi tiết từng link'!$B$2:$B$2505=$D56,'Chi tiết từng link'!$F$2:$F$2505&lt;&gt;""CẦN SOÁT""),4),"""")"),"mở tài khoản hộ kinh doanh")</f>
        <v>mở tài khoản hộ kinh doanh</v>
      </c>
      <c r="L56" s="17" t="str">
        <f>IFERROR(__xludf.DUMMYFUNCTION("IFERROR(INDEX(FILTER('Chi tiết từng link'!$D$2:$D$2505,'Chi tiết từng link'!$B$2:$B$2505=$D56,'Chi tiết từng link'!$F$2:$F$2505&lt;&gt;""CẦN SOÁT""),4),"""")"),"https://techcombank.com/thong-tin/blog/ho-kinh-doanh-ca-the")</f>
        <v>https://techcombank.com/thong-tin/blog/ho-kinh-doanh-ca-the</v>
      </c>
      <c r="M56" s="19" t="str">
        <f>IFERROR(__xludf.DUMMYFUNCTION("IFERROR(INDEX(FILTER('Chi tiết từng link'!$E$2:$E$2505,'Chi tiết từng link'!$B$2:$B$2505=$D56,'Chi tiết từng link'!$F$2:$F$2505&lt;&gt;""CẦN SOÁT""),5),"""")"),"cách mở tài khoản hộ kinh doanh")</f>
        <v>cách mở tài khoản hộ kinh doanh</v>
      </c>
      <c r="N56" s="17" t="str">
        <f>IFERROR(__xludf.DUMMYFUNCTION("IFERROR(INDEX(FILTER('Chi tiết từng link'!$D$2:$D$2505,'Chi tiết từng link'!$B$2:$B$2505=$D56,'Chi tiết từng link'!$F$2:$F$2505&lt;&gt;""CẦN SOÁT""),5),"""")"),"https://techcombank.com/thong-tin/blog/cach-dang-ky-ma-so-thue-ho-kinh-doanh-online")</f>
        <v>https://techcombank.com/thong-tin/blog/cach-dang-ky-ma-so-thue-ho-kinh-doanh-online</v>
      </c>
      <c r="O56" s="11">
        <f>COUNTIFS('Chi tiết từng link'!$B$2:$B$2505,$D56,'Chi tiết từng link'!$F$2:$F$2505,"&lt;&gt;CẦN SOÁT")</f>
        <v>5</v>
      </c>
      <c r="P56" s="23" t="s">
        <v>65</v>
      </c>
      <c r="Q56" s="23" t="b">
        <v>0</v>
      </c>
      <c r="R56" s="17" t="str">
        <f>IF(COUNTIFS('Chi tiết từng link'!$B$2:$B$2505,$D56,'Chi tiết từng link'!$F$2:$F$2505,"CẦN SOÁT")&gt;0,"Còn "&amp;COUNTIFS('Chi tiết từng link'!$B$2:$B$2505,$D56,'Chi tiết từng link'!$F$2:$F$2505,"CẦN SOÁT")&amp;" gợi ý cần soát ở tab Chi tiết từng link","")</f>
        <v>Còn 47 gợi ý cần soát ở tab Chi tiết từng link</v>
      </c>
    </row>
    <row r="57" ht="18.0" customHeight="1">
      <c r="A57" s="11">
        <f t="shared" si="1"/>
        <v>56</v>
      </c>
      <c r="B57" s="17" t="str">
        <f t="array" ref="B57">INDEX('Báo cáo 75 trang đích'!$C$2:$C$76,$A57)</f>
        <v>Merchant</v>
      </c>
      <c r="C57" s="18" t="s">
        <v>335</v>
      </c>
      <c r="D57" s="17" t="str">
        <f t="array" ref="D57">INDEX('Báo cáo 75 trang đích'!$B$2:$B$76,$A57)</f>
        <v>https://techcombank.com/thong-tin/blog/cach-tinh-thue-ho-kinh-doanh-nho-le</v>
      </c>
      <c r="E57" s="19" t="str">
        <f>IFERROR(__xludf.DUMMYFUNCTION("IFERROR(INDEX(FILTER('Chi tiết từng link'!$E$2:$E$2505,'Chi tiết từng link'!$B$2:$B$2505=$D57,'Chi tiết từng link'!$F$2:$F$2505&lt;&gt;""CẦN SOÁT""),1),"""")"),"cách tính thuế hộ kinh doanh nhỏ lẻ")</f>
        <v>cách tính thuế hộ kinh doanh nhỏ lẻ</v>
      </c>
      <c r="F57" s="17" t="str">
        <f>IFERROR(__xludf.DUMMYFUNCTION("IFERROR(INDEX(FILTER('Chi tiết từng link'!$D$2:$D$2505,'Chi tiết từng link'!$B$2:$B$2505=$D57,'Chi tiết từng link'!$F$2:$F$2505&lt;&gt;""CẦN SOÁT""),1),"""")"),"https://techcombank.com/thong-tin/blog/ke-khai-thue-ho-kinh-doanh-ca-the-online")</f>
        <v>https://techcombank.com/thong-tin/blog/ke-khai-thue-ho-kinh-doanh-ca-the-online</v>
      </c>
      <c r="G57" s="19" t="str">
        <f>IFERROR(__xludf.DUMMYFUNCTION("IFERROR(INDEX(FILTER('Chi tiết từng link'!$E$2:$E$2505,'Chi tiết từng link'!$B$2:$B$2505=$D57,'Chi tiết từng link'!$F$2:$F$2505&lt;&gt;""CẦN SOÁT""),2),"""")"),"cách tính thuế hộ kinh doanh")</f>
        <v>cách tính thuế hộ kinh doanh</v>
      </c>
      <c r="H57" s="17" t="str">
        <f>IFERROR(__xludf.DUMMYFUNCTION("IFERROR(INDEX(FILTER('Chi tiết từng link'!$D$2:$D$2505,'Chi tiết từng link'!$B$2:$B$2505=$D57,'Chi tiết từng link'!$F$2:$F$2505&lt;&gt;""CẦN SOÁT""),2),"""")"),"https://techcombank.com/thong-tin/blog/kiem-tra-thue-ho-kinh-doanh")</f>
        <v>https://techcombank.com/thong-tin/blog/kiem-tra-thue-ho-kinh-doanh</v>
      </c>
      <c r="I57" s="19" t="str">
        <f>IFERROR(__xludf.DUMMYFUNCTION("IFERROR(INDEX(FILTER('Chi tiết từng link'!$E$2:$E$2505,'Chi tiết từng link'!$B$2:$B$2505=$D57,'Chi tiết từng link'!$F$2:$F$2505&lt;&gt;""CẦN SOÁT""),3),"""")"),"cách tính thuế hộ kinh doanh nhỏ lẻ")</f>
        <v>cách tính thuế hộ kinh doanh nhỏ lẻ</v>
      </c>
      <c r="J57" s="17" t="str">
        <f>IFERROR(__xludf.DUMMYFUNCTION("IFERROR(INDEX(FILTER('Chi tiết từng link'!$D$2:$D$2505,'Chi tiết từng link'!$B$2:$B$2505=$D57,'Chi tiết từng link'!$F$2:$F$2505&lt;&gt;""CẦN SOÁT""),3),"""")"),"https://techcombank.com/thong-tin/blog/thue-thuong-mai-dien-tu")</f>
        <v>https://techcombank.com/thong-tin/blog/thue-thuong-mai-dien-tu</v>
      </c>
      <c r="K57" s="19" t="str">
        <f>IFERROR(__xludf.DUMMYFUNCTION("IFERROR(INDEX(FILTER('Chi tiết từng link'!$E$2:$E$2505,'Chi tiết từng link'!$B$2:$B$2505=$D57,'Chi tiết từng link'!$F$2:$F$2505&lt;&gt;""CẦN SOÁT""),4),"""")"),"cách tính thuế hộ kinh doanh")</f>
        <v>cách tính thuế hộ kinh doanh</v>
      </c>
      <c r="L57" s="17" t="str">
        <f>IFERROR(__xludf.DUMMYFUNCTION("IFERROR(INDEX(FILTER('Chi tiết từng link'!$D$2:$D$2505,'Chi tiết từng link'!$B$2:$B$2505=$D57,'Chi tiết từng link'!$F$2:$F$2505&lt;&gt;""CẦN SOÁT""),4),"""")"),"https://techcombank.com/thong-tin/blog/chinh-sach-thue-moi")</f>
        <v>https://techcombank.com/thong-tin/blog/chinh-sach-thue-moi</v>
      </c>
      <c r="M57" s="19" t="str">
        <f>IFERROR(__xludf.DUMMYFUNCTION("IFERROR(INDEX(FILTER('Chi tiết từng link'!$E$2:$E$2505,'Chi tiết từng link'!$B$2:$B$2505=$D57,'Chi tiết từng link'!$F$2:$F$2505&lt;&gt;""CẦN SOÁT""),5),"""")"),"cách tính thuế hộ kinh doanh nhỏ lẻ")</f>
        <v>cách tính thuế hộ kinh doanh nhỏ lẻ</v>
      </c>
      <c r="N57" s="17" t="str">
        <f>IFERROR(__xludf.DUMMYFUNCTION("IFERROR(INDEX(FILTER('Chi tiết từng link'!$D$2:$D$2505,'Chi tiết từng link'!$B$2:$B$2505=$D57,'Chi tiết từng link'!$F$2:$F$2505&lt;&gt;""CẦN SOÁT""),5),"""")"),"https://techcombank.com/thong-tin/blog/ho-kinh-doanh-ca-the")</f>
        <v>https://techcombank.com/thong-tin/blog/ho-kinh-doanh-ca-the</v>
      </c>
      <c r="O57" s="11">
        <f>COUNTIFS('Chi tiết từng link'!$B$2:$B$2505,$D57,'Chi tiết từng link'!$F$2:$F$2505,"&lt;&gt;CẦN SOÁT")</f>
        <v>5</v>
      </c>
      <c r="P57" s="23" t="s">
        <v>65</v>
      </c>
      <c r="Q57" s="23" t="b">
        <v>0</v>
      </c>
      <c r="R57" s="17" t="str">
        <f>IF(COUNTIFS('Chi tiết từng link'!$B$2:$B$2505,$D57,'Chi tiết từng link'!$F$2:$F$2505,"CẦN SOÁT")&gt;0,"Còn "&amp;COUNTIFS('Chi tiết từng link'!$B$2:$B$2505,$D57,'Chi tiết từng link'!$F$2:$F$2505,"CẦN SOÁT")&amp;" gợi ý cần soát ở tab Chi tiết từng link","")</f>
        <v>Còn 48 gợi ý cần soát ở tab Chi tiết từng link</v>
      </c>
    </row>
    <row r="58" ht="18.0" customHeight="1">
      <c r="A58" s="11">
        <f t="shared" si="1"/>
        <v>57</v>
      </c>
      <c r="B58" s="17" t="str">
        <f t="array" ref="B58">INDEX('Báo cáo 75 trang đích'!$C$2:$C$76,$A58)</f>
        <v>Secured Lending</v>
      </c>
      <c r="C58" s="18" t="s">
        <v>340</v>
      </c>
      <c r="D58" s="17" t="str">
        <f t="array" ref="D58">INDEX('Báo cáo 75 trang đích'!$B$2:$B$76,$A58)</f>
        <v>https://techcombank.com/thong-tin/blog/cach-tinh-lai-vay-ngan-hang</v>
      </c>
      <c r="E58" s="19" t="str">
        <f>IFERROR(__xludf.DUMMYFUNCTION("IFERROR(INDEX(FILTER('Chi tiết từng link'!$E$2:$E$2505,'Chi tiết từng link'!$B$2:$B$2505=$D58,'Chi tiết từng link'!$F$2:$F$2505&lt;&gt;""CẦN SOÁT""),1),"""")"),"cách tính lãi vay ngân hàng")</f>
        <v>cách tính lãi vay ngân hàng</v>
      </c>
      <c r="F58" s="17" t="str">
        <f>IFERROR(__xludf.DUMMYFUNCTION("IFERROR(INDEX(FILTER('Chi tiết từng link'!$D$2:$D$2505,'Chi tiết từng link'!$B$2:$B$2505=$D58,'Chi tiết từng link'!$F$2:$F$2505&lt;&gt;""CẦN SOÁT""),1),"""")"),"https://techcombank.com/thong-tin/blog/du-no-la-gi")</f>
        <v>https://techcombank.com/thong-tin/blog/du-no-la-gi</v>
      </c>
      <c r="G58" s="19" t="str">
        <f>IFERROR(__xludf.DUMMYFUNCTION("IFERROR(INDEX(FILTER('Chi tiết từng link'!$E$2:$E$2505,'Chi tiết từng link'!$B$2:$B$2505=$D58,'Chi tiết từng link'!$F$2:$F$2505&lt;&gt;""CẦN SOÁT""),2),"""")"),"cách tính lãi suất vay ngân hàng")</f>
        <v>cách tính lãi suất vay ngân hàng</v>
      </c>
      <c r="H58" s="17" t="str">
        <f>IFERROR(__xludf.DUMMYFUNCTION("IFERROR(INDEX(FILTER('Chi tiết từng link'!$D$2:$D$2505,'Chi tiết từng link'!$B$2:$B$2505=$D58,'Chi tiết từng link'!$F$2:$F$2505&lt;&gt;""CẦN SOÁT""),2),"""")"),"https://techcombank.com/thong-tin/blog/an-han-no-goc-la-gi")</f>
        <v>https://techcombank.com/thong-tin/blog/an-han-no-goc-la-gi</v>
      </c>
      <c r="I58" s="19" t="str">
        <f>IFERROR(__xludf.DUMMYFUNCTION("IFERROR(INDEX(FILTER('Chi tiết từng link'!$E$2:$E$2505,'Chi tiết từng link'!$B$2:$B$2505=$D58,'Chi tiết từng link'!$F$2:$F$2505&lt;&gt;""CẦN SOÁT""),3),"""")"),"công thức tính lãi vay")</f>
        <v>công thức tính lãi vay</v>
      </c>
      <c r="J58" s="17" t="str">
        <f>IFERROR(__xludf.DUMMYFUNCTION("IFERROR(INDEX(FILTER('Chi tiết từng link'!$D$2:$D$2505,'Chi tiết từng link'!$B$2:$B$2505=$D58,'Chi tiết từng link'!$F$2:$F$2505&lt;&gt;""CẦN SOÁT""),3),"""")"),"https://techcombank.com/thong-tin/blog/lai-suat-tha-noi")</f>
        <v>https://techcombank.com/thong-tin/blog/lai-suat-tha-noi</v>
      </c>
      <c r="K58" s="19" t="str">
        <f>IFERROR(__xludf.DUMMYFUNCTION("IFERROR(INDEX(FILTER('Chi tiết từng link'!$E$2:$E$2505,'Chi tiết từng link'!$B$2:$B$2505=$D58,'Chi tiết từng link'!$F$2:$F$2505&lt;&gt;""CẦN SOÁT""),4),"""")"),"tính lãi vay theo dư nợ giảm dần")</f>
        <v>tính lãi vay theo dư nợ giảm dần</v>
      </c>
      <c r="L58" s="17" t="str">
        <f>IFERROR(__xludf.DUMMYFUNCTION("IFERROR(INDEX(FILTER('Chi tiết từng link'!$D$2:$D$2505,'Chi tiết từng link'!$B$2:$B$2505=$D58,'Chi tiết từng link'!$F$2:$F$2505&lt;&gt;""CẦN SOÁT""),4),"""")"),"https://techcombank.com/thong-tin/blog/cong-thuc-tinh-lai-suat-thuc")</f>
        <v>https://techcombank.com/thong-tin/blog/cong-thuc-tinh-lai-suat-thuc</v>
      </c>
      <c r="M58" s="19" t="str">
        <f>IFERROR(__xludf.DUMMYFUNCTION("IFERROR(INDEX(FILTER('Chi tiết từng link'!$E$2:$E$2505,'Chi tiết từng link'!$B$2:$B$2505=$D58,'Chi tiết từng link'!$F$2:$F$2505&lt;&gt;""CẦN SOÁT""),5),"""")"),"cách tính lãi vay ngân hàng")</f>
        <v>cách tính lãi vay ngân hàng</v>
      </c>
      <c r="N58" s="17" t="str">
        <f>IFERROR(__xludf.DUMMYFUNCTION("IFERROR(INDEX(FILTER('Chi tiết từng link'!$D$2:$D$2505,'Chi tiết từng link'!$B$2:$B$2505=$D58,'Chi tiết từng link'!$F$2:$F$2505&lt;&gt;""CẦN SOÁT""),5),"""")"),"https://techcombank.com/thong-tin/blog/vay-tra-gop")</f>
        <v>https://techcombank.com/thong-tin/blog/vay-tra-gop</v>
      </c>
      <c r="O58" s="11">
        <f>COUNTIFS('Chi tiết từng link'!$B$2:$B$2505,$D58,'Chi tiết từng link'!$F$2:$F$2505,"&lt;&gt;CẦN SOÁT")</f>
        <v>5</v>
      </c>
      <c r="P58" s="23" t="s">
        <v>65</v>
      </c>
      <c r="Q58" s="23" t="b">
        <v>0</v>
      </c>
      <c r="R58" s="17" t="str">
        <f>IF(COUNTIFS('Chi tiết từng link'!$B$2:$B$2505,$D58,'Chi tiết từng link'!$F$2:$F$2505,"CẦN SOÁT")&gt;0,"Còn "&amp;COUNTIFS('Chi tiết từng link'!$B$2:$B$2505,$D58,'Chi tiết từng link'!$F$2:$F$2505,"CẦN SOÁT")&amp;" gợi ý cần soát ở tab Chi tiết từng link","")</f>
        <v>Còn 61 gợi ý cần soát ở tab Chi tiết từng link</v>
      </c>
    </row>
    <row r="59" ht="18.0" customHeight="1">
      <c r="A59" s="11">
        <f t="shared" si="1"/>
        <v>58</v>
      </c>
      <c r="B59" s="17" t="str">
        <f t="array" ref="B59">INDEX('Báo cáo 75 trang đích'!$C$2:$C$76,$A59)</f>
        <v>Secured Lending</v>
      </c>
      <c r="C59" s="18" t="s">
        <v>347</v>
      </c>
      <c r="D59" s="17" t="str">
        <f t="array" ref="D59">INDEX('Báo cáo 75 trang đích'!$B$2:$B$76,$A59)</f>
        <v>https://techcombank.com/thong-tin/blog/lai-suat-vay-the-chap-so-do</v>
      </c>
      <c r="E59" s="19" t="str">
        <f>IFERROR(__xludf.DUMMYFUNCTION("IFERROR(INDEX(FILTER('Chi tiết từng link'!$E$2:$E$2505,'Chi tiết từng link'!$B$2:$B$2505=$D59,'Chi tiết từng link'!$F$2:$F$2505&lt;&gt;""CẦN SOÁT""),1),"""")"),"lãi suất vay thế chấp sổ đỏ")</f>
        <v>lãi suất vay thế chấp sổ đỏ</v>
      </c>
      <c r="F59" s="17" t="str">
        <f>IFERROR(__xludf.DUMMYFUNCTION("IFERROR(INDEX(FILTER('Chi tiết từng link'!$D$2:$D$2505,'Chi tiết từng link'!$B$2:$B$2505=$D59,'Chi tiết từng link'!$F$2:$F$2505&lt;&gt;""CẦN SOÁT""),1),"""")"),"https://techcombank.com/thong-tin/blog/han-muc-vay-the-chap-so-do")</f>
        <v>https://techcombank.com/thong-tin/blog/han-muc-vay-the-chap-so-do</v>
      </c>
      <c r="G59" s="19" t="str">
        <f>IFERROR(__xludf.DUMMYFUNCTION("IFERROR(INDEX(FILTER('Chi tiết từng link'!$E$2:$E$2505,'Chi tiết từng link'!$B$2:$B$2505=$D59,'Chi tiết từng link'!$F$2:$F$2505&lt;&gt;""CẦN SOÁT""),2),"""")"),"vay thế chấp sổ đỏ")</f>
        <v>vay thế chấp sổ đỏ</v>
      </c>
      <c r="H59" s="17" t="str">
        <f>IFERROR(__xludf.DUMMYFUNCTION("IFERROR(INDEX(FILTER('Chi tiết từng link'!$D$2:$D$2505,'Chi tiết từng link'!$B$2:$B$2505=$D59,'Chi tiết từng link'!$F$2:$F$2505&lt;&gt;""CẦN SOÁT""),2),"""")"),"https://techcombank.com/thong-tin/blog/vay-the-chap-so-hong")</f>
        <v>https://techcombank.com/thong-tin/blog/vay-the-chap-so-hong</v>
      </c>
      <c r="I59" s="19" t="str">
        <f>IFERROR(__xludf.DUMMYFUNCTION("IFERROR(INDEX(FILTER('Chi tiết từng link'!$E$2:$E$2505,'Chi tiết từng link'!$B$2:$B$2505=$D59,'Chi tiết từng link'!$F$2:$F$2505&lt;&gt;""CẦN SOÁT""),3),"""")"),"lãi suất vay thế chấp sổ hồng")</f>
        <v>lãi suất vay thế chấp sổ hồng</v>
      </c>
      <c r="J59" s="17" t="str">
        <f>IFERROR(__xludf.DUMMYFUNCTION("IFERROR(INDEX(FILTER('Chi tiết từng link'!$D$2:$D$2505,'Chi tiết từng link'!$B$2:$B$2505=$D59,'Chi tiết từng link'!$F$2:$F$2505&lt;&gt;""CẦN SOÁT""),3),"""")"),"https://techcombank.com/thong-tin/blog/kinh-nghiem-vay-the-chap-ngan-hang")</f>
        <v>https://techcombank.com/thong-tin/blog/kinh-nghiem-vay-the-chap-ngan-hang</v>
      </c>
      <c r="K59" s="19" t="str">
        <f>IFERROR(__xludf.DUMMYFUNCTION("IFERROR(INDEX(FILTER('Chi tiết từng link'!$E$2:$E$2505,'Chi tiết từng link'!$B$2:$B$2505=$D59,'Chi tiết từng link'!$F$2:$F$2505&lt;&gt;""CẦN SOÁT""),4),"""")"),"vay thế chấp sổ đỏ ngân hàng")</f>
        <v>vay thế chấp sổ đỏ ngân hàng</v>
      </c>
      <c r="L59" s="17" t="str">
        <f>IFERROR(__xludf.DUMMYFUNCTION("IFERROR(INDEX(FILTER('Chi tiết từng link'!$D$2:$D$2505,'Chi tiết từng link'!$B$2:$B$2505=$D59,'Chi tiết từng link'!$F$2:$F$2505&lt;&gt;""CẦN SOÁT""),4),"""")"),"https://techcombank.com/thong-tin/blog/nen-vay-the-chap-ngan-hang-nao")</f>
        <v>https://techcombank.com/thong-tin/blog/nen-vay-the-chap-ngan-hang-nao</v>
      </c>
      <c r="M59" s="19" t="str">
        <f>IFERROR(__xludf.DUMMYFUNCTION("IFERROR(INDEX(FILTER('Chi tiết từng link'!$E$2:$E$2505,'Chi tiết từng link'!$B$2:$B$2505=$D59,'Chi tiết từng link'!$F$2:$F$2505&lt;&gt;""CẦN SOÁT""),5),"""")"),"lãi suất vay thế chấp sổ đỏ")</f>
        <v>lãi suất vay thế chấp sổ đỏ</v>
      </c>
      <c r="N59" s="17" t="str">
        <f>IFERROR(__xludf.DUMMYFUNCTION("IFERROR(INDEX(FILTER('Chi tiết từng link'!$D$2:$D$2505,'Chi tiết từng link'!$B$2:$B$2505=$D59,'Chi tiết từng link'!$F$2:$F$2505&lt;&gt;""CẦN SOÁT""),5),"""")"),"https://techcombank.com/thong-tin/blog/vay-the-chap-la-gi")</f>
        <v>https://techcombank.com/thong-tin/blog/vay-the-chap-la-gi</v>
      </c>
      <c r="O59" s="11">
        <f>COUNTIFS('Chi tiết từng link'!$B$2:$B$2505,$D59,'Chi tiết từng link'!$F$2:$F$2505,"&lt;&gt;CẦN SOÁT")</f>
        <v>5</v>
      </c>
      <c r="P59" s="23" t="s">
        <v>65</v>
      </c>
      <c r="Q59" s="23" t="b">
        <v>0</v>
      </c>
      <c r="R59" s="17" t="str">
        <f>IF(COUNTIFS('Chi tiết từng link'!$B$2:$B$2505,$D59,'Chi tiết từng link'!$F$2:$F$2505,"CẦN SOÁT")&gt;0,"Còn "&amp;COUNTIFS('Chi tiết từng link'!$B$2:$B$2505,$D59,'Chi tiết từng link'!$F$2:$F$2505,"CẦN SOÁT")&amp;" gợi ý cần soát ở tab Chi tiết từng link","")</f>
        <v>Còn 27 gợi ý cần soát ở tab Chi tiết từng link</v>
      </c>
    </row>
    <row r="60" ht="18.0" customHeight="1">
      <c r="A60" s="11">
        <f t="shared" si="1"/>
        <v>59</v>
      </c>
      <c r="B60" s="17" t="str">
        <f t="array" ref="B60">INDEX('Báo cáo 75 trang đích'!$C$2:$C$76,$A60)</f>
        <v>Secured Lending</v>
      </c>
      <c r="C60" s="18" t="s">
        <v>352</v>
      </c>
      <c r="D60" s="17" t="str">
        <f t="array" ref="D60">INDEX('Báo cáo 75 trang đích'!$B$2:$B$76,$A60)</f>
        <v>https://techcombank.com/thong-tin/blog/ho-so-thu-tuc-xoa-the-chap</v>
      </c>
      <c r="E60" s="19" t="str">
        <f>IFERROR(__xludf.DUMMYFUNCTION("IFERROR(INDEX(FILTER('Chi tiết từng link'!$E$2:$E$2505,'Chi tiết từng link'!$B$2:$B$2505=$D60,'Chi tiết từng link'!$F$2:$F$2505&lt;&gt;""CẦN SOÁT""),1),"""")"),"thủ tục xóa thế chấp")</f>
        <v>thủ tục xóa thế chấp</v>
      </c>
      <c r="F60" s="17" t="str">
        <f>IFERROR(__xludf.DUMMYFUNCTION("IFERROR(INDEX(FILTER('Chi tiết từng link'!$D$2:$D$2505,'Chi tiết từng link'!$B$2:$B$2505=$D60,'Chi tiết từng link'!$F$2:$F$2505&lt;&gt;""CẦN SOÁT""),1),"""")"),"https://techcombank.com/thong-tin/blog/quy-trinh-tat-toan-khoan-vay-the-chap")</f>
        <v>https://techcombank.com/thong-tin/blog/quy-trinh-tat-toan-khoan-vay-the-chap</v>
      </c>
      <c r="G60" s="19" t="str">
        <f>IFERROR(__xludf.DUMMYFUNCTION("IFERROR(INDEX(FILTER('Chi tiết từng link'!$E$2:$E$2505,'Chi tiết từng link'!$B$2:$B$2505=$D60,'Chi tiết từng link'!$F$2:$F$2505&lt;&gt;""CẦN SOÁT""),2),"""")"),"hồ sơ thủ tục xóa thế chấp")</f>
        <v>hồ sơ thủ tục xóa thế chấp</v>
      </c>
      <c r="H60" s="17" t="str">
        <f>IFERROR(__xludf.DUMMYFUNCTION("IFERROR(INDEX(FILTER('Chi tiết từng link'!$D$2:$D$2505,'Chi tiết từng link'!$B$2:$B$2505=$D60,'Chi tiết từng link'!$F$2:$F$2505&lt;&gt;""CẦN SOÁT""),2),"""")"),"https://techcombank.com/thong-tin/blog/tat-toan")</f>
        <v>https://techcombank.com/thong-tin/blog/tat-toan</v>
      </c>
      <c r="I60" s="19" t="str">
        <f>IFERROR(__xludf.DUMMYFUNCTION("IFERROR(INDEX(FILTER('Chi tiết từng link'!$E$2:$E$2505,'Chi tiết từng link'!$B$2:$B$2505=$D60,'Chi tiết từng link'!$F$2:$F$2505&lt;&gt;""CẦN SOÁT""),3),"""")"),"xóa thế chấp sổ đỏ")</f>
        <v>xóa thế chấp sổ đỏ</v>
      </c>
      <c r="J60" s="17" t="str">
        <f>IFERROR(__xludf.DUMMYFUNCTION("IFERROR(INDEX(FILTER('Chi tiết từng link'!$D$2:$D$2505,'Chi tiết từng link'!$B$2:$B$2505=$D60,'Chi tiết từng link'!$F$2:$F$2505&lt;&gt;""CẦN SOÁT""),3),"""")"),"https://techcombank.com/thong-tin/blog/the-chap-la-gi")</f>
        <v>https://techcombank.com/thong-tin/blog/the-chap-la-gi</v>
      </c>
      <c r="K60" s="19" t="str">
        <f>IFERROR(__xludf.DUMMYFUNCTION("IFERROR(INDEX(FILTER('Chi tiết từng link'!$E$2:$E$2505,'Chi tiết từng link'!$B$2:$B$2505=$D60,'Chi tiết từng link'!$F$2:$F$2505&lt;&gt;""CẦN SOÁT""),4),"""")"),"thủ tục giải chấp sổ đỏ")</f>
        <v>thủ tục giải chấp sổ đỏ</v>
      </c>
      <c r="L60" s="17" t="str">
        <f>IFERROR(__xludf.DUMMYFUNCTION("IFERROR(INDEX(FILTER('Chi tiết từng link'!$D$2:$D$2505,'Chi tiết từng link'!$B$2:$B$2505=$D60,'Chi tiết từng link'!$F$2:$F$2505&lt;&gt;""CẦN SOÁT""),4),"""")"),"https://techcombank.com/thong-tin/blog/vay-the-chap-khong-tra-duoc")</f>
        <v>https://techcombank.com/thong-tin/blog/vay-the-chap-khong-tra-duoc</v>
      </c>
      <c r="M60" s="19" t="str">
        <f>IFERROR(__xludf.DUMMYFUNCTION("IFERROR(INDEX(FILTER('Chi tiết từng link'!$E$2:$E$2505,'Chi tiết từng link'!$B$2:$B$2505=$D60,'Chi tiết từng link'!$F$2:$F$2505&lt;&gt;""CẦN SOÁT""),5),"""")"),"thủ tục xóa thế chấp")</f>
        <v>thủ tục xóa thế chấp</v>
      </c>
      <c r="N60" s="17" t="str">
        <f>IFERROR(__xludf.DUMMYFUNCTION("IFERROR(INDEX(FILTER('Chi tiết từng link'!$D$2:$D$2505,'Chi tiết từng link'!$B$2:$B$2505=$D60,'Chi tiết từng link'!$F$2:$F$2505&lt;&gt;""CẦN SOÁT""),5),"""")"),"https://techcombank.com/thong-tin/blog/giai-ngan-vay-the-chap")</f>
        <v>https://techcombank.com/thong-tin/blog/giai-ngan-vay-the-chap</v>
      </c>
      <c r="O60" s="11">
        <f>COUNTIFS('Chi tiết từng link'!$B$2:$B$2505,$D60,'Chi tiết từng link'!$F$2:$F$2505,"&lt;&gt;CẦN SOÁT")</f>
        <v>5</v>
      </c>
      <c r="P60" s="23" t="s">
        <v>65</v>
      </c>
      <c r="Q60" s="23" t="b">
        <v>0</v>
      </c>
      <c r="R60" s="17" t="str">
        <f>IF(COUNTIFS('Chi tiết từng link'!$B$2:$B$2505,$D60,'Chi tiết từng link'!$F$2:$F$2505,"CẦN SOÁT")&gt;0,"Còn "&amp;COUNTIFS('Chi tiết từng link'!$B$2:$B$2505,$D60,'Chi tiết từng link'!$F$2:$F$2505,"CẦN SOÁT")&amp;" gợi ý cần soát ở tab Chi tiết từng link","")</f>
        <v>Còn 33 gợi ý cần soát ở tab Chi tiết từng link</v>
      </c>
    </row>
    <row r="61" ht="18.0" customHeight="1">
      <c r="A61" s="11">
        <f t="shared" si="1"/>
        <v>60</v>
      </c>
      <c r="B61" s="17" t="str">
        <f t="array" ref="B61">INDEX('Báo cáo 75 trang đích'!$C$2:$C$76,$A61)</f>
        <v>TD</v>
      </c>
      <c r="C61" s="18" t="s">
        <v>358</v>
      </c>
      <c r="D61" s="17" t="str">
        <f t="array" ref="D61">INDEX('Báo cáo 75 trang đích'!$B$2:$B$76,$A61)</f>
        <v>https://techcombank.com/thong-tin/blog/lai-suat-tiet-kiem</v>
      </c>
      <c r="E61" s="19" t="str">
        <f>IFERROR(__xludf.DUMMYFUNCTION("IFERROR(INDEX(FILTER('Chi tiết từng link'!$E$2:$E$2505,'Chi tiết từng link'!$B$2:$B$2505=$D61,'Chi tiết từng link'!$F$2:$F$2505&lt;&gt;""CẦN SOÁT""),1),"""")"),"lãi suất tiết kiệm")</f>
        <v>lãi suất tiết kiệm</v>
      </c>
      <c r="F61" s="17" t="str">
        <f>IFERROR(__xludf.DUMMYFUNCTION("IFERROR(INDEX(FILTER('Chi tiết từng link'!$D$2:$D$2505,'Chi tiết từng link'!$B$2:$B$2505=$D61,'Chi tiết từng link'!$F$2:$F$2505&lt;&gt;""CẦN SOÁT""),1),"""")"),"https://techcombank.com/thong-tin/blog/nen-gui-tiet-kiem-6-thang-hay-1-nam")</f>
        <v>https://techcombank.com/thong-tin/blog/nen-gui-tiet-kiem-6-thang-hay-1-nam</v>
      </c>
      <c r="G61" s="19" t="str">
        <f>IFERROR(__xludf.DUMMYFUNCTION("IFERROR(INDEX(FILTER('Chi tiết từng link'!$E$2:$E$2505,'Chi tiết từng link'!$B$2:$B$2505=$D61,'Chi tiết từng link'!$F$2:$F$2505&lt;&gt;""CẦN SOÁT""),2),"""")"),"lãi suất gửi tiết kiệm")</f>
        <v>lãi suất gửi tiết kiệm</v>
      </c>
      <c r="H61" s="17" t="str">
        <f>IFERROR(__xludf.DUMMYFUNCTION("IFERROR(INDEX(FILTER('Chi tiết từng link'!$D$2:$D$2505,'Chi tiết từng link'!$B$2:$B$2505=$D61,'Chi tiết từng link'!$F$2:$F$2505&lt;&gt;""CẦN SOÁT""),2),"""")"),"https://techcombank.com/thong-tin/blog/tai-sao-gui-tiet-kiem-online-lai-suat-cao-hon")</f>
        <v>https://techcombank.com/thong-tin/blog/tai-sao-gui-tiet-kiem-online-lai-suat-cao-hon</v>
      </c>
      <c r="I61" s="19" t="str">
        <f>IFERROR(__xludf.DUMMYFUNCTION("IFERROR(INDEX(FILTER('Chi tiết từng link'!$E$2:$E$2505,'Chi tiết từng link'!$B$2:$B$2505=$D61,'Chi tiết từng link'!$F$2:$F$2505&lt;&gt;""CẦN SOÁT""),3),"""")"),"lãi suất tiết kiệm các ngân hàng")</f>
        <v>lãi suất tiết kiệm các ngân hàng</v>
      </c>
      <c r="J61" s="17" t="str">
        <f>IFERROR(__xludf.DUMMYFUNCTION("IFERROR(INDEX(FILTER('Chi tiết từng link'!$D$2:$D$2505,'Chi tiết từng link'!$B$2:$B$2505=$D61,'Chi tiết từng link'!$F$2:$F$2505&lt;&gt;""CẦN SOÁT""),3),"""")"),"https://techcombank.com/thong-tin/blog/co-nen-gui-tiet-kiem-ngan-hang")</f>
        <v>https://techcombank.com/thong-tin/blog/co-nen-gui-tiet-kiem-ngan-hang</v>
      </c>
      <c r="K61" s="19" t="str">
        <f>IFERROR(__xludf.DUMMYFUNCTION("IFERROR(INDEX(FILTER('Chi tiết từng link'!$E$2:$E$2505,'Chi tiết từng link'!$B$2:$B$2505=$D61,'Chi tiết từng link'!$F$2:$F$2505&lt;&gt;""CẦN SOÁT""),4),"""")"),"lãi suất tiết kiệm")</f>
        <v>lãi suất tiết kiệm</v>
      </c>
      <c r="L61" s="17" t="str">
        <f>IFERROR(__xludf.DUMMYFUNCTION("IFERROR(INDEX(FILTER('Chi tiết từng link'!$D$2:$D$2505,'Chi tiết từng link'!$B$2:$B$2505=$D61,'Chi tiết từng link'!$F$2:$F$2505&lt;&gt;""CẦN SOÁT""),4),"""")"),"https://techcombank.com/thong-tin/blog/tien-gui-co-ky-han")</f>
        <v>https://techcombank.com/thong-tin/blog/tien-gui-co-ky-han</v>
      </c>
      <c r="M61" s="19" t="str">
        <f>IFERROR(__xludf.DUMMYFUNCTION("IFERROR(INDEX(FILTER('Chi tiết từng link'!$E$2:$E$2505,'Chi tiết từng link'!$B$2:$B$2505=$D61,'Chi tiết từng link'!$F$2:$F$2505&lt;&gt;""CẦN SOÁT""),5),"""")"),"lãi suất gửi tiết kiệm")</f>
        <v>lãi suất gửi tiết kiệm</v>
      </c>
      <c r="N61" s="17" t="str">
        <f>IFERROR(__xludf.DUMMYFUNCTION("IFERROR(INDEX(FILTER('Chi tiết từng link'!$D$2:$D$2505,'Chi tiết từng link'!$B$2:$B$2505=$D61,'Chi tiết từng link'!$F$2:$F$2505&lt;&gt;""CẦN SOÁT""),5),"""")"),"https://techcombank.com/thong-tin/blog/so-sanh-gui-tiet-kiem-online-va-tai-quay")</f>
        <v>https://techcombank.com/thong-tin/blog/so-sanh-gui-tiet-kiem-online-va-tai-quay</v>
      </c>
      <c r="O61" s="11">
        <f>COUNTIFS('Chi tiết từng link'!$B$2:$B$2505,$D61,'Chi tiết từng link'!$F$2:$F$2505,"&lt;&gt;CẦN SOÁT")</f>
        <v>5</v>
      </c>
      <c r="P61" s="23" t="s">
        <v>65</v>
      </c>
      <c r="Q61" s="23" t="b">
        <v>0</v>
      </c>
      <c r="R61" s="17" t="str">
        <f>IF(COUNTIFS('Chi tiết từng link'!$B$2:$B$2505,$D61,'Chi tiết từng link'!$F$2:$F$2505,"CẦN SOÁT")&gt;0,"Còn "&amp;COUNTIFS('Chi tiết từng link'!$B$2:$B$2505,$D61,'Chi tiết từng link'!$F$2:$F$2505,"CẦN SOÁT")&amp;" gợi ý cần soát ở tab Chi tiết từng link","")</f>
        <v>Còn 37 gợi ý cần soát ở tab Chi tiết từng link</v>
      </c>
    </row>
    <row r="62" ht="18.0" customHeight="1">
      <c r="A62" s="11">
        <f t="shared" si="1"/>
        <v>61</v>
      </c>
      <c r="B62" s="17" t="str">
        <f t="array" ref="B62">INDEX('Báo cáo 75 trang đích'!$C$2:$C$76,$A62)</f>
        <v>TD</v>
      </c>
      <c r="C62" s="18" t="s">
        <v>364</v>
      </c>
      <c r="D62" s="17" t="str">
        <f t="array" ref="D62">INDEX('Báo cáo 75 trang đích'!$B$2:$B$76,$A62)</f>
        <v>https://techcombank.com/thong-tin/blog/cach-tinh-lai-suat-tien-gui-tiet-kiem</v>
      </c>
      <c r="E62" s="19" t="str">
        <f>IFERROR(__xludf.DUMMYFUNCTION("IFERROR(INDEX(FILTER('Chi tiết từng link'!$E$2:$E$2505,'Chi tiết từng link'!$B$2:$B$2505=$D62,'Chi tiết từng link'!$F$2:$F$2505&lt;&gt;""CẦN SOÁT""),1),"""")"),"cách tính lãi suất tiền gửi tiết kiệm")</f>
        <v>cách tính lãi suất tiền gửi tiết kiệm</v>
      </c>
      <c r="F62" s="17" t="str">
        <f>IFERROR(__xludf.DUMMYFUNCTION("IFERROR(INDEX(FILTER('Chi tiết từng link'!$D$2:$D$2505,'Chi tiết từng link'!$B$2:$B$2505=$D62,'Chi tiết từng link'!$F$2:$F$2505&lt;&gt;""CẦN SOÁT""),1),"""")"),"https://techcombank.com/thong-tin/blog/lai-kep-ngan-hang")</f>
        <v>https://techcombank.com/thong-tin/blog/lai-kep-ngan-hang</v>
      </c>
      <c r="G62" s="19" t="str">
        <f>IFERROR(__xludf.DUMMYFUNCTION("IFERROR(INDEX(FILTER('Chi tiết từng link'!$E$2:$E$2505,'Chi tiết từng link'!$B$2:$B$2505=$D62,'Chi tiết từng link'!$F$2:$F$2505&lt;&gt;""CẦN SOÁT""),2),"""")"),"công thức tính lãi tiết kiệm")</f>
        <v>công thức tính lãi tiết kiệm</v>
      </c>
      <c r="H62" s="17" t="str">
        <f>IFERROR(__xludf.DUMMYFUNCTION("IFERROR(INDEX(FILTER('Chi tiết từng link'!$D$2:$D$2505,'Chi tiết từng link'!$B$2:$B$2505=$D62,'Chi tiết từng link'!$F$2:$F$2505&lt;&gt;""CẦN SOÁT""),2),"""")"),"https://techcombank.com/thong-tin/blog/gui-tiet-kiem-lay-lai-hang-thang")</f>
        <v>https://techcombank.com/thong-tin/blog/gui-tiet-kiem-lay-lai-hang-thang</v>
      </c>
      <c r="I62" s="19" t="str">
        <f>IFERROR(__xludf.DUMMYFUNCTION("IFERROR(INDEX(FILTER('Chi tiết từng link'!$E$2:$E$2505,'Chi tiết từng link'!$B$2:$B$2505=$D62,'Chi tiết từng link'!$F$2:$F$2505&lt;&gt;""CẦN SOÁT""),3),"""")"),"cách tính lãi suất tiền gửi tiết kiệm")</f>
        <v>cách tính lãi suất tiền gửi tiết kiệm</v>
      </c>
      <c r="J62" s="17" t="str">
        <f>IFERROR(__xludf.DUMMYFUNCTION("IFERROR(INDEX(FILTER('Chi tiết từng link'!$D$2:$D$2505,'Chi tiết từng link'!$B$2:$B$2505=$D62,'Chi tiết từng link'!$F$2:$F$2505&lt;&gt;""CẦN SOÁT""),3),"""")"),"https://techcombank.com/thong-tin/blog/gui-tiet-kiem-hang-thang")</f>
        <v>https://techcombank.com/thong-tin/blog/gui-tiet-kiem-hang-thang</v>
      </c>
      <c r="K62" s="19" t="str">
        <f>IFERROR(__xludf.DUMMYFUNCTION("IFERROR(INDEX(FILTER('Chi tiết từng link'!$E$2:$E$2505,'Chi tiết từng link'!$B$2:$B$2505=$D62,'Chi tiết từng link'!$F$2:$F$2505&lt;&gt;""CẦN SOÁT""),4),"""")"),"công thức tính lãi tiết kiệm")</f>
        <v>công thức tính lãi tiết kiệm</v>
      </c>
      <c r="L62" s="17" t="str">
        <f>IFERROR(__xludf.DUMMYFUNCTION("IFERROR(INDEX(FILTER('Chi tiết từng link'!$D$2:$D$2505,'Chi tiết từng link'!$B$2:$B$2505=$D62,'Chi tiết từng link'!$F$2:$F$2505&lt;&gt;""CẦN SOÁT""),4),"""")"),"https://techcombank.com/thong-tin/blog/tien-gui-khong-ky-han")</f>
        <v>https://techcombank.com/thong-tin/blog/tien-gui-khong-ky-han</v>
      </c>
      <c r="M62" s="19" t="str">
        <f>IFERROR(__xludf.DUMMYFUNCTION("IFERROR(INDEX(FILTER('Chi tiết từng link'!$E$2:$E$2505,'Chi tiết từng link'!$B$2:$B$2505=$D62,'Chi tiết từng link'!$F$2:$F$2505&lt;&gt;""CẦN SOÁT""),5),"""")"),"cách tính lãi suất tiền gửi tiết kiệm")</f>
        <v>cách tính lãi suất tiền gửi tiết kiệm</v>
      </c>
      <c r="N62" s="17" t="str">
        <f>IFERROR(__xludf.DUMMYFUNCTION("IFERROR(INDEX(FILTER('Chi tiết từng link'!$D$2:$D$2505,'Chi tiết từng link'!$B$2:$B$2505=$D62,'Chi tiết từng link'!$F$2:$F$2505&lt;&gt;""CẦN SOÁT""),5),"""")"),"https://techcombank.com/thong-tin/blog/dao-han-la-gi")</f>
        <v>https://techcombank.com/thong-tin/blog/dao-han-la-gi</v>
      </c>
      <c r="O62" s="11">
        <f>COUNTIFS('Chi tiết từng link'!$B$2:$B$2505,$D62,'Chi tiết từng link'!$F$2:$F$2505,"&lt;&gt;CẦN SOÁT")</f>
        <v>5</v>
      </c>
      <c r="P62" s="23" t="s">
        <v>65</v>
      </c>
      <c r="Q62" s="23" t="b">
        <v>0</v>
      </c>
      <c r="R62" s="17" t="str">
        <f>IF(COUNTIFS('Chi tiết từng link'!$B$2:$B$2505,$D62,'Chi tiết từng link'!$F$2:$F$2505,"CẦN SOÁT")&gt;0,"Còn "&amp;COUNTIFS('Chi tiết từng link'!$B$2:$B$2505,$D62,'Chi tiết từng link'!$F$2:$F$2505,"CẦN SOÁT")&amp;" gợi ý cần soát ở tab Chi tiết từng link","")</f>
        <v>Còn 48 gợi ý cần soát ở tab Chi tiết từng link</v>
      </c>
    </row>
    <row r="63" ht="18.0" customHeight="1">
      <c r="A63" s="11">
        <f t="shared" si="1"/>
        <v>62</v>
      </c>
      <c r="B63" s="17" t="str">
        <f t="array" ref="B63">INDEX('Báo cáo 75 trang đích'!$C$2:$C$76,$A63)</f>
        <v>TD</v>
      </c>
      <c r="C63" s="18" t="s">
        <v>371</v>
      </c>
      <c r="D63" s="17" t="str">
        <f t="array" ref="D63">INDEX('Báo cáo 75 trang đích'!$B$2:$B$76,$A63)</f>
        <v>https://techcombank.com/thong-tin/blog/rut-tien-tiet-kiem-truoc-thoi-han</v>
      </c>
      <c r="E63" s="19" t="str">
        <f>IFERROR(__xludf.DUMMYFUNCTION("IFERROR(INDEX(FILTER('Chi tiết từng link'!$E$2:$E$2505,'Chi tiết từng link'!$B$2:$B$2505=$D63,'Chi tiết từng link'!$F$2:$F$2505&lt;&gt;""CẦN SOÁT""),1),"""")"),"rút tiền tiết kiệm trước thời hạn")</f>
        <v>rút tiền tiết kiệm trước thời hạn</v>
      </c>
      <c r="F63" s="17" t="str">
        <f>IFERROR(__xludf.DUMMYFUNCTION("IFERROR(INDEX(FILTER('Chi tiết từng link'!$D$2:$D$2505,'Chi tiết từng link'!$B$2:$B$2505=$D63,'Chi tiết từng link'!$F$2:$F$2505&lt;&gt;""CẦN SOÁT""),1),"""")"),"https://techcombank.com/thong-tin/blog/tat-toan-so-tiet-kiem")</f>
        <v>https://techcombank.com/thong-tin/blog/tat-toan-so-tiet-kiem</v>
      </c>
      <c r="G63" s="19" t="str">
        <f>IFERROR(__xludf.DUMMYFUNCTION("IFERROR(INDEX(FILTER('Chi tiết từng link'!$E$2:$E$2505,'Chi tiết từng link'!$B$2:$B$2505=$D63,'Chi tiết từng link'!$F$2:$F$2505&lt;&gt;""CẦN SOÁT""),2),"""")"),"rút tiết kiệm trước hạn")</f>
        <v>rút tiết kiệm trước hạn</v>
      </c>
      <c r="H63" s="17" t="str">
        <f>IFERROR(__xludf.DUMMYFUNCTION("IFERROR(INDEX(FILTER('Chi tiết từng link'!$D$2:$D$2505,'Chi tiết từng link'!$B$2:$B$2505=$D63,'Chi tiết từng link'!$F$2:$F$2505&lt;&gt;""CẦN SOÁT""),2),"""")"),"https://techcombank.com/thong-tin/blog/gui-tiet-kiem-online-co-rut-truoc-han-duoc-khong")</f>
        <v>https://techcombank.com/thong-tin/blog/gui-tiet-kiem-online-co-rut-truoc-han-duoc-khong</v>
      </c>
      <c r="I63" s="19" t="str">
        <f>IFERROR(__xludf.DUMMYFUNCTION("IFERROR(INDEX(FILTER('Chi tiết từng link'!$E$2:$E$2505,'Chi tiết từng link'!$B$2:$B$2505=$D63,'Chi tiết từng link'!$F$2:$F$2505&lt;&gt;""CẦN SOÁT""),3),"""")"),"rút tiền tiết kiệm trước thời hạn")</f>
        <v>rút tiền tiết kiệm trước thời hạn</v>
      </c>
      <c r="J63" s="17" t="str">
        <f>IFERROR(__xludf.DUMMYFUNCTION("IFERROR(INDEX(FILTER('Chi tiết từng link'!$D$2:$D$2505,'Chi tiết từng link'!$B$2:$B$2505=$D63,'Chi tiết từng link'!$F$2:$F$2505&lt;&gt;""CẦN SOÁT""),3),"""")"),"https://techcombank.com/thong-tin/blog/vay-thau-chi-bang-so-tiet-kiem")</f>
        <v>https://techcombank.com/thong-tin/blog/vay-thau-chi-bang-so-tiet-kiem</v>
      </c>
      <c r="K63" s="19" t="str">
        <f>IFERROR(__xludf.DUMMYFUNCTION("IFERROR(INDEX(FILTER('Chi tiết từng link'!$E$2:$E$2505,'Chi tiết từng link'!$B$2:$B$2505=$D63,'Chi tiết từng link'!$F$2:$F$2505&lt;&gt;""CẦN SOÁT""),4),"""")"),"rút tiết kiệm trước hạn")</f>
        <v>rút tiết kiệm trước hạn</v>
      </c>
      <c r="L63" s="17" t="str">
        <f>IFERROR(__xludf.DUMMYFUNCTION("IFERROR(INDEX(FILTER('Chi tiết từng link'!$D$2:$D$2505,'Chi tiết từng link'!$B$2:$B$2505=$D63,'Chi tiết từng link'!$F$2:$F$2505&lt;&gt;""CẦN SOÁT""),4),"""")"),"https://techcombank.com/thong-tin/blog/mat-so-tiet-kiem")</f>
        <v>https://techcombank.com/thong-tin/blog/mat-so-tiet-kiem</v>
      </c>
      <c r="M63" s="19" t="str">
        <f>IFERROR(__xludf.DUMMYFUNCTION("IFERROR(INDEX(FILTER('Chi tiết từng link'!$E$2:$E$2505,'Chi tiết từng link'!$B$2:$B$2505=$D63,'Chi tiết từng link'!$F$2:$F$2505&lt;&gt;""CẦN SOÁT""),5),"""")"),"rút tiền tiết kiệm trước thời hạn")</f>
        <v>rút tiền tiết kiệm trước thời hạn</v>
      </c>
      <c r="N63" s="17" t="str">
        <f>IFERROR(__xludf.DUMMYFUNCTION("IFERROR(INDEX(FILTER('Chi tiết từng link'!$D$2:$D$2505,'Chi tiết từng link'!$B$2:$B$2505=$D63,'Chi tiết từng link'!$F$2:$F$2505&lt;&gt;""CẦN SOÁT""),5),"""")"),"https://techcombank.com/thong-tin/blog/gui-them-tien-vao-so-tiet-kiem")</f>
        <v>https://techcombank.com/thong-tin/blog/gui-them-tien-vao-so-tiet-kiem</v>
      </c>
      <c r="O63" s="11">
        <f>COUNTIFS('Chi tiết từng link'!$B$2:$B$2505,$D63,'Chi tiết từng link'!$F$2:$F$2505,"&lt;&gt;CẦN SOÁT")</f>
        <v>5</v>
      </c>
      <c r="P63" s="23" t="s">
        <v>65</v>
      </c>
      <c r="Q63" s="23" t="b">
        <v>0</v>
      </c>
      <c r="R63" s="17" t="str">
        <f>IF(COUNTIFS('Chi tiết từng link'!$B$2:$B$2505,$D63,'Chi tiết từng link'!$F$2:$F$2505,"CẦN SOÁT")&gt;0,"Còn "&amp;COUNTIFS('Chi tiết từng link'!$B$2:$B$2505,$D63,'Chi tiết từng link'!$F$2:$F$2505,"CẦN SOÁT")&amp;" gợi ý cần soát ở tab Chi tiết từng link","")</f>
        <v>Còn 14 gợi ý cần soát ở tab Chi tiết từng link</v>
      </c>
    </row>
    <row r="64" ht="18.0" customHeight="1">
      <c r="A64" s="11">
        <f t="shared" si="1"/>
        <v>63</v>
      </c>
      <c r="B64" s="17" t="str">
        <f t="array" ref="B64">INDEX('Báo cáo 75 trang đích'!$C$2:$C$76,$A64)</f>
        <v>TD</v>
      </c>
      <c r="C64" s="18" t="s">
        <v>377</v>
      </c>
      <c r="D64" s="17" t="str">
        <f t="array" ref="D64">INDEX('Báo cáo 75 trang đích'!$B$2:$B$76,$A64)</f>
        <v>https://techcombank.com/thong-tin/blog/so-tiet-kiem-ngan-hang</v>
      </c>
      <c r="E64" s="19" t="str">
        <f>IFERROR(__xludf.DUMMYFUNCTION("IFERROR(INDEX(FILTER('Chi tiết từng link'!$E$2:$E$2505,'Chi tiết từng link'!$B$2:$B$2505=$D64,'Chi tiết từng link'!$F$2:$F$2505&lt;&gt;""CẦN SOÁT""),1),"""")"),"sổ tiết kiệm ngân hàng")</f>
        <v>sổ tiết kiệm ngân hàng</v>
      </c>
      <c r="F64" s="17" t="str">
        <f>IFERROR(__xludf.DUMMYFUNCTION("IFERROR(INDEX(FILTER('Chi tiết từng link'!$D$2:$D$2505,'Chi tiết từng link'!$B$2:$B$2505=$D64,'Chi tiết từng link'!$F$2:$F$2505&lt;&gt;""CẦN SOÁT""),1),"""")"),"https://techcombank.com/thong-tin/blog/mo-so-tiet-kiem-can-bao-nhieu-tien")</f>
        <v>https://techcombank.com/thong-tin/blog/mo-so-tiet-kiem-can-bao-nhieu-tien</v>
      </c>
      <c r="G64" s="19" t="str">
        <f>IFERROR(__xludf.DUMMYFUNCTION("IFERROR(INDEX(FILTER('Chi tiết từng link'!$E$2:$E$2505,'Chi tiết từng link'!$B$2:$B$2505=$D64,'Chi tiết từng link'!$F$2:$F$2505&lt;&gt;""CẦN SOÁT""),2),"""")"),"sổ tiết kiệm")</f>
        <v>sổ tiết kiệm</v>
      </c>
      <c r="H64" s="17" t="str">
        <f>IFERROR(__xludf.DUMMYFUNCTION("IFERROR(INDEX(FILTER('Chi tiết từng link'!$D$2:$D$2505,'Chi tiết từng link'!$B$2:$B$2505=$D64,'Chi tiết từng link'!$F$2:$F$2505&lt;&gt;""CẦN SOÁT""),2),"""")"),"https://techcombank.com/thong-tin/blog/tai-khoan-tiet-kiem")</f>
        <v>https://techcombank.com/thong-tin/blog/tai-khoan-tiet-kiem</v>
      </c>
      <c r="I64" s="19" t="str">
        <f>IFERROR(__xludf.DUMMYFUNCTION("IFERROR(INDEX(FILTER('Chi tiết từng link'!$E$2:$E$2505,'Chi tiết từng link'!$B$2:$B$2505=$D64,'Chi tiết từng link'!$F$2:$F$2505&lt;&gt;""CẦN SOÁT""),3),"""")"),"sổ tiết kiệm ngân hàng")</f>
        <v>sổ tiết kiệm ngân hàng</v>
      </c>
      <c r="J64" s="17" t="str">
        <f>IFERROR(__xludf.DUMMYFUNCTION("IFERROR(INDEX(FILTER('Chi tiết từng link'!$D$2:$D$2505,'Chi tiết từng link'!$B$2:$B$2505=$D64,'Chi tiết từng link'!$F$2:$F$2505&lt;&gt;""CẦN SOÁT""),3),"""")"),"https://techcombank.com/thong-tin/blog/mat-so-tiet-kiem")</f>
        <v>https://techcombank.com/thong-tin/blog/mat-so-tiet-kiem</v>
      </c>
      <c r="K64" s="19" t="str">
        <f>IFERROR(__xludf.DUMMYFUNCTION("IFERROR(INDEX(FILTER('Chi tiết từng link'!$E$2:$E$2505,'Chi tiết từng link'!$B$2:$B$2505=$D64,'Chi tiết từng link'!$F$2:$F$2505&lt;&gt;""CẦN SOÁT""),4),"""")"),"sổ tiết kiệm")</f>
        <v>sổ tiết kiệm</v>
      </c>
      <c r="L64" s="17" t="str">
        <f>IFERROR(__xludf.DUMMYFUNCTION("IFERROR(INDEX(FILTER('Chi tiết từng link'!$D$2:$D$2505,'Chi tiết từng link'!$B$2:$B$2505=$D64,'Chi tiết từng link'!$F$2:$F$2505&lt;&gt;""CẦN SOÁT""),4),"""")"),"https://techcombank.com/thong-tin/blog/gui-them-tien-vao-so-tiet-kiem")</f>
        <v>https://techcombank.com/thong-tin/blog/gui-them-tien-vao-so-tiet-kiem</v>
      </c>
      <c r="M64" s="19" t="str">
        <f>IFERROR(__xludf.DUMMYFUNCTION("IFERROR(INDEX(FILTER('Chi tiết từng link'!$E$2:$E$2505,'Chi tiết từng link'!$B$2:$B$2505=$D64,'Chi tiết từng link'!$F$2:$F$2505&lt;&gt;""CẦN SOÁT""),5),"""")"),"sổ tiết kiệm ngân hàng")</f>
        <v>sổ tiết kiệm ngân hàng</v>
      </c>
      <c r="N64" s="17" t="str">
        <f>IFERROR(__xludf.DUMMYFUNCTION("IFERROR(INDEX(FILTER('Chi tiết từng link'!$D$2:$D$2505,'Chi tiết từng link'!$B$2:$B$2505=$D64,'Chi tiết từng link'!$F$2:$F$2505&lt;&gt;""CẦN SOÁT""),5),"""")"),"https://techcombank.com/thong-tin/blog/quy-trinh-gui-tien-tiet-kiem")</f>
        <v>https://techcombank.com/thong-tin/blog/quy-trinh-gui-tien-tiet-kiem</v>
      </c>
      <c r="O64" s="11">
        <f>COUNTIFS('Chi tiết từng link'!$B$2:$B$2505,$D64,'Chi tiết từng link'!$F$2:$F$2505,"&lt;&gt;CẦN SOÁT")</f>
        <v>5</v>
      </c>
      <c r="P64" s="23" t="s">
        <v>65</v>
      </c>
      <c r="Q64" s="23" t="b">
        <v>0</v>
      </c>
      <c r="R64" s="17" t="str">
        <f>IF(COUNTIFS('Chi tiết từng link'!$B$2:$B$2505,$D64,'Chi tiết từng link'!$F$2:$F$2505,"CẦN SOÁT")&gt;0,"Còn "&amp;COUNTIFS('Chi tiết từng link'!$B$2:$B$2505,$D64,'Chi tiết từng link'!$F$2:$F$2505,"CẦN SOÁT")&amp;" gợi ý cần soát ở tab Chi tiết từng link","")</f>
        <v>Còn 36 gợi ý cần soát ở tab Chi tiết từng link</v>
      </c>
    </row>
    <row r="65" ht="18.0" customHeight="1">
      <c r="A65" s="11">
        <f t="shared" si="1"/>
        <v>64</v>
      </c>
      <c r="B65" s="17" t="str">
        <f t="array" ref="B65">INDEX('Báo cáo 75 trang đích'!$C$2:$C$76,$A65)</f>
        <v>TD</v>
      </c>
      <c r="C65" s="18" t="s">
        <v>385</v>
      </c>
      <c r="D65" s="17" t="str">
        <f t="array" ref="D65">INDEX('Báo cáo 75 trang đích'!$B$2:$B$76,$A65)</f>
        <v>https://techcombank.com/thong-tin/blog/cach-tiet-kiem-tien</v>
      </c>
      <c r="E65" s="19" t="str">
        <f>IFERROR(__xludf.DUMMYFUNCTION("IFERROR(INDEX(FILTER('Chi tiết từng link'!$E$2:$E$2505,'Chi tiết từng link'!$B$2:$B$2505=$D65,'Chi tiết từng link'!$F$2:$F$2505&lt;&gt;""CẦN SOÁT""),1),"""")"),"cách tiết kiệm tiền")</f>
        <v>cách tiết kiệm tiền</v>
      </c>
      <c r="F65" s="17" t="str">
        <f>IFERROR(__xludf.DUMMYFUNCTION("IFERROR(INDEX(FILTER('Chi tiết từng link'!$D$2:$D$2505,'Chi tiết từng link'!$B$2:$B$2505=$D65,'Chi tiết từng link'!$F$2:$F$2505&lt;&gt;""CẦN SOÁT""),1),"""")"),"https://techcombank.com/thong-tin/blog/cach-tiet-kiem-tien-theo-tuan")</f>
        <v>https://techcombank.com/thong-tin/blog/cach-tiet-kiem-tien-theo-tuan</v>
      </c>
      <c r="G65" s="19" t="str">
        <f>IFERROR(__xludf.DUMMYFUNCTION("IFERROR(INDEX(FILTER('Chi tiết từng link'!$E$2:$E$2505,'Chi tiết từng link'!$B$2:$B$2505=$D65,'Chi tiết từng link'!$F$2:$F$2505&lt;&gt;""CẦN SOÁT""),2),"""")"),"cách tiết kiệm tiền hiệu quả")</f>
        <v>cách tiết kiệm tiền hiệu quả</v>
      </c>
      <c r="H65" s="17" t="str">
        <f>IFERROR(__xludf.DUMMYFUNCTION("IFERROR(INDEX(FILTER('Chi tiết từng link'!$D$2:$D$2505,'Chi tiết từng link'!$B$2:$B$2505=$D65,'Chi tiết từng link'!$F$2:$F$2505&lt;&gt;""CẦN SOÁT""),2),"""")"),"https://techcombank.com/thong-tin/blog/tiet-kiem-tien-moi-ngay")</f>
        <v>https://techcombank.com/thong-tin/blog/tiet-kiem-tien-moi-ngay</v>
      </c>
      <c r="I65" s="19" t="str">
        <f>IFERROR(__xludf.DUMMYFUNCTION("IFERROR(INDEX(FILTER('Chi tiết từng link'!$E$2:$E$2505,'Chi tiết từng link'!$B$2:$B$2505=$D65,'Chi tiết từng link'!$F$2:$F$2505&lt;&gt;""CẦN SOÁT""),3),"""")"),"cách tiết kiệm tiền")</f>
        <v>cách tiết kiệm tiền</v>
      </c>
      <c r="J65" s="17" t="str">
        <f>IFERROR(__xludf.DUMMYFUNCTION("IFERROR(INDEX(FILTER('Chi tiết từng link'!$D$2:$D$2505,'Chi tiết từng link'!$B$2:$B$2505=$D65,'Chi tiết từng link'!$F$2:$F$2505&lt;&gt;""CẦN SOÁT""),3),"""")"),"https://techcombank.com/thong-tin/blog/hoc-cach-tiet-kiem-tien-luong")</f>
        <v>https://techcombank.com/thong-tin/blog/hoc-cach-tiet-kiem-tien-luong</v>
      </c>
      <c r="K65" s="19" t="str">
        <f>IFERROR(__xludf.DUMMYFUNCTION("IFERROR(INDEX(FILTER('Chi tiết từng link'!$E$2:$E$2505,'Chi tiết từng link'!$B$2:$B$2505=$D65,'Chi tiết từng link'!$F$2:$F$2505&lt;&gt;""CẦN SOÁT""),4),"""")"),"cách tiết kiệm tiền hiệu quả")</f>
        <v>cách tiết kiệm tiền hiệu quả</v>
      </c>
      <c r="L65" s="17" t="str">
        <f>IFERROR(__xludf.DUMMYFUNCTION("IFERROR(INDEX(FILTER('Chi tiết từng link'!$D$2:$D$2505,'Chi tiết từng link'!$B$2:$B$2505=$D65,'Chi tiết từng link'!$F$2:$F$2505&lt;&gt;""CẦN SOÁT""),4),"""")"),"https://techcombank.com/thong-tin/blog/loi-ich-cua-viec-tiet-kiem-tien")</f>
        <v>https://techcombank.com/thong-tin/blog/loi-ich-cua-viec-tiet-kiem-tien</v>
      </c>
      <c r="M65" s="19" t="str">
        <f>IFERROR(__xludf.DUMMYFUNCTION("IFERROR(INDEX(FILTER('Chi tiết từng link'!$E$2:$E$2505,'Chi tiết từng link'!$B$2:$B$2505=$D65,'Chi tiết từng link'!$F$2:$F$2505&lt;&gt;""CẦN SOÁT""),5),"""")"),"cách tiết kiệm tiền")</f>
        <v>cách tiết kiệm tiền</v>
      </c>
      <c r="N65" s="17" t="str">
        <f>IFERROR(__xludf.DUMMYFUNCTION("IFERROR(INDEX(FILTER('Chi tiết từng link'!$D$2:$D$2505,'Chi tiết từng link'!$B$2:$B$2505=$D65,'Chi tiết từng link'!$F$2:$F$2505&lt;&gt;""CẦN SOÁT""),5),"""")"),"https://techcombank.com/thong-tin/blog/the-nao-la-tiet-kiem")</f>
        <v>https://techcombank.com/thong-tin/blog/the-nao-la-tiet-kiem</v>
      </c>
      <c r="O65" s="11">
        <f>COUNTIFS('Chi tiết từng link'!$B$2:$B$2505,$D65,'Chi tiết từng link'!$F$2:$F$2505,"&lt;&gt;CẦN SOÁT")</f>
        <v>5</v>
      </c>
      <c r="P65" s="23" t="s">
        <v>65</v>
      </c>
      <c r="Q65" s="23" t="b">
        <v>0</v>
      </c>
      <c r="R65" s="17" t="str">
        <f>IF(COUNTIFS('Chi tiết từng link'!$B$2:$B$2505,$D65,'Chi tiết từng link'!$F$2:$F$2505,"CẦN SOÁT")&gt;0,"Còn "&amp;COUNTIFS('Chi tiết từng link'!$B$2:$B$2505,$D65,'Chi tiết từng link'!$F$2:$F$2505,"CẦN SOÁT")&amp;" gợi ý cần soát ở tab Chi tiết từng link","")</f>
        <v>Còn 68 gợi ý cần soát ở tab Chi tiết từng link</v>
      </c>
    </row>
    <row r="66" ht="18.0" customHeight="1">
      <c r="A66" s="11">
        <f t="shared" si="1"/>
        <v>65</v>
      </c>
      <c r="B66" s="17" t="str">
        <f t="array" ref="B66">INDEX('Báo cáo 75 trang đích'!$C$2:$C$76,$A66)</f>
        <v>TD</v>
      </c>
      <c r="C66" s="18" t="s">
        <v>390</v>
      </c>
      <c r="D66" s="17" t="str">
        <f t="array" ref="D66">INDEX('Báo cáo 75 trang đích'!$B$2:$B$76,$A66)</f>
        <v>https://techcombank.com/thong-tin/blog/rui-ro-khi-gui-tiet-kiem-online</v>
      </c>
      <c r="E66" s="19" t="str">
        <f>IFERROR(__xludf.DUMMYFUNCTION("IFERROR(INDEX(FILTER('Chi tiết từng link'!$E$2:$E$2505,'Chi tiết từng link'!$B$2:$B$2505=$D66,'Chi tiết từng link'!$F$2:$F$2505&lt;&gt;""CẦN SOÁT""),1),"""")"),"rủi ro khi gửi tiết kiệm online")</f>
        <v>rủi ro khi gửi tiết kiệm online</v>
      </c>
      <c r="F66" s="17" t="str">
        <f>IFERROR(__xludf.DUMMYFUNCTION("IFERROR(INDEX(FILTER('Chi tiết từng link'!$D$2:$D$2505,'Chi tiết từng link'!$B$2:$B$2505=$D66,'Chi tiết từng link'!$F$2:$F$2505&lt;&gt;""CẦN SOÁT""),1),"""")"),"https://techcombank.com/thong-tin/blog/co-nen-gui-tiet-kiem-online")</f>
        <v>https://techcombank.com/thong-tin/blog/co-nen-gui-tiet-kiem-online</v>
      </c>
      <c r="G66" s="19" t="str">
        <f>IFERROR(__xludf.DUMMYFUNCTION("IFERROR(INDEX(FILTER('Chi tiết từng link'!$E$2:$E$2505,'Chi tiết từng link'!$B$2:$B$2505=$D66,'Chi tiết từng link'!$F$2:$F$2505&lt;&gt;""CẦN SOÁT""),2),"""")"),"gửi tiết kiệm online có an toàn không")</f>
        <v>gửi tiết kiệm online có an toàn không</v>
      </c>
      <c r="H66" s="17" t="str">
        <f>IFERROR(__xludf.DUMMYFUNCTION("IFERROR(INDEX(FILTER('Chi tiết từng link'!$D$2:$D$2505,'Chi tiết từng link'!$B$2:$B$2505=$D66,'Chi tiết từng link'!$F$2:$F$2505&lt;&gt;""CẦN SOÁT""),2),"""")"),"https://techcombank.com/thong-tin/blog/gui-tiet-kiem-online-bi-mat-tien")</f>
        <v>https://techcombank.com/thong-tin/blog/gui-tiet-kiem-online-bi-mat-tien</v>
      </c>
      <c r="I66" s="19" t="str">
        <f>IFERROR(__xludf.DUMMYFUNCTION("IFERROR(INDEX(FILTER('Chi tiết từng link'!$E$2:$E$2505,'Chi tiết từng link'!$B$2:$B$2505=$D66,'Chi tiết từng link'!$F$2:$F$2505&lt;&gt;""CẦN SOÁT""),3),"""")"),"rủi ro khi gửi tiết kiệm online")</f>
        <v>rủi ro khi gửi tiết kiệm online</v>
      </c>
      <c r="J66" s="17" t="str">
        <f>IFERROR(__xludf.DUMMYFUNCTION("IFERROR(INDEX(FILTER('Chi tiết từng link'!$D$2:$D$2505,'Chi tiết từng link'!$B$2:$B$2505=$D66,'Chi tiết từng link'!$F$2:$F$2505&lt;&gt;""CẦN SOÁT""),3),"""")"),"https://techcombank.com/thong-tin/blog/kinh-nghiem-gui-tiet-kiem-online")</f>
        <v>https://techcombank.com/thong-tin/blog/kinh-nghiem-gui-tiet-kiem-online</v>
      </c>
      <c r="K66" s="19" t="str">
        <f>IFERROR(__xludf.DUMMYFUNCTION("IFERROR(INDEX(FILTER('Chi tiết từng link'!$E$2:$E$2505,'Chi tiết từng link'!$B$2:$B$2505=$D66,'Chi tiết từng link'!$F$2:$F$2505&lt;&gt;""CẦN SOÁT""),4),"""")"),"gửi tiết kiệm online có an toàn không")</f>
        <v>gửi tiết kiệm online có an toàn không</v>
      </c>
      <c r="L66" s="17" t="str">
        <f>IFERROR(__xludf.DUMMYFUNCTION("IFERROR(INDEX(FILTER('Chi tiết từng link'!$D$2:$D$2505,'Chi tiết từng link'!$B$2:$B$2505=$D66,'Chi tiết từng link'!$F$2:$F$2505&lt;&gt;""CẦN SOÁT""),4),"""")"),"https://techcombank.com/thong-tin/blog/cach-gui-tiet-kiem-online")</f>
        <v>https://techcombank.com/thong-tin/blog/cach-gui-tiet-kiem-online</v>
      </c>
      <c r="M66" s="19" t="str">
        <f>IFERROR(__xludf.DUMMYFUNCTION("IFERROR(INDEX(FILTER('Chi tiết từng link'!$E$2:$E$2505,'Chi tiết từng link'!$B$2:$B$2505=$D66,'Chi tiết từng link'!$F$2:$F$2505&lt;&gt;""CẦN SOÁT""),5),"""")"),"rủi ro khi gửi tiết kiệm online")</f>
        <v>rủi ro khi gửi tiết kiệm online</v>
      </c>
      <c r="N66" s="17" t="str">
        <f>IFERROR(__xludf.DUMMYFUNCTION("IFERROR(INDEX(FILTER('Chi tiết từng link'!$D$2:$D$2505,'Chi tiết từng link'!$B$2:$B$2505=$D66,'Chi tiết từng link'!$F$2:$F$2505&lt;&gt;""CẦN SOÁT""),5),"""")"),"https://techcombank.com/thong-tin/blog/rui-ro-khi-gui-tiet-kiem-ngan-hang")</f>
        <v>https://techcombank.com/thong-tin/blog/rui-ro-khi-gui-tiet-kiem-ngan-hang</v>
      </c>
      <c r="O66" s="11">
        <f>COUNTIFS('Chi tiết từng link'!$B$2:$B$2505,$D66,'Chi tiết từng link'!$F$2:$F$2505,"&lt;&gt;CẦN SOÁT")</f>
        <v>5</v>
      </c>
      <c r="P66" s="23" t="s">
        <v>65</v>
      </c>
      <c r="Q66" s="23" t="b">
        <v>0</v>
      </c>
      <c r="R66" s="17" t="str">
        <f>IF(COUNTIFS('Chi tiết từng link'!$B$2:$B$2505,$D66,'Chi tiết từng link'!$F$2:$F$2505,"CẦN SOÁT")&gt;0,"Còn "&amp;COUNTIFS('Chi tiết từng link'!$B$2:$B$2505,$D66,'Chi tiết từng link'!$F$2:$F$2505,"CẦN SOÁT")&amp;" gợi ý cần soát ở tab Chi tiết từng link","")</f>
        <v>Còn 37 gợi ý cần soát ở tab Chi tiết từng link</v>
      </c>
    </row>
    <row r="67" ht="18.0" customHeight="1">
      <c r="A67" s="11">
        <f t="shared" si="1"/>
        <v>66</v>
      </c>
      <c r="B67" s="17" t="str">
        <f t="array" ref="B67">INDEX('Báo cáo 75 trang đích'!$C$2:$C$76,$A67)</f>
        <v>Tool</v>
      </c>
      <c r="C67" s="18" t="s">
        <v>394</v>
      </c>
      <c r="D67" s="17" t="str">
        <f t="array" ref="D67">INDEX('Báo cáo 75 trang đích'!$B$2:$B$76,$A67)</f>
        <v>https://techcombank.com/cong-cu-tien-ich/cong-cu-tinh-toan/bang-tinh-lai-suat-vay</v>
      </c>
      <c r="E67" s="19" t="str">
        <f>IFERROR(__xludf.DUMMYFUNCTION("IFERROR(INDEX(FILTER('Chi tiết từng link'!$E$2:$E$2505,'Chi tiết từng link'!$B$2:$B$2505=$D67,'Chi tiết từng link'!$F$2:$F$2505&lt;&gt;""CẦN SOÁT""),1),"""")"),"công cụ tính lãi vay")</f>
        <v>công cụ tính lãi vay</v>
      </c>
      <c r="F67" s="17" t="str">
        <f>IFERROR(__xludf.DUMMYFUNCTION("IFERROR(INDEX(FILTER('Chi tiết từng link'!$D$2:$D$2505,'Chi tiết từng link'!$B$2:$B$2505=$D67,'Chi tiết từng link'!$F$2:$F$2505&lt;&gt;""CẦN SOÁT""),1),"""")"),"https://techcombank.com/thong-tin/blog/vay-100-trieu")</f>
        <v>https://techcombank.com/thong-tin/blog/vay-100-trieu</v>
      </c>
      <c r="G67" s="19" t="str">
        <f>IFERROR(__xludf.DUMMYFUNCTION("IFERROR(INDEX(FILTER('Chi tiết từng link'!$E$2:$E$2505,'Chi tiết từng link'!$B$2:$B$2505=$D67,'Chi tiết từng link'!$F$2:$F$2505&lt;&gt;""CẦN SOÁT""),2),"""")"),"công cụ tính lãi suất vay ngân hàng")</f>
        <v>công cụ tính lãi suất vay ngân hàng</v>
      </c>
      <c r="H67" s="17" t="str">
        <f>IFERROR(__xludf.DUMMYFUNCTION("IFERROR(INDEX(FILTER('Chi tiết từng link'!$D$2:$D$2505,'Chi tiết từng link'!$B$2:$B$2505=$D67,'Chi tiết từng link'!$F$2:$F$2505&lt;&gt;""CẦN SOÁT""),2),"""")"),"https://techcombank.com/thong-tin/blog/vay-200-trieu")</f>
        <v>https://techcombank.com/thong-tin/blog/vay-200-trieu</v>
      </c>
      <c r="I67" s="19" t="str">
        <f>IFERROR(__xludf.DUMMYFUNCTION("IFERROR(INDEX(FILTER('Chi tiết từng link'!$E$2:$E$2505,'Chi tiết từng link'!$B$2:$B$2505=$D67,'Chi tiết từng link'!$F$2:$F$2505&lt;&gt;""CẦN SOÁT""),3),"""")"),"bảng tính lãi suất vay")</f>
        <v>bảng tính lãi suất vay</v>
      </c>
      <c r="J67" s="17" t="str">
        <f>IFERROR(__xludf.DUMMYFUNCTION("IFERROR(INDEX(FILTER('Chi tiết từng link'!$D$2:$D$2505,'Chi tiết từng link'!$B$2:$B$2505=$D67,'Chi tiết từng link'!$F$2:$F$2505&lt;&gt;""CẦN SOÁT""),3),"""")"),"https://techcombank.com/thong-tin/blog/vay-300-trieu")</f>
        <v>https://techcombank.com/thong-tin/blog/vay-300-trieu</v>
      </c>
      <c r="K67" s="19" t="str">
        <f>IFERROR(__xludf.DUMMYFUNCTION("IFERROR(INDEX(FILTER('Chi tiết từng link'!$E$2:$E$2505,'Chi tiết từng link'!$B$2:$B$2505=$D67,'Chi tiết từng link'!$F$2:$F$2505&lt;&gt;""CẦN SOÁT""),4),"""")"),"công cụ tính lãi vay")</f>
        <v>công cụ tính lãi vay</v>
      </c>
      <c r="L67" s="17" t="str">
        <f>IFERROR(__xludf.DUMMYFUNCTION("IFERROR(INDEX(FILTER('Chi tiết từng link'!$D$2:$D$2505,'Chi tiết từng link'!$B$2:$B$2505=$D67,'Chi tiết từng link'!$F$2:$F$2505&lt;&gt;""CẦN SOÁT""),4),"""")"),"https://techcombank.com/thong-tin/blog/vay-tra-gop")</f>
        <v>https://techcombank.com/thong-tin/blog/vay-tra-gop</v>
      </c>
      <c r="M67" s="19" t="str">
        <f>IFERROR(__xludf.DUMMYFUNCTION("IFERROR(INDEX(FILTER('Chi tiết từng link'!$E$2:$E$2505,'Chi tiết từng link'!$B$2:$B$2505=$D67,'Chi tiết từng link'!$F$2:$F$2505&lt;&gt;""CẦN SOÁT""),5),"""")"),"công cụ tính lãi suất vay ngân hàng")</f>
        <v>công cụ tính lãi suất vay ngân hàng</v>
      </c>
      <c r="N67" s="17" t="str">
        <f>IFERROR(__xludf.DUMMYFUNCTION("IFERROR(INDEX(FILTER('Chi tiết từng link'!$D$2:$D$2505,'Chi tiết từng link'!$B$2:$B$2505=$D67,'Chi tiết từng link'!$F$2:$F$2505&lt;&gt;""CẦN SOÁT""),5),"""")"),"https://techcombank.com/thong-tin/blog/dang-vay-tra-gop-co-vay-them-duoc-khong")</f>
        <v>https://techcombank.com/thong-tin/blog/dang-vay-tra-gop-co-vay-them-duoc-khong</v>
      </c>
      <c r="O67" s="11">
        <f>COUNTIFS('Chi tiết từng link'!$B$2:$B$2505,$D67,'Chi tiết từng link'!$F$2:$F$2505,"&lt;&gt;CẦN SOÁT")</f>
        <v>5</v>
      </c>
      <c r="P67" s="23" t="s">
        <v>65</v>
      </c>
      <c r="Q67" s="23" t="b">
        <v>0</v>
      </c>
      <c r="R67" s="17" t="str">
        <f>IF(COUNTIFS('Chi tiết từng link'!$B$2:$B$2505,$D67,'Chi tiết từng link'!$F$2:$F$2505,"CẦN SOÁT")&gt;0,"Còn "&amp;COUNTIFS('Chi tiết từng link'!$B$2:$B$2505,$D67,'Chi tiết từng link'!$F$2:$F$2505,"CẦN SOÁT")&amp;" gợi ý cần soát ở tab Chi tiết từng link","")</f>
        <v>Còn 55 gợi ý cần soát ở tab Chi tiết từng link</v>
      </c>
    </row>
    <row r="68" ht="18.0" customHeight="1">
      <c r="A68" s="11">
        <f t="shared" si="1"/>
        <v>67</v>
      </c>
      <c r="B68" s="17" t="str">
        <f t="array" ref="B68">INDEX('Báo cáo 75 trang đích'!$C$2:$C$76,$A68)</f>
        <v>Tool</v>
      </c>
      <c r="C68" s="18" t="s">
        <v>397</v>
      </c>
      <c r="D68" s="17" t="str">
        <f t="array" ref="D68">INDEX('Báo cáo 75 trang đích'!$B$2:$B$76,$A68)</f>
        <v>https://techcombank.com/cong-cu-tien-ich/cong-cu-tinh-toan/bang-tinh-lai-suat-tiet-kiem</v>
      </c>
      <c r="E68" s="19" t="str">
        <f>IFERROR(__xludf.DUMMYFUNCTION("IFERROR(INDEX(FILTER('Chi tiết từng link'!$E$2:$E$2505,'Chi tiết từng link'!$B$2:$B$2505=$D68,'Chi tiết từng link'!$F$2:$F$2505&lt;&gt;""CẦN SOÁT""),1),"""")"),"công cụ tính lãi tiết kiệm")</f>
        <v>công cụ tính lãi tiết kiệm</v>
      </c>
      <c r="F68" s="17" t="str">
        <f>IFERROR(__xludf.DUMMYFUNCTION("IFERROR(INDEX(FILTER('Chi tiết từng link'!$D$2:$D$2505,'Chi tiết từng link'!$B$2:$B$2505=$D68,'Chi tiết từng link'!$F$2:$F$2505&lt;&gt;""CẦN SOÁT""),1),"""")"),"https://techcombank.com/thong-tin/blog/cach-tiet-kiem-100-trieu-1-nam")</f>
        <v>https://techcombank.com/thong-tin/blog/cach-tiet-kiem-100-trieu-1-nam</v>
      </c>
      <c r="G68" s="19" t="str">
        <f>IFERROR(__xludf.DUMMYFUNCTION("IFERROR(INDEX(FILTER('Chi tiết từng link'!$E$2:$E$2505,'Chi tiết từng link'!$B$2:$B$2505=$D68,'Chi tiết từng link'!$F$2:$F$2505&lt;&gt;""CẦN SOÁT""),2),"""")"),"bảng tính lãi suất tiết kiệm")</f>
        <v>bảng tính lãi suất tiết kiệm</v>
      </c>
      <c r="H68" s="17" t="str">
        <f>IFERROR(__xludf.DUMMYFUNCTION("IFERROR(INDEX(FILTER('Chi tiết từng link'!$D$2:$D$2505,'Chi tiết từng link'!$B$2:$B$2505=$D68,'Chi tiết từng link'!$F$2:$F$2505&lt;&gt;""CẦN SOÁT""),2),"""")"),"https://techcombank.com/thong-tin/blog/co-50-trieu-nen-mua-vang-hay-gui-tiet-kiem")</f>
        <v>https://techcombank.com/thong-tin/blog/co-50-trieu-nen-mua-vang-hay-gui-tiet-kiem</v>
      </c>
      <c r="I68" s="19" t="str">
        <f>IFERROR(__xludf.DUMMYFUNCTION("IFERROR(INDEX(FILTER('Chi tiết từng link'!$E$2:$E$2505,'Chi tiết từng link'!$B$2:$B$2505=$D68,'Chi tiết từng link'!$F$2:$F$2505&lt;&gt;""CẦN SOÁT""),3),"""")"),"công cụ tính lãi tiết kiệm")</f>
        <v>công cụ tính lãi tiết kiệm</v>
      </c>
      <c r="J68" s="17" t="str">
        <f>IFERROR(__xludf.DUMMYFUNCTION("IFERROR(INDEX(FILTER('Chi tiết từng link'!$D$2:$D$2505,'Chi tiết từng link'!$B$2:$B$2505=$D68,'Chi tiết từng link'!$F$2:$F$2505&lt;&gt;""CẦN SOÁT""),3),"""")"),"https://techcombank.com/thong-tin/blog/gui-tiet-kiem-tich-luy-la-gi")</f>
        <v>https://techcombank.com/thong-tin/blog/gui-tiet-kiem-tich-luy-la-gi</v>
      </c>
      <c r="K68" s="19" t="str">
        <f>IFERROR(__xludf.DUMMYFUNCTION("IFERROR(INDEX(FILTER('Chi tiết từng link'!$E$2:$E$2505,'Chi tiết từng link'!$B$2:$B$2505=$D68,'Chi tiết từng link'!$F$2:$F$2505&lt;&gt;""CẦN SOÁT""),4),"""")"),"bảng tính lãi suất tiết kiệm")</f>
        <v>bảng tính lãi suất tiết kiệm</v>
      </c>
      <c r="L68" s="17" t="str">
        <f>IFERROR(__xludf.DUMMYFUNCTION("IFERROR(INDEX(FILTER('Chi tiết từng link'!$D$2:$D$2505,'Chi tiết từng link'!$B$2:$B$2505=$D68,'Chi tiết từng link'!$F$2:$F$2505&lt;&gt;""CẦN SOÁT""),4),"""")"),"https://techcombank.com/thong-tin/blog/quy-trinh-gui-tien-tiet-kiem")</f>
        <v>https://techcombank.com/thong-tin/blog/quy-trinh-gui-tien-tiet-kiem</v>
      </c>
      <c r="M68" s="19" t="str">
        <f>IFERROR(__xludf.DUMMYFUNCTION("IFERROR(INDEX(FILTER('Chi tiết từng link'!$E$2:$E$2505,'Chi tiết từng link'!$B$2:$B$2505=$D68,'Chi tiết từng link'!$F$2:$F$2505&lt;&gt;""CẦN SOÁT""),5),"""")"),"công cụ tính lãi tiết kiệm")</f>
        <v>công cụ tính lãi tiết kiệm</v>
      </c>
      <c r="N68" s="17" t="str">
        <f>IFERROR(__xludf.DUMMYFUNCTION("IFERROR(INDEX(FILTER('Chi tiết từng link'!$D$2:$D$2505,'Chi tiết từng link'!$B$2:$B$2505=$D68,'Chi tiết từng link'!$F$2:$F$2505&lt;&gt;""CẦN SOÁT""),5),"""")"),"https://techcombank.com/thong-tin/blog/nen-de-tien-trong-the-hay-gui-tiet-kiem")</f>
        <v>https://techcombank.com/thong-tin/blog/nen-de-tien-trong-the-hay-gui-tiet-kiem</v>
      </c>
      <c r="O68" s="11">
        <f>COUNTIFS('Chi tiết từng link'!$B$2:$B$2505,$D68,'Chi tiết từng link'!$F$2:$F$2505,"&lt;&gt;CẦN SOÁT")</f>
        <v>5</v>
      </c>
      <c r="P68" s="23" t="s">
        <v>65</v>
      </c>
      <c r="Q68" s="23" t="b">
        <v>0</v>
      </c>
      <c r="R68" s="17" t="str">
        <f>IF(COUNTIFS('Chi tiết từng link'!$B$2:$B$2505,$D68,'Chi tiết từng link'!$F$2:$F$2505,"CẦN SOÁT")&gt;0,"Còn "&amp;COUNTIFS('Chi tiết từng link'!$B$2:$B$2505,$D68,'Chi tiết từng link'!$F$2:$F$2505,"CẦN SOÁT")&amp;" gợi ý cần soát ở tab Chi tiết từng link","")</f>
        <v>Còn 57 gợi ý cần soát ở tab Chi tiết từng link</v>
      </c>
    </row>
    <row r="69" ht="18.0" customHeight="1">
      <c r="A69" s="11">
        <f t="shared" si="1"/>
        <v>68</v>
      </c>
      <c r="B69" s="17" t="str">
        <f t="array" ref="B69">INDEX('Báo cáo 75 trang đích'!$C$2:$C$76,$A69)</f>
        <v>Unsecured Loan</v>
      </c>
      <c r="C69" s="18" t="s">
        <v>400</v>
      </c>
      <c r="D69" s="17" t="str">
        <f t="array" ref="D69">INDEX('Báo cáo 75 trang đích'!$B$2:$B$76,$A69)</f>
        <v>https://techcombank.com/thong-tin/blog/app-vay-tien-nhanh</v>
      </c>
      <c r="E69" s="19" t="str">
        <f>IFERROR(__xludf.DUMMYFUNCTION("IFERROR(INDEX(FILTER('Chi tiết từng link'!$E$2:$E$2505,'Chi tiết từng link'!$B$2:$B$2505=$D69,'Chi tiết từng link'!$F$2:$F$2505&lt;&gt;""CẦN SOÁT""),1),"""")"),"app vay tiền nhanh")</f>
        <v>app vay tiền nhanh</v>
      </c>
      <c r="F69" s="17" t="str">
        <f>IFERROR(__xludf.DUMMYFUNCTION("IFERROR(INDEX(FILTER('Chi tiết từng link'!$D$2:$D$2505,'Chi tiết từng link'!$B$2:$B$2505=$D69,'Chi tiết từng link'!$F$2:$F$2505&lt;&gt;""CẦN SOÁT""),1),"""")"),"https://techcombank.com/thong-tin/blog/vay-tien-online")</f>
        <v>https://techcombank.com/thong-tin/blog/vay-tien-online</v>
      </c>
      <c r="G69" s="19" t="str">
        <f>IFERROR(__xludf.DUMMYFUNCTION("IFERROR(INDEX(FILTER('Chi tiết từng link'!$E$2:$E$2505,'Chi tiết từng link'!$B$2:$B$2505=$D69,'Chi tiết từng link'!$F$2:$F$2505&lt;&gt;""CẦN SOÁT""),2),"""")"),"app vay tiền chỉ cần CCCD")</f>
        <v>app vay tiền chỉ cần CCCD</v>
      </c>
      <c r="H69" s="17" t="str">
        <f>IFERROR(__xludf.DUMMYFUNCTION("IFERROR(INDEX(FILTER('Chi tiết từng link'!$D$2:$D$2505,'Chi tiết từng link'!$B$2:$B$2505=$D69,'Chi tiết từng link'!$F$2:$F$2505&lt;&gt;""CẦN SOÁT""),2),"""")"),"https://techcombank.com/thong-tin/blog/vay-ngan-hang-chi-can-cccd")</f>
        <v>https://techcombank.com/thong-tin/blog/vay-ngan-hang-chi-can-cccd</v>
      </c>
      <c r="I69" s="19" t="str">
        <f>IFERROR(__xludf.DUMMYFUNCTION("IFERROR(INDEX(FILTER('Chi tiết từng link'!$E$2:$E$2505,'Chi tiết từng link'!$B$2:$B$2505=$D69,'Chi tiết từng link'!$F$2:$F$2505&lt;&gt;""CẦN SOÁT""),3),"""")"),"vay tiền online")</f>
        <v>vay tiền online</v>
      </c>
      <c r="J69" s="17" t="str">
        <f>IFERROR(__xludf.DUMMYFUNCTION("IFERROR(INDEX(FILTER('Chi tiết từng link'!$D$2:$D$2505,'Chi tiết từng link'!$B$2:$B$2505=$D69,'Chi tiết từng link'!$F$2:$F$2505&lt;&gt;""CẦN SOÁT""),3),"""")"),"https://techcombank.com/thong-tin/blog/vay-30-trieu")</f>
        <v>https://techcombank.com/thong-tin/blog/vay-30-trieu</v>
      </c>
      <c r="K69" s="19" t="str">
        <f>IFERROR(__xludf.DUMMYFUNCTION("IFERROR(INDEX(FILTER('Chi tiết từng link'!$E$2:$E$2505,'Chi tiết từng link'!$B$2:$B$2505=$D69,'Chi tiết từng link'!$F$2:$F$2505&lt;&gt;""CẦN SOÁT""),4),"""")"),"app vay tiền nhanh")</f>
        <v>app vay tiền nhanh</v>
      </c>
      <c r="L69" s="17" t="str">
        <f>IFERROR(__xludf.DUMMYFUNCTION("IFERROR(INDEX(FILTER('Chi tiết từng link'!$D$2:$D$2505,'Chi tiết từng link'!$B$2:$B$2505=$D69,'Chi tiết từng link'!$F$2:$F$2505&lt;&gt;""CẦN SOÁT""),4),"""")"),"https://techcombank.com/thong-tin/blog/vay-50-trieu")</f>
        <v>https://techcombank.com/thong-tin/blog/vay-50-trieu</v>
      </c>
      <c r="M69" s="19" t="str">
        <f>IFERROR(__xludf.DUMMYFUNCTION("IFERROR(INDEX(FILTER('Chi tiết từng link'!$E$2:$E$2505,'Chi tiết từng link'!$B$2:$B$2505=$D69,'Chi tiết từng link'!$F$2:$F$2505&lt;&gt;""CẦN SOÁT""),5),"""")"),"app vay tiền chỉ cần CCCD")</f>
        <v>app vay tiền chỉ cần CCCD</v>
      </c>
      <c r="N69" s="17" t="str">
        <f>IFERROR(__xludf.DUMMYFUNCTION("IFERROR(INDEX(FILTER('Chi tiết từng link'!$D$2:$D$2505,'Chi tiết từng link'!$B$2:$B$2505=$D69,'Chi tiết từng link'!$F$2:$F$2505&lt;&gt;""CẦN SOÁT""),5),"""")"),"https://techcombank.com/thong-tin/blog/vay-sieu-toc")</f>
        <v>https://techcombank.com/thong-tin/blog/vay-sieu-toc</v>
      </c>
      <c r="O69" s="11">
        <f>COUNTIFS('Chi tiết từng link'!$B$2:$B$2505,$D69,'Chi tiết từng link'!$F$2:$F$2505,"&lt;&gt;CẦN SOÁT")</f>
        <v>5</v>
      </c>
      <c r="P69" s="23" t="s">
        <v>65</v>
      </c>
      <c r="Q69" s="23" t="b">
        <v>0</v>
      </c>
      <c r="R69" s="17" t="str">
        <f>IF(COUNTIFS('Chi tiết từng link'!$B$2:$B$2505,$D69,'Chi tiết từng link'!$F$2:$F$2505,"CẦN SOÁT")&gt;0,"Còn "&amp;COUNTIFS('Chi tiết từng link'!$B$2:$B$2505,$D69,'Chi tiết từng link'!$F$2:$F$2505,"CẦN SOÁT")&amp;" gợi ý cần soát ở tab Chi tiết từng link","")</f>
        <v>Còn 12 gợi ý cần soát ở tab Chi tiết từng link</v>
      </c>
    </row>
    <row r="70" ht="18.0" customHeight="1">
      <c r="A70" s="11">
        <f t="shared" si="1"/>
        <v>69</v>
      </c>
      <c r="B70" s="17" t="str">
        <f t="array" ref="B70">INDEX('Báo cáo 75 trang đích'!$C$2:$C$76,$A70)</f>
        <v>Unsecured Loan</v>
      </c>
      <c r="C70" s="18" t="s">
        <v>401</v>
      </c>
      <c r="D70" s="17" t="str">
        <f t="array" ref="D70">INDEX('Báo cáo 75 trang đích'!$B$2:$B$76,$A70)</f>
        <v>https://techcombank.com/thong-tin/blog/lai-suat-vay-ngan-hang</v>
      </c>
      <c r="E70" s="19" t="str">
        <f>IFERROR(__xludf.DUMMYFUNCTION("IFERROR(INDEX(FILTER('Chi tiết từng link'!$E$2:$E$2505,'Chi tiết từng link'!$B$2:$B$2505=$D70,'Chi tiết từng link'!$F$2:$F$2505&lt;&gt;""CẦN SOÁT""),1),"""")"),"lãi suất vay ngân hàng")</f>
        <v>lãi suất vay ngân hàng</v>
      </c>
      <c r="F70" s="17" t="str">
        <f>IFERROR(__xludf.DUMMYFUNCTION("IFERROR(INDEX(FILTER('Chi tiết từng link'!$D$2:$D$2505,'Chi tiết từng link'!$B$2:$B$2505=$D70,'Chi tiết từng link'!$F$2:$F$2505&lt;&gt;""CẦN SOÁT""),1),"""")"),"https://techcombank.com/thong-tin/blog/lai-suat-la-gi")</f>
        <v>https://techcombank.com/thong-tin/blog/lai-suat-la-gi</v>
      </c>
      <c r="G70" s="19" t="str">
        <f>IFERROR(__xludf.DUMMYFUNCTION("IFERROR(INDEX(FILTER('Chi tiết từng link'!$E$2:$E$2505,'Chi tiết từng link'!$B$2:$B$2505=$D70,'Chi tiết từng link'!$F$2:$F$2505&lt;&gt;""CẦN SOÁT""),2),"""")"),"lãi suất vay ngân hàng mới nhất")</f>
        <v>lãi suất vay ngân hàng mới nhất</v>
      </c>
      <c r="H70" s="17" t="str">
        <f>IFERROR(__xludf.DUMMYFUNCTION("IFERROR(INDEX(FILTER('Chi tiết từng link'!$D$2:$D$2505,'Chi tiết từng link'!$B$2:$B$2505=$D70,'Chi tiết từng link'!$F$2:$F$2505&lt;&gt;""CẦN SOÁT""),2),"""")"),"https://techcombank.com/thong-tin/blog/lai-suat-vay-tieu-dung")</f>
        <v>https://techcombank.com/thong-tin/blog/lai-suat-vay-tieu-dung</v>
      </c>
      <c r="I70" s="19" t="str">
        <f>IFERROR(__xludf.DUMMYFUNCTION("IFERROR(INDEX(FILTER('Chi tiết từng link'!$E$2:$E$2505,'Chi tiết từng link'!$B$2:$B$2505=$D70,'Chi tiết từng link'!$F$2:$F$2505&lt;&gt;""CẦN SOÁT""),3),"""")"),"lãi suất vay ngân hàng")</f>
        <v>lãi suất vay ngân hàng</v>
      </c>
      <c r="J70" s="17" t="str">
        <f>IFERROR(__xludf.DUMMYFUNCTION("IFERROR(INDEX(FILTER('Chi tiết từng link'!$D$2:$D$2505,'Chi tiết từng link'!$B$2:$B$2505=$D70,'Chi tiết từng link'!$F$2:$F$2505&lt;&gt;""CẦN SOÁT""),3),"""")"),"https://techcombank.com/thong-tin/blog/lai-suat-vay-tin-chap")</f>
        <v>https://techcombank.com/thong-tin/blog/lai-suat-vay-tin-chap</v>
      </c>
      <c r="K70" s="19" t="str">
        <f>IFERROR(__xludf.DUMMYFUNCTION("IFERROR(INDEX(FILTER('Chi tiết từng link'!$E$2:$E$2505,'Chi tiết từng link'!$B$2:$B$2505=$D70,'Chi tiết từng link'!$F$2:$F$2505&lt;&gt;""CẦN SOÁT""),4),"""")"),"lãi suất vay ngân hàng mới nhất")</f>
        <v>lãi suất vay ngân hàng mới nhất</v>
      </c>
      <c r="L70" s="17" t="str">
        <f>IFERROR(__xludf.DUMMYFUNCTION("IFERROR(INDEX(FILTER('Chi tiết từng link'!$D$2:$D$2505,'Chi tiết từng link'!$B$2:$B$2505=$D70,'Chi tiết từng link'!$F$2:$F$2505&lt;&gt;""CẦN SOÁT""),4),"""")"),"https://techcombank.com/thong-tin/blog/dieu-kien-vay-von-ngan-hang")</f>
        <v>https://techcombank.com/thong-tin/blog/dieu-kien-vay-von-ngan-hang</v>
      </c>
      <c r="M70" s="19" t="str">
        <f>IFERROR(__xludf.DUMMYFUNCTION("IFERROR(INDEX(FILTER('Chi tiết từng link'!$E$2:$E$2505,'Chi tiết từng link'!$B$2:$B$2505=$D70,'Chi tiết từng link'!$F$2:$F$2505&lt;&gt;""CẦN SOÁT""),5),"""")"),"lãi suất vay ngân hàng")</f>
        <v>lãi suất vay ngân hàng</v>
      </c>
      <c r="N70" s="17" t="str">
        <f>IFERROR(__xludf.DUMMYFUNCTION("IFERROR(INDEX(FILTER('Chi tiết từng link'!$D$2:$D$2505,'Chi tiết từng link'!$B$2:$B$2505=$D70,'Chi tiết từng link'!$F$2:$F$2505&lt;&gt;""CẦN SOÁT""),5),"""")"),"https://techcombank.com/thong-tin/blog/lai-suat-qua-han")</f>
        <v>https://techcombank.com/thong-tin/blog/lai-suat-qua-han</v>
      </c>
      <c r="O70" s="11">
        <f>COUNTIFS('Chi tiết từng link'!$B$2:$B$2505,$D70,'Chi tiết từng link'!$F$2:$F$2505,"&lt;&gt;CẦN SOÁT")</f>
        <v>5</v>
      </c>
      <c r="P70" s="23" t="s">
        <v>65</v>
      </c>
      <c r="Q70" s="23" t="b">
        <v>0</v>
      </c>
      <c r="R70" s="17" t="str">
        <f>IF(COUNTIFS('Chi tiết từng link'!$B$2:$B$2505,$D70,'Chi tiết từng link'!$F$2:$F$2505,"CẦN SOÁT")&gt;0,"Còn "&amp;COUNTIFS('Chi tiết từng link'!$B$2:$B$2505,$D70,'Chi tiết từng link'!$F$2:$F$2505,"CẦN SOÁT")&amp;" gợi ý cần soát ở tab Chi tiết từng link","")</f>
        <v>Còn 11 gợi ý cần soát ở tab Chi tiết từng link</v>
      </c>
    </row>
    <row r="71" ht="18.0" customHeight="1">
      <c r="A71" s="11">
        <f t="shared" si="1"/>
        <v>70</v>
      </c>
      <c r="B71" s="17" t="str">
        <f t="array" ref="B71">INDEX('Báo cáo 75 trang đích'!$C$2:$C$76,$A71)</f>
        <v>Unsecured Loan</v>
      </c>
      <c r="C71" s="18" t="s">
        <v>405</v>
      </c>
      <c r="D71" s="17" t="str">
        <f t="array" ref="D71">INDEX('Báo cáo 75 trang đích'!$B$2:$B$76,$A71)</f>
        <v>https://techcombank.com/thong-tin/blog/vay-thau-chi-la-gi</v>
      </c>
      <c r="E71" s="19" t="str">
        <f>IFERROR(__xludf.DUMMYFUNCTION("IFERROR(INDEX(FILTER('Chi tiết từng link'!$E$2:$E$2505,'Chi tiết từng link'!$B$2:$B$2505=$D71,'Chi tiết từng link'!$F$2:$F$2505&lt;&gt;""CẦN SOÁT""),1),"""")"),"vay thấu chi là gì")</f>
        <v>vay thấu chi là gì</v>
      </c>
      <c r="F71" s="17" t="str">
        <f>IFERROR(__xludf.DUMMYFUNCTION("IFERROR(INDEX(FILTER('Chi tiết từng link'!$D$2:$D$2505,'Chi tiết từng link'!$B$2:$B$2505=$D71,'Chi tiết từng link'!$F$2:$F$2505&lt;&gt;""CẦN SOÁT""),1),"""")"),"https://techcombank.com/thong-tin/blog/han-muc-thau-chi-la-gi")</f>
        <v>https://techcombank.com/thong-tin/blog/han-muc-thau-chi-la-gi</v>
      </c>
      <c r="G71" s="19" t="str">
        <f>IFERROR(__xludf.DUMMYFUNCTION("IFERROR(INDEX(FILTER('Chi tiết từng link'!$E$2:$E$2505,'Chi tiết từng link'!$B$2:$B$2505=$D71,'Chi tiết từng link'!$F$2:$F$2505&lt;&gt;""CẦN SOÁT""),2),"""")"),"vay thấu chi")</f>
        <v>vay thấu chi</v>
      </c>
      <c r="H71" s="17" t="str">
        <f>IFERROR(__xludf.DUMMYFUNCTION("IFERROR(INDEX(FILTER('Chi tiết từng link'!$D$2:$D$2505,'Chi tiết từng link'!$B$2:$B$2505=$D71,'Chi tiết từng link'!$F$2:$F$2505&lt;&gt;""CẦN SOÁT""),2),"""")"),"https://techcombank.com/thong-tin/blog/lai-suat-vay-thau-chi")</f>
        <v>https://techcombank.com/thong-tin/blog/lai-suat-vay-thau-chi</v>
      </c>
      <c r="I71" s="19" t="str">
        <f>IFERROR(__xludf.DUMMYFUNCTION("IFERROR(INDEX(FILTER('Chi tiết từng link'!$E$2:$E$2505,'Chi tiết từng link'!$B$2:$B$2505=$D71,'Chi tiết từng link'!$F$2:$F$2505&lt;&gt;""CẦN SOÁT""),3),"""")"),"vay thấu chi là gì")</f>
        <v>vay thấu chi là gì</v>
      </c>
      <c r="J71" s="17" t="str">
        <f>IFERROR(__xludf.DUMMYFUNCTION("IFERROR(INDEX(FILTER('Chi tiết từng link'!$D$2:$D$2505,'Chi tiết từng link'!$B$2:$B$2505=$D71,'Chi tiết từng link'!$F$2:$F$2505&lt;&gt;""CẦN SOÁT""),3),"""")"),"https://techcombank.com/thong-tin/blog/thoi-han-vay-thau-chi")</f>
        <v>https://techcombank.com/thong-tin/blog/thoi-han-vay-thau-chi</v>
      </c>
      <c r="K71" s="19" t="str">
        <f>IFERROR(__xludf.DUMMYFUNCTION("IFERROR(INDEX(FILTER('Chi tiết từng link'!$E$2:$E$2505,'Chi tiết từng link'!$B$2:$B$2505=$D71,'Chi tiết từng link'!$F$2:$F$2505&lt;&gt;""CẦN SOÁT""),4),"""")"),"vay thấu chi")</f>
        <v>vay thấu chi</v>
      </c>
      <c r="L71" s="17" t="str">
        <f>IFERROR(__xludf.DUMMYFUNCTION("IFERROR(INDEX(FILTER('Chi tiết từng link'!$D$2:$D$2505,'Chi tiết từng link'!$B$2:$B$2505=$D71,'Chi tiết từng link'!$F$2:$F$2505&lt;&gt;""CẦN SOÁT""),4),"""")"),"https://techcombank.com/thong-tin/blog/tra-no-vay-thau-chi-nhu-the-nao")</f>
        <v>https://techcombank.com/thong-tin/blog/tra-no-vay-thau-chi-nhu-the-nao</v>
      </c>
      <c r="M71" s="19" t="str">
        <f>IFERROR(__xludf.DUMMYFUNCTION("IFERROR(INDEX(FILTER('Chi tiết từng link'!$E$2:$E$2505,'Chi tiết từng link'!$B$2:$B$2505=$D71,'Chi tiết từng link'!$F$2:$F$2505&lt;&gt;""CẦN SOÁT""),5),"""")"),"vay thấu chi là gì")</f>
        <v>vay thấu chi là gì</v>
      </c>
      <c r="N71" s="17" t="str">
        <f>IFERROR(__xludf.DUMMYFUNCTION("IFERROR(INDEX(FILTER('Chi tiết từng link'!$D$2:$D$2505,'Chi tiết từng link'!$B$2:$B$2505=$D71,'Chi tiết từng link'!$F$2:$F$2505&lt;&gt;""CẦN SOÁT""),5),"""")"),"https://techcombank.com/thong-tin/blog/vay-han-muc-la-gi")</f>
        <v>https://techcombank.com/thong-tin/blog/vay-han-muc-la-gi</v>
      </c>
      <c r="O71" s="11">
        <f>COUNTIFS('Chi tiết từng link'!$B$2:$B$2505,$D71,'Chi tiết từng link'!$F$2:$F$2505,"&lt;&gt;CẦN SOÁT")</f>
        <v>5</v>
      </c>
      <c r="P71" s="23" t="s">
        <v>65</v>
      </c>
      <c r="Q71" s="23" t="b">
        <v>0</v>
      </c>
      <c r="R71" s="17" t="str">
        <f>IF(COUNTIFS('Chi tiết từng link'!$B$2:$B$2505,$D71,'Chi tiết từng link'!$F$2:$F$2505,"CẦN SOÁT")&gt;0,"Còn "&amp;COUNTIFS('Chi tiết từng link'!$B$2:$B$2505,$D71,'Chi tiết từng link'!$F$2:$F$2505,"CẦN SOÁT")&amp;" gợi ý cần soát ở tab Chi tiết từng link","")</f>
        <v>Còn 4 gợi ý cần soát ở tab Chi tiết từng link</v>
      </c>
    </row>
    <row r="72" ht="18.0" customHeight="1">
      <c r="A72" s="11">
        <f t="shared" si="1"/>
        <v>71</v>
      </c>
      <c r="B72" s="17" t="str">
        <f t="array" ref="B72">INDEX('Báo cáo 75 trang đích'!$C$2:$C$76,$A72)</f>
        <v>Unsecured Loan</v>
      </c>
      <c r="C72" s="18" t="s">
        <v>412</v>
      </c>
      <c r="D72" s="17" t="str">
        <f t="array" ref="D72">INDEX('Báo cáo 75 trang đích'!$B$2:$B$76,$A72)</f>
        <v>https://techcombank.com/thong-tin/blog/kiem-tra-no-xau</v>
      </c>
      <c r="E72" s="19" t="str">
        <f>IFERROR(__xludf.DUMMYFUNCTION("IFERROR(INDEX(FILTER('Chi tiết từng link'!$E$2:$E$2505,'Chi tiết từng link'!$B$2:$B$2505=$D72,'Chi tiết từng link'!$F$2:$F$2505&lt;&gt;""CẦN SOÁT""),1),"""")"),"kiểm tra nợ xấu")</f>
        <v>kiểm tra nợ xấu</v>
      </c>
      <c r="F72" s="17" t="str">
        <f>IFERROR(__xludf.DUMMYFUNCTION("IFERROR(INDEX(FILTER('Chi tiết từng link'!$D$2:$D$2505,'Chi tiết từng link'!$B$2:$B$2505=$D72,'Chi tiết từng link'!$F$2:$F$2505&lt;&gt;""CẦN SOÁT""),1),"""")"),"https://techcombank.com/thong-tin/blog/no-xau-co-lam-the-visa-duoc-khong")</f>
        <v>https://techcombank.com/thong-tin/blog/no-xau-co-lam-the-visa-duoc-khong</v>
      </c>
      <c r="G72" s="19" t="str">
        <f>IFERROR(__xludf.DUMMYFUNCTION("IFERROR(INDEX(FILTER('Chi tiết từng link'!$E$2:$E$2505,'Chi tiết từng link'!$B$2:$B$2505=$D72,'Chi tiết từng link'!$F$2:$F$2505&lt;&gt;""CẦN SOÁT""),2),"""")"),"tra cứu nợ xấu")</f>
        <v>tra cứu nợ xấu</v>
      </c>
      <c r="H72" s="17" t="str">
        <f>IFERROR(__xludf.DUMMYFUNCTION("IFERROR(INDEX(FILTER('Chi tiết từng link'!$D$2:$D$2505,'Chi tiết từng link'!$B$2:$B$2505=$D72,'Chi tiết từng link'!$F$2:$F$2505&lt;&gt;""CẦN SOÁT""),2),"""")"),"https://techcombank.com/thong-tin/blog/no-xau-mo-the-tin-dung-duoc-khong")</f>
        <v>https://techcombank.com/thong-tin/blog/no-xau-mo-the-tin-dung-duoc-khong</v>
      </c>
      <c r="I72" s="19" t="str">
        <f>IFERROR(__xludf.DUMMYFUNCTION("IFERROR(INDEX(FILTER('Chi tiết từng link'!$E$2:$E$2505,'Chi tiết từng link'!$B$2:$B$2505=$D72,'Chi tiết từng link'!$F$2:$F$2505&lt;&gt;""CẦN SOÁT""),3),"""")"),"kiểm tra nợ xấu")</f>
        <v>kiểm tra nợ xấu</v>
      </c>
      <c r="J72" s="17" t="str">
        <f>IFERROR(__xludf.DUMMYFUNCTION("IFERROR(INDEX(FILTER('Chi tiết từng link'!$D$2:$D$2505,'Chi tiết từng link'!$B$2:$B$2505=$D72,'Chi tiết từng link'!$F$2:$F$2505&lt;&gt;""CẦN SOÁT""),3),"""")"),"https://techcombank.com/thong-tin/blog/vay-tin-chap-no-xau")</f>
        <v>https://techcombank.com/thong-tin/blog/vay-tin-chap-no-xau</v>
      </c>
      <c r="K72" s="19" t="str">
        <f>IFERROR(__xludf.DUMMYFUNCTION("IFERROR(INDEX(FILTER('Chi tiết từng link'!$E$2:$E$2505,'Chi tiết từng link'!$B$2:$B$2505=$D72,'Chi tiết từng link'!$F$2:$F$2505&lt;&gt;""CẦN SOÁT""),4),"""")"),"tra cứu nợ xấu")</f>
        <v>tra cứu nợ xấu</v>
      </c>
      <c r="L72" s="17" t="str">
        <f>IFERROR(__xludf.DUMMYFUNCTION("IFERROR(INDEX(FILTER('Chi tiết từng link'!$D$2:$D$2505,'Chi tiết từng link'!$B$2:$B$2505=$D72,'Chi tiết từng link'!$F$2:$F$2505&lt;&gt;""CẦN SOÁT""),4),"""")"),"https://techcombank.com/thong-tin/blog/no-xau-co-vay-the-chap-duoc-khong")</f>
        <v>https://techcombank.com/thong-tin/blog/no-xau-co-vay-the-chap-duoc-khong</v>
      </c>
      <c r="M72" s="19" t="str">
        <f>IFERROR(__xludf.DUMMYFUNCTION("IFERROR(INDEX(FILTER('Chi tiết từng link'!$E$2:$E$2505,'Chi tiết từng link'!$B$2:$B$2505=$D72,'Chi tiết từng link'!$F$2:$F$2505&lt;&gt;""CẦN SOÁT""),5),"""")"),"kiểm tra nợ xấu")</f>
        <v>kiểm tra nợ xấu</v>
      </c>
      <c r="N72" s="17" t="str">
        <f>IFERROR(__xludf.DUMMYFUNCTION("IFERROR(INDEX(FILTER('Chi tiết từng link'!$D$2:$D$2505,'Chi tiết từng link'!$B$2:$B$2505=$D72,'Chi tiết từng link'!$F$2:$F$2505&lt;&gt;""CẦN SOÁT""),5),"""")"),"https://techcombank.com/thong-tin/blog/no-xau-nhom-2")</f>
        <v>https://techcombank.com/thong-tin/blog/no-xau-nhom-2</v>
      </c>
      <c r="O72" s="11">
        <f>COUNTIFS('Chi tiết từng link'!$B$2:$B$2505,$D72,'Chi tiết từng link'!$F$2:$F$2505,"&lt;&gt;CẦN SOÁT")</f>
        <v>5</v>
      </c>
      <c r="P72" s="23" t="s">
        <v>65</v>
      </c>
      <c r="Q72" s="23" t="b">
        <v>0</v>
      </c>
      <c r="R72" s="17" t="str">
        <f>IF(COUNTIFS('Chi tiết từng link'!$B$2:$B$2505,$D72,'Chi tiết từng link'!$F$2:$F$2505,"CẦN SOÁT")&gt;0,"Còn "&amp;COUNTIFS('Chi tiết từng link'!$B$2:$B$2505,$D72,'Chi tiết từng link'!$F$2:$F$2505,"CẦN SOÁT")&amp;" gợi ý cần soát ở tab Chi tiết từng link","")</f>
        <v>Còn 11 gợi ý cần soát ở tab Chi tiết từng link</v>
      </c>
    </row>
    <row r="73" ht="18.0" customHeight="1">
      <c r="A73" s="11">
        <f t="shared" si="1"/>
        <v>72</v>
      </c>
      <c r="B73" s="17" t="str">
        <f t="array" ref="B73">INDEX('Báo cáo 75 trang đích'!$C$2:$C$76,$A73)</f>
        <v>Unsecured Loan</v>
      </c>
      <c r="C73" s="18" t="s">
        <v>418</v>
      </c>
      <c r="D73" s="17" t="str">
        <f t="array" ref="D73">INDEX('Báo cáo 75 trang đích'!$B$2:$B$76,$A73)</f>
        <v>https://techcombank.com/thong-tin/blog/nen-vay-tin-chap-o-dau</v>
      </c>
      <c r="E73" s="19" t="str">
        <f>IFERROR(__xludf.DUMMYFUNCTION("IFERROR(INDEX(FILTER('Chi tiết từng link'!$E$2:$E$2505,'Chi tiết từng link'!$B$2:$B$2505=$D73,'Chi tiết từng link'!$F$2:$F$2505&lt;&gt;""CẦN SOÁT""),1),"""")"),"nên vay tín chấp ở đâu")</f>
        <v>nên vay tín chấp ở đâu</v>
      </c>
      <c r="F73" s="17" t="str">
        <f>IFERROR(__xludf.DUMMYFUNCTION("IFERROR(INDEX(FILTER('Chi tiết từng link'!$D$2:$D$2505,'Chi tiết từng link'!$B$2:$B$2505=$D73,'Chi tiết từng link'!$F$2:$F$2505&lt;&gt;""CẦN SOÁT""),1),"""")"),"https://techcombank.com/thong-tin/blog/vay-tin-chap-la-gi")</f>
        <v>https://techcombank.com/thong-tin/blog/vay-tin-chap-la-gi</v>
      </c>
      <c r="G73" s="19" t="str">
        <f>IFERROR(__xludf.DUMMYFUNCTION("IFERROR(INDEX(FILTER('Chi tiết từng link'!$E$2:$E$2505,'Chi tiết từng link'!$B$2:$B$2505=$D73,'Chi tiết từng link'!$F$2:$F$2505&lt;&gt;""CẦN SOÁT""),2),"""")"),"nên vay tín chấp ở đâu")</f>
        <v>nên vay tín chấp ở đâu</v>
      </c>
      <c r="H73" s="17" t="str">
        <f>IFERROR(__xludf.DUMMYFUNCTION("IFERROR(INDEX(FILTER('Chi tiết từng link'!$D$2:$D$2505,'Chi tiết từng link'!$B$2:$B$2505=$D73,'Chi tiết từng link'!$F$2:$F$2505&lt;&gt;""CẦN SOÁT""),2),"""")"),"https://techcombank.com/thong-tin/blog/ho-so-vay-tin-chap")</f>
        <v>https://techcombank.com/thong-tin/blog/ho-so-vay-tin-chap</v>
      </c>
      <c r="I73" s="19" t="str">
        <f>IFERROR(__xludf.DUMMYFUNCTION("IFERROR(INDEX(FILTER('Chi tiết từng link'!$E$2:$E$2505,'Chi tiết từng link'!$B$2:$B$2505=$D73,'Chi tiết từng link'!$F$2:$F$2505&lt;&gt;""CẦN SOÁT""),3),"""")"),"nên vay tín chấp ở đâu")</f>
        <v>nên vay tín chấp ở đâu</v>
      </c>
      <c r="J73" s="17" t="str">
        <f>IFERROR(__xludf.DUMMYFUNCTION("IFERROR(INDEX(FILTER('Chi tiết từng link'!$D$2:$D$2505,'Chi tiết từng link'!$B$2:$B$2505=$D73,'Chi tiết từng link'!$F$2:$F$2505&lt;&gt;""CẦN SOÁT""),3),"""")"),"https://techcombank.com/thong-tin/blog/vay-tin-chap-toi-da-duoc-bao-nhieu")</f>
        <v>https://techcombank.com/thong-tin/blog/vay-tin-chap-toi-da-duoc-bao-nhieu</v>
      </c>
      <c r="K73" s="19" t="str">
        <f>IFERROR(__xludf.DUMMYFUNCTION("IFERROR(INDEX(FILTER('Chi tiết từng link'!$E$2:$E$2505,'Chi tiết từng link'!$B$2:$B$2505=$D73,'Chi tiết từng link'!$F$2:$F$2505&lt;&gt;""CẦN SOÁT""),4),"""")"),"nên vay tín chấp ở đâu")</f>
        <v>nên vay tín chấp ở đâu</v>
      </c>
      <c r="L73" s="17" t="str">
        <f>IFERROR(__xludf.DUMMYFUNCTION("IFERROR(INDEX(FILTER('Chi tiết từng link'!$D$2:$D$2505,'Chi tiết từng link'!$B$2:$B$2505=$D73,'Chi tiết từng link'!$F$2:$F$2505&lt;&gt;""CẦN SOÁT""),4),"""")"),"https://techcombank.com/thong-tin/blog/vay-tin-chap-va-vay-the-chap")</f>
        <v>https://techcombank.com/thong-tin/blog/vay-tin-chap-va-vay-the-chap</v>
      </c>
      <c r="M73" s="19" t="str">
        <f>IFERROR(__xludf.DUMMYFUNCTION("IFERROR(INDEX(FILTER('Chi tiết từng link'!$E$2:$E$2505,'Chi tiết từng link'!$B$2:$B$2505=$D73,'Chi tiết từng link'!$F$2:$F$2505&lt;&gt;""CẦN SOÁT""),5),"""")"),"nên vay tín chấp ở đâu")</f>
        <v>nên vay tín chấp ở đâu</v>
      </c>
      <c r="N73" s="17" t="str">
        <f>IFERROR(__xludf.DUMMYFUNCTION("IFERROR(INDEX(FILTER('Chi tiết từng link'!$D$2:$D$2505,'Chi tiết từng link'!$B$2:$B$2505=$D73,'Chi tiết từng link'!$F$2:$F$2505&lt;&gt;""CẦN SOÁT""),5),"""")"),"https://techcombank.com/thong-tin/blog/lai-suat-vay-tin-chap")</f>
        <v>https://techcombank.com/thong-tin/blog/lai-suat-vay-tin-chap</v>
      </c>
      <c r="O73" s="11">
        <f>COUNTIFS('Chi tiết từng link'!$B$2:$B$2505,$D73,'Chi tiết từng link'!$F$2:$F$2505,"&lt;&gt;CẦN SOÁT")</f>
        <v>5</v>
      </c>
      <c r="P73" s="23" t="s">
        <v>65</v>
      </c>
      <c r="Q73" s="23" t="b">
        <v>0</v>
      </c>
      <c r="R73" s="17" t="str">
        <f>IF(COUNTIFS('Chi tiết từng link'!$B$2:$B$2505,$D73,'Chi tiết từng link'!$F$2:$F$2505,"CẦN SOÁT")&gt;0,"Còn "&amp;COUNTIFS('Chi tiết từng link'!$B$2:$B$2505,$D73,'Chi tiết từng link'!$F$2:$F$2505,"CẦN SOÁT")&amp;" gợi ý cần soát ở tab Chi tiết từng link","")</f>
        <v>Còn 26 gợi ý cần soát ở tab Chi tiết từng link</v>
      </c>
    </row>
    <row r="74" ht="18.0" customHeight="1">
      <c r="A74" s="11">
        <f t="shared" si="1"/>
        <v>73</v>
      </c>
      <c r="B74" s="17" t="str">
        <f t="array" ref="B74">INDEX('Báo cáo 75 trang đích'!$C$2:$C$76,$A74)</f>
        <v>Unsecured Loan</v>
      </c>
      <c r="C74" s="18" t="s">
        <v>423</v>
      </c>
      <c r="D74" s="17" t="str">
        <f t="array" ref="D74">INDEX('Báo cáo 75 trang đích'!$B$2:$B$76,$A74)</f>
        <v>https://techcombank.com/thong-tin/blog/no-xau-la-gi</v>
      </c>
      <c r="E74" s="19" t="str">
        <f>IFERROR(__xludf.DUMMYFUNCTION("IFERROR(INDEX(FILTER('Chi tiết từng link'!$E$2:$E$2505,'Chi tiết từng link'!$B$2:$B$2505=$D74,'Chi tiết từng link'!$F$2:$F$2505&lt;&gt;""CẦN SOÁT""),1),"""")"),"nợ xấu là gì")</f>
        <v>nợ xấu là gì</v>
      </c>
      <c r="F74" s="17" t="str">
        <f>IFERROR(__xludf.DUMMYFUNCTION("IFERROR(INDEX(FILTER('Chi tiết từng link'!$D$2:$D$2505,'Chi tiết từng link'!$B$2:$B$2505=$D74,'Chi tiết từng link'!$F$2:$F$2505&lt;&gt;""CẦN SOÁT""),1),"""")"),"https://techcombank.com/thong-tin/blog/no-chu-y-la-gi")</f>
        <v>https://techcombank.com/thong-tin/blog/no-chu-y-la-gi</v>
      </c>
      <c r="G74" s="19" t="str">
        <f>IFERROR(__xludf.DUMMYFUNCTION("IFERROR(INDEX(FILTER('Chi tiết từng link'!$E$2:$E$2505,'Chi tiết từng link'!$B$2:$B$2505=$D74,'Chi tiết từng link'!$F$2:$F$2505&lt;&gt;""CẦN SOÁT""),2),"""")"),"nợ xấu")</f>
        <v>nợ xấu</v>
      </c>
      <c r="H74" s="17" t="str">
        <f>IFERROR(__xludf.DUMMYFUNCTION("IFERROR(INDEX(FILTER('Chi tiết từng link'!$D$2:$D$2505,'Chi tiết từng link'!$B$2:$B$2505=$D74,'Chi tiết từng link'!$F$2:$F$2505&lt;&gt;""CẦN SOÁT""),2),"""")"),"https://techcombank.com/thong-tin/blog/no-nhom-3")</f>
        <v>https://techcombank.com/thong-tin/blog/no-nhom-3</v>
      </c>
      <c r="I74" s="19" t="str">
        <f>IFERROR(__xludf.DUMMYFUNCTION("IFERROR(INDEX(FILTER('Chi tiết từng link'!$E$2:$E$2505,'Chi tiết từng link'!$B$2:$B$2505=$D74,'Chi tiết từng link'!$F$2:$F$2505&lt;&gt;""CẦN SOÁT""),3),"""")"),"nợ xấu là gì")</f>
        <v>nợ xấu là gì</v>
      </c>
      <c r="J74" s="17" t="str">
        <f>IFERROR(__xludf.DUMMYFUNCTION("IFERROR(INDEX(FILTER('Chi tiết từng link'!$D$2:$D$2505,'Chi tiết từng link'!$B$2:$B$2505=$D74,'Chi tiết từng link'!$F$2:$F$2505&lt;&gt;""CẦN SOÁT""),3),"""")"),"https://techcombank.com/thong-tin/blog/du-no-tin-dung-la-gi")</f>
        <v>https://techcombank.com/thong-tin/blog/du-no-tin-dung-la-gi</v>
      </c>
      <c r="K74" s="19" t="str">
        <f>IFERROR(__xludf.DUMMYFUNCTION("IFERROR(INDEX(FILTER('Chi tiết từng link'!$E$2:$E$2505,'Chi tiết từng link'!$B$2:$B$2505=$D74,'Chi tiết từng link'!$F$2:$F$2505&lt;&gt;""CẦN SOÁT""),4),"""")"),"nợ xấu")</f>
        <v>nợ xấu</v>
      </c>
      <c r="L74" s="17" t="str">
        <f>IFERROR(__xludf.DUMMYFUNCTION("IFERROR(INDEX(FILTER('Chi tiết từng link'!$D$2:$D$2505,'Chi tiết từng link'!$B$2:$B$2505=$D74,'Chi tiết từng link'!$F$2:$F$2505&lt;&gt;""CẦN SOÁT""),4),"""")"),"https://techcombank.com/thong-tin/blog/no-the-tin-dung-qua-han")</f>
        <v>https://techcombank.com/thong-tin/blog/no-the-tin-dung-qua-han</v>
      </c>
      <c r="M74" s="19" t="str">
        <f>IFERROR(__xludf.DUMMYFUNCTION("IFERROR(INDEX(FILTER('Chi tiết từng link'!$E$2:$E$2505,'Chi tiết từng link'!$B$2:$B$2505=$D74,'Chi tiết từng link'!$F$2:$F$2505&lt;&gt;""CẦN SOÁT""),5),"""")"),"nợ xấu là gì")</f>
        <v>nợ xấu là gì</v>
      </c>
      <c r="N74" s="17" t="str">
        <f>IFERROR(__xludf.DUMMYFUNCTION("IFERROR(INDEX(FILTER('Chi tiết từng link'!$D$2:$D$2505,'Chi tiết từng link'!$B$2:$B$2505=$D74,'Chi tiết từng link'!$F$2:$F$2505&lt;&gt;""CẦN SOÁT""),5),"""")"),"https://techcombank.com/thong-tin/blog/no-xau")</f>
        <v>https://techcombank.com/thong-tin/blog/no-xau</v>
      </c>
      <c r="O74" s="11">
        <f>COUNTIFS('Chi tiết từng link'!$B$2:$B$2505,$D74,'Chi tiết từng link'!$F$2:$F$2505,"&lt;&gt;CẦN SOÁT")</f>
        <v>5</v>
      </c>
      <c r="P74" s="23" t="s">
        <v>65</v>
      </c>
      <c r="Q74" s="23" t="b">
        <v>0</v>
      </c>
      <c r="R74" s="17" t="str">
        <f>IF(COUNTIFS('Chi tiết từng link'!$B$2:$B$2505,$D74,'Chi tiết từng link'!$F$2:$F$2505,"CẦN SOÁT")&gt;0,"Còn "&amp;COUNTIFS('Chi tiết từng link'!$B$2:$B$2505,$D74,'Chi tiết từng link'!$F$2:$F$2505,"CẦN SOÁT")&amp;" gợi ý cần soát ở tab Chi tiết từng link","")</f>
        <v>Còn 11 gợi ý cần soát ở tab Chi tiết từng link</v>
      </c>
    </row>
    <row r="75" ht="18.0" customHeight="1">
      <c r="A75" s="11">
        <f t="shared" si="1"/>
        <v>74</v>
      </c>
      <c r="B75" s="17" t="str">
        <f t="array" ref="B75">INDEX('Báo cáo 75 trang đích'!$C$2:$C$76,$A75)</f>
        <v>Unsecured Loan</v>
      </c>
      <c r="C75" s="18" t="s">
        <v>430</v>
      </c>
      <c r="D75" s="17" t="str">
        <f t="array" ref="D75">INDEX('Báo cáo 75 trang đích'!$B$2:$B$76,$A75)</f>
        <v>https://techcombank.com/thong-tin/blog/vay-tin-chap-khong-tra-duoc-co-sao-khong</v>
      </c>
      <c r="E75" s="19" t="str">
        <f>IFERROR(__xludf.DUMMYFUNCTION("IFERROR(INDEX(FILTER('Chi tiết từng link'!$E$2:$E$2505,'Chi tiết từng link'!$B$2:$B$2505=$D75,'Chi tiết từng link'!$F$2:$F$2505&lt;&gt;""CẦN SOÁT""),1),"""")"),"vay tín chấp không trả được có sao không")</f>
        <v>vay tín chấp không trả được có sao không</v>
      </c>
      <c r="F75" s="17" t="str">
        <f>IFERROR(__xludf.DUMMYFUNCTION("IFERROR(INDEX(FILTER('Chi tiết từng link'!$D$2:$D$2505,'Chi tiết từng link'!$B$2:$B$2505=$D75,'Chi tiết từng link'!$F$2:$F$2505&lt;&gt;""CẦN SOÁT""),1),"""")"),"https://techcombank.com/thong-tin/blog/vay-the-chap-khong-tra-duoc")</f>
        <v>https://techcombank.com/thong-tin/blog/vay-the-chap-khong-tra-duoc</v>
      </c>
      <c r="G75" s="19" t="str">
        <f>IFERROR(__xludf.DUMMYFUNCTION("IFERROR(INDEX(FILTER('Chi tiết từng link'!$E$2:$E$2505,'Chi tiết từng link'!$B$2:$B$2505=$D75,'Chi tiết từng link'!$F$2:$F$2505&lt;&gt;""CẦN SOÁT""),2),"""")"),"vay tín chấp không trả được có sao không")</f>
        <v>vay tín chấp không trả được có sao không</v>
      </c>
      <c r="H75" s="17" t="str">
        <f>IFERROR(__xludf.DUMMYFUNCTION("IFERROR(INDEX(FILTER('Chi tiết từng link'!$D$2:$D$2505,'Chi tiết từng link'!$B$2:$B$2505=$D75,'Chi tiết từng link'!$F$2:$F$2505&lt;&gt;""CẦN SOÁT""),2),"""")"),"https://techcombank.com/thong-tin/blog/lai-suat-qua-han")</f>
        <v>https://techcombank.com/thong-tin/blog/lai-suat-qua-han</v>
      </c>
      <c r="I75" s="19" t="str">
        <f>IFERROR(__xludf.DUMMYFUNCTION("IFERROR(INDEX(FILTER('Chi tiết từng link'!$E$2:$E$2505,'Chi tiết từng link'!$B$2:$B$2505=$D75,'Chi tiết từng link'!$F$2:$F$2505&lt;&gt;""CẦN SOÁT""),3),"""")"),"vay tín chấp không trả được có sao không")</f>
        <v>vay tín chấp không trả được có sao không</v>
      </c>
      <c r="J75" s="17" t="str">
        <f>IFERROR(__xludf.DUMMYFUNCTION("IFERROR(INDEX(FILTER('Chi tiết từng link'!$D$2:$D$2505,'Chi tiết từng link'!$B$2:$B$2505=$D75,'Chi tiết từng link'!$F$2:$F$2505&lt;&gt;""CẦN SOÁT""),3),"""")"),"https://techcombank.com/thong-tin/blog/no-the-tin-dung-qua-han")</f>
        <v>https://techcombank.com/thong-tin/blog/no-the-tin-dung-qua-han</v>
      </c>
      <c r="K75" s="19" t="str">
        <f>IFERROR(__xludf.DUMMYFUNCTION("IFERROR(INDEX(FILTER('Chi tiết từng link'!$E$2:$E$2505,'Chi tiết từng link'!$B$2:$B$2505=$D75,'Chi tiết từng link'!$F$2:$F$2505&lt;&gt;""CẦN SOÁT""),4),"""")"),"vay tín chấp không trả được có sao không")</f>
        <v>vay tín chấp không trả được có sao không</v>
      </c>
      <c r="L75" s="17" t="str">
        <f>IFERROR(__xludf.DUMMYFUNCTION("IFERROR(INDEX(FILTER('Chi tiết từng link'!$D$2:$D$2505,'Chi tiết từng link'!$B$2:$B$2505=$D75,'Chi tiết từng link'!$F$2:$F$2505&lt;&gt;""CẦN SOÁT""),4),"""")"),"https://techcombank.com/thong-tin/blog/vay-tin-chap-la-gi")</f>
        <v>https://techcombank.com/thong-tin/blog/vay-tin-chap-la-gi</v>
      </c>
      <c r="M75" s="19" t="str">
        <f>IFERROR(__xludf.DUMMYFUNCTION("IFERROR(INDEX(FILTER('Chi tiết từng link'!$E$2:$E$2505,'Chi tiết từng link'!$B$2:$B$2505=$D75,'Chi tiết từng link'!$F$2:$F$2505&lt;&gt;""CẦN SOÁT""),5),"""")"),"vay tín chấp không trả được có sao không")</f>
        <v>vay tín chấp không trả được có sao không</v>
      </c>
      <c r="N75" s="17" t="str">
        <f>IFERROR(__xludf.DUMMYFUNCTION("IFERROR(INDEX(FILTER('Chi tiết từng link'!$D$2:$D$2505,'Chi tiết từng link'!$B$2:$B$2505=$D75,'Chi tiết từng link'!$F$2:$F$2505&lt;&gt;""CẦN SOÁT""),5),"""")"),"https://techcombank.com/thong-tin/blog/tat-toan")</f>
        <v>https://techcombank.com/thong-tin/blog/tat-toan</v>
      </c>
      <c r="O75" s="11">
        <f>COUNTIFS('Chi tiết từng link'!$B$2:$B$2505,$D75,'Chi tiết từng link'!$F$2:$F$2505,"&lt;&gt;CẦN SOÁT")</f>
        <v>5</v>
      </c>
      <c r="P75" s="23" t="s">
        <v>65</v>
      </c>
      <c r="Q75" s="23" t="b">
        <v>0</v>
      </c>
      <c r="R75" s="17" t="str">
        <f>IF(COUNTIFS('Chi tiết từng link'!$B$2:$B$2505,$D75,'Chi tiết từng link'!$F$2:$F$2505,"CẦN SOÁT")&gt;0,"Còn "&amp;COUNTIFS('Chi tiết từng link'!$B$2:$B$2505,$D75,'Chi tiết từng link'!$F$2:$F$2505,"CẦN SOÁT")&amp;" gợi ý cần soát ở tab Chi tiết từng link","")</f>
        <v>Còn 29 gợi ý cần soát ở tab Chi tiết từng link</v>
      </c>
    </row>
    <row r="76" ht="18.0" customHeight="1">
      <c r="A76" s="11">
        <f t="shared" si="1"/>
        <v>75</v>
      </c>
      <c r="B76" s="17" t="str">
        <f t="array" ref="B76">INDEX('Báo cáo 75 trang đích'!$C$2:$C$76,$A76)</f>
        <v>Wealth</v>
      </c>
      <c r="C76" s="18" t="s">
        <v>435</v>
      </c>
      <c r="D76" s="17" t="str">
        <f t="array" ref="D76">INDEX('Báo cáo 75 trang đích'!$B$2:$B$76,$A76)</f>
        <v>https://techcombank.com/thong-tin/blog/phuong-phap-dau-tu-chung-chi-quy</v>
      </c>
      <c r="E76" s="19" t="str">
        <f>IFERROR(__xludf.DUMMYFUNCTION("IFERROR(INDEX(FILTER('Chi tiết từng link'!$E$2:$E$2505,'Chi tiết từng link'!$B$2:$B$2505=$D76,'Chi tiết từng link'!$F$2:$F$2505&lt;&gt;""CẦN SOÁT""),1),"""")"),"phương pháp đầu tư chứng chỉ quỹ")</f>
        <v>phương pháp đầu tư chứng chỉ quỹ</v>
      </c>
      <c r="F76" s="17" t="str">
        <f>IFERROR(__xludf.DUMMYFUNCTION("IFERROR(INDEX(FILTER('Chi tiết từng link'!$D$2:$D$2505,'Chi tiết từng link'!$B$2:$B$2505=$D76,'Chi tiết từng link'!$F$2:$F$2505&lt;&gt;""CẦN SOÁT""),1),"""")"),"https://techcombank.com/thong-tin/blog/chung-chi-quy")</f>
        <v>https://techcombank.com/thong-tin/blog/chung-chi-quy</v>
      </c>
      <c r="G76" s="19" t="str">
        <f>IFERROR(__xludf.DUMMYFUNCTION("IFERROR(INDEX(FILTER('Chi tiết từng link'!$E$2:$E$2505,'Chi tiết từng link'!$B$2:$B$2505=$D76,'Chi tiết từng link'!$F$2:$F$2505&lt;&gt;""CẦN SOÁT""),2),"""")"),"cách đầu tư chứng chỉ quỹ")</f>
        <v>cách đầu tư chứng chỉ quỹ</v>
      </c>
      <c r="H76" s="17" t="str">
        <f>IFERROR(__xludf.DUMMYFUNCTION("IFERROR(INDEX(FILTER('Chi tiết từng link'!$D$2:$D$2505,'Chi tiết từng link'!$B$2:$B$2505=$D76,'Chi tiết từng link'!$F$2:$F$2505&lt;&gt;""CẦN SOÁT""),2),"""")"),"https://techcombank.com/thong-tin/blog/mua-chung-chi-quy")</f>
        <v>https://techcombank.com/thong-tin/blog/mua-chung-chi-quy</v>
      </c>
      <c r="I76" s="19" t="str">
        <f>IFERROR(__xludf.DUMMYFUNCTION("IFERROR(INDEX(FILTER('Chi tiết từng link'!$E$2:$E$2505,'Chi tiết từng link'!$B$2:$B$2505=$D76,'Chi tiết từng link'!$F$2:$F$2505&lt;&gt;""CẦN SOÁT""),3),"""")"),"đầu tư chứng chỉ quỹ cho người mới")</f>
        <v>đầu tư chứng chỉ quỹ cho người mới</v>
      </c>
      <c r="J76" s="17" t="str">
        <f>IFERROR(__xludf.DUMMYFUNCTION("IFERROR(INDEX(FILTER('Chi tiết từng link'!$D$2:$D$2505,'Chi tiết từng link'!$B$2:$B$2505=$D76,'Chi tiết từng link'!$F$2:$F$2505&lt;&gt;""CẦN SOÁT""),3),"""")"),"https://techcombank.com/thong-tin/blog/dau-tu-quy-mo")</f>
        <v>https://techcombank.com/thong-tin/blog/dau-tu-quy-mo</v>
      </c>
      <c r="K76" s="19" t="str">
        <f>IFERROR(__xludf.DUMMYFUNCTION("IFERROR(INDEX(FILTER('Chi tiết từng link'!$E$2:$E$2505,'Chi tiết từng link'!$B$2:$B$2505=$D76,'Chi tiết từng link'!$F$2:$F$2505&lt;&gt;""CẦN SOÁT""),4),"""")"),"phương pháp đầu tư chứng chỉ quỹ")</f>
        <v>phương pháp đầu tư chứng chỉ quỹ</v>
      </c>
      <c r="L76" s="17" t="str">
        <f>IFERROR(__xludf.DUMMYFUNCTION("IFERROR(INDEX(FILTER('Chi tiết từng link'!$D$2:$D$2505,'Chi tiết từng link'!$B$2:$B$2505=$D76,'Chi tiết từng link'!$F$2:$F$2505&lt;&gt;""CẦN SOÁT""),4),"""")"),"https://techcombank.com/thong-tin/blog/app-theo-doi-chung-chi-quy")</f>
        <v>https://techcombank.com/thong-tin/blog/app-theo-doi-chung-chi-quy</v>
      </c>
      <c r="M76" s="19" t="str">
        <f>IFERROR(__xludf.DUMMYFUNCTION("IFERROR(INDEX(FILTER('Chi tiết từng link'!$E$2:$E$2505,'Chi tiết từng link'!$B$2:$B$2505=$D76,'Chi tiết từng link'!$F$2:$F$2505&lt;&gt;""CẦN SOÁT""),5),"""")"),"cách đầu tư chứng chỉ quỹ")</f>
        <v>cách đầu tư chứng chỉ quỹ</v>
      </c>
      <c r="N76" s="17" t="str">
        <f>IFERROR(__xludf.DUMMYFUNCTION("IFERROR(INDEX(FILTER('Chi tiết từng link'!$D$2:$D$2505,'Chi tiết từng link'!$B$2:$B$2505=$D76,'Chi tiết từng link'!$F$2:$F$2505&lt;&gt;""CẦN SOÁT""),5),"""")"),"https://techcombank.com/thong-tin/blog/chung-chi-quy-va-co-phieu")</f>
        <v>https://techcombank.com/thong-tin/blog/chung-chi-quy-va-co-phieu</v>
      </c>
      <c r="O76" s="11">
        <f>COUNTIFS('Chi tiết từng link'!$B$2:$B$2505,$D76,'Chi tiết từng link'!$F$2:$F$2505,"&lt;&gt;CẦN SOÁT")</f>
        <v>5</v>
      </c>
      <c r="P76" s="23" t="s">
        <v>65</v>
      </c>
      <c r="Q76" s="23" t="b">
        <v>0</v>
      </c>
      <c r="R76" s="17" t="str">
        <f>IF(COUNTIFS('Chi tiết từng link'!$B$2:$B$2505,$D76,'Chi tiết từng link'!$F$2:$F$2505,"CẦN SOÁT")&gt;0,"Còn "&amp;COUNTIFS('Chi tiết từng link'!$B$2:$B$2505,$D76,'Chi tiết từng link'!$F$2:$F$2505,"CẦN SOÁT")&amp;" gợi ý cần soát ở tab Chi tiết từng link","")</f>
        <v>Còn 56 gợi ý cần soát ở tab Chi tiết từng link</v>
      </c>
    </row>
  </sheetData>
  <autoFilter ref="$A$1:$R$76"/>
  <conditionalFormatting sqref="P2:P76">
    <cfRule type="cellIs" dxfId="0" priority="1" stopIfTrue="1" operator="equal">
      <formula>"Chưa hoàn thành"</formula>
    </cfRule>
  </conditionalFormatting>
  <conditionalFormatting sqref="P2:P76">
    <cfRule type="cellIs" dxfId="1" priority="2" stopIfTrue="1" operator="equal">
      <formula>"Đang làm"</formula>
    </cfRule>
  </conditionalFormatting>
  <conditionalFormatting sqref="P2:P76">
    <cfRule type="cellIs" dxfId="2" priority="3" stopIfTrue="1" operator="equal">
      <formula>"Đã hoàn thành"</formula>
    </cfRule>
  </conditionalFormatting>
  <dataValidations>
    <dataValidation type="list" allowBlank="1" showErrorMessage="1" sqref="P2:P76">
      <formula1>"Chưa hoàn thành,Đang làm,Đã hoàn thành"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7.63"/>
    <col customWidth="1" min="2" max="2" width="51.25"/>
    <col customWidth="1" min="3" max="3" width="15.13"/>
    <col customWidth="1" min="4" max="8" width="13.88"/>
    <col customWidth="1" min="9" max="9" width="42.63"/>
    <col customWidth="1" min="10" max="10" width="60.13"/>
    <col customWidth="1" min="11" max="11" width="21.3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8</v>
      </c>
      <c r="F1" s="2" t="s">
        <v>10</v>
      </c>
      <c r="G1" s="2" t="s">
        <v>11</v>
      </c>
      <c r="H1" s="2" t="s">
        <v>13</v>
      </c>
      <c r="I1" s="2" t="s">
        <v>15</v>
      </c>
      <c r="J1" s="2" t="s">
        <v>17</v>
      </c>
      <c r="K1" s="2" t="s">
        <v>20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7">
        <v>1.0</v>
      </c>
      <c r="B2" s="8" t="s">
        <v>26</v>
      </c>
      <c r="C2" s="9" t="s">
        <v>40</v>
      </c>
      <c r="D2" s="12">
        <f>COUNTIF('Chi tiết từng link'!$B$2:$B$2505,B2)</f>
        <v>7</v>
      </c>
      <c r="E2" s="14">
        <f>COUNTIFS('Chi tiết từng link'!$B$2:$B$2505,B2,'Chi tiết từng link'!$F$2:$F$2505,"PHÙ HỢP CAO")</f>
        <v>4</v>
      </c>
      <c r="F2" s="14">
        <f>COUNTIFS('Chi tiết từng link'!$B$2:$B$2505,B2,'Chi tiết từng link'!$F$2:$F$2505,"CÓ THỂ ĐI")</f>
        <v>1</v>
      </c>
      <c r="G2" s="14">
        <f>COUNTIFS('Chi tiết từng link'!$B$2:$B$2505,B2,'Chi tiết từng link'!$F$2:$F$2505,"CẦN SOÁT")</f>
        <v>2</v>
      </c>
      <c r="H2" s="14">
        <f>IFERROR(__xludf.DUMMYFUNCTION("IF(D2=0,0,COUNTUNIQUE(FILTER('Chi tiết từng link'!$E$2:$E$2505,'Chi tiết từng link'!$B$2:$B$2505=B2)))"),4.0)</f>
        <v>4</v>
      </c>
      <c r="I2" s="21" t="str">
        <f>IFERROR(__xludf.DUMMYFUNCTION("IFERROR(TEXTJOIN(CHAR(10),TRUE,BYROW(QUERY('Chi tiết từng link'!$B$2:$E$2505,""select E, count(E) where B = '""&amp;B2&amp;""' group by E order by count(E) desc label count(E) ''"",0),LAMBDA(r,INDEX(r,1,1)&amp;"" – ""&amp;INDEX(r,1,2)&amp;"" link""))),""—"")"),"lãi suất vay mua xe ô tô – 2 link
lãi suất vay mua ô tô – 2 link
lãi suất vay mua ô tô các ngân hàng – 2 link
mua xe trả góp lãi suất bao nhiêu – 1 link")</f>
        <v>lãi suất vay mua xe ô tô – 2 link
lãi suất vay mua ô tô – 2 link
lãi suất vay mua ô tô các ngân hàng – 2 link
mua xe trả góp lãi suất bao nhiêu – 1 link</v>
      </c>
      <c r="J2" s="21" t="str">
        <f>IFERROR(__xludf.DUMMYFUNCTION("IFERROR(TEXTJOIN(CHAR(10),TRUE,FILTER('Chi tiết từng link'!$D$2:$D$2505,'Chi tiết từng link'!$B$2:$B$2505=B2,'Chi tiết từng link'!$F$2:$F$2505&lt;&gt;""CẦN SOÁT"")),""—"")"),"https://techcombank.com/thong-tin/blog/vay-mua-xe-tra-gop-ngan-hang-nao-tot-nhat
https://techcombank.com/thong-tin/blog/co-nen-mua-o-to-tra-gop
https://techcombank.com/thong-tin/blog/thu-tuc-mua-xe-tra-gop
https://techcombank.com/thong-tin/blog/nen-mua-xe"&amp;"-tra-gop-hay-tra-thang
https://techcombank.com/thong-tin/blog/vay-the-chap-xe-o-to-cu")</f>
        <v>https://techcombank.com/thong-tin/blog/vay-mua-xe-tra-gop-ngan-hang-nao-tot-nhat
https://techcombank.com/thong-tin/blog/co-nen-mua-o-to-tra-gop
https://techcombank.com/thong-tin/blog/thu-tuc-mua-xe-tra-gop
https://techcombank.com/thong-tin/blog/nen-mua-xe-tra-gop-hay-tra-thang
https://techcombank.com/thong-tin/blog/vay-the-chap-xe-o-to-cu</v>
      </c>
      <c r="K2" s="21" t="str">
        <f t="shared" ref="K2:K76" si="1">IF(D2=0,"Chưa có bài nguồn",IF(E2+F2=0,"Chỉ có gợi ý cần soát","Có đề xuất dùng được"))</f>
        <v>Có đề xuất dùng được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7">
        <v>2.0</v>
      </c>
      <c r="B3" s="8" t="s">
        <v>56</v>
      </c>
      <c r="C3" s="9" t="s">
        <v>61</v>
      </c>
      <c r="D3" s="12">
        <f>COUNTIF('Chi tiết từng link'!$B$2:$B$2505,B3)</f>
        <v>21</v>
      </c>
      <c r="E3" s="14">
        <f>COUNTIFS('Chi tiết từng link'!$B$2:$B$2505,B3,'Chi tiết từng link'!$F$2:$F$2505,"PHÙ HỢP CAO")</f>
        <v>1</v>
      </c>
      <c r="F3" s="14">
        <f>COUNTIFS('Chi tiết từng link'!$B$2:$B$2505,B3,'Chi tiết từng link'!$F$2:$F$2505,"CÓ THỂ ĐI")</f>
        <v>2</v>
      </c>
      <c r="G3" s="14">
        <f>COUNTIFS('Chi tiết từng link'!$B$2:$B$2505,B3,'Chi tiết từng link'!$F$2:$F$2505,"CẦN SOÁT")</f>
        <v>18</v>
      </c>
      <c r="H3" s="14">
        <f>IFERROR(__xludf.DUMMYFUNCTION("IF(D3=0,0,COUNTUNIQUE(FILTER('Chi tiết từng link'!$E$2:$E$2505,'Chi tiết từng link'!$B$2:$B$2505=B3)))"),3.0)</f>
        <v>3</v>
      </c>
      <c r="I3" s="21" t="str">
        <f>IFERROR(__xludf.DUMMYFUNCTION("IFERROR(TEXTJOIN(CHAR(10),TRUE,BYROW(QUERY('Chi tiết từng link'!$B$2:$E$2505,""select E, count(E) where B = '""&amp;B3&amp;""' group by E order by count(E) desc label count(E) ''"",0),LAMBDA(r,INDEX(r,1,1)&amp;"" – ""&amp;INDEX(r,1,2)&amp;"" link""))),""—"")"),"cách nộp thuế đất online – 7 link
nộp thuế đất qua ngân hàng – 7 link
đóng thuế đất qua ngân hàng – 7 link")</f>
        <v>cách nộp thuế đất online – 7 link
nộp thuế đất qua ngân hàng – 7 link
đóng thuế đất qua ngân hàng – 7 link</v>
      </c>
      <c r="J3" s="21" t="str">
        <f>IFERROR(__xludf.DUMMYFUNCTION("IFERROR(TEXTJOIN(CHAR(10),TRUE,FILTER('Chi tiết từng link'!$D$2:$D$2505,'Chi tiết từng link'!$B$2:$B$2505=B3,'Chi tiết từng link'!$F$2:$F$2505&lt;&gt;""CẦN SOÁT"")),""—"")"),"https://techcombank.com/thong-tin/blog/lien-ket-tai-khoan-ngan-hang-voi-etax-mobile
https://techcombank.com/thong-tin/blog/cach-nop-thue-dien-tu
https://techcombank.com/thong-tin/blog/ho-so-thu-tuc-xoa-the-chap")</f>
        <v>https://techcombank.com/thong-tin/blog/lien-ket-tai-khoan-ngan-hang-voi-etax-mobile
https://techcombank.com/thong-tin/blog/cach-nop-thue-dien-tu
https://techcombank.com/thong-tin/blog/ho-so-thu-tuc-xoa-the-chap</v>
      </c>
      <c r="K3" s="21" t="str">
        <f t="shared" si="1"/>
        <v>Có đề xuất dùng được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7">
        <v>3.0</v>
      </c>
      <c r="B4" s="8" t="s">
        <v>67</v>
      </c>
      <c r="C4" s="9" t="s">
        <v>61</v>
      </c>
      <c r="D4" s="12">
        <f>COUNTIF('Chi tiết từng link'!$B$2:$B$2505,B4)</f>
        <v>22</v>
      </c>
      <c r="E4" s="14">
        <f>COUNTIFS('Chi tiết từng link'!$B$2:$B$2505,B4,'Chi tiết từng link'!$F$2:$F$2505,"PHÙ HỢP CAO")</f>
        <v>3</v>
      </c>
      <c r="F4" s="14">
        <f>COUNTIFS('Chi tiết từng link'!$B$2:$B$2505,B4,'Chi tiết từng link'!$F$2:$F$2505,"CÓ THỂ ĐI")</f>
        <v>2</v>
      </c>
      <c r="G4" s="14">
        <f>COUNTIFS('Chi tiết từng link'!$B$2:$B$2505,B4,'Chi tiết từng link'!$F$2:$F$2505,"CẦN SOÁT")</f>
        <v>17</v>
      </c>
      <c r="H4" s="14">
        <f>IFERROR(__xludf.DUMMYFUNCTION("IF(D4=0,0,COUNTUNIQUE(FILTER('Chi tiết từng link'!$E$2:$E$2505,'Chi tiết từng link'!$B$2:$B$2505=B4)))"),3.0)</f>
        <v>3</v>
      </c>
      <c r="I4" s="21" t="str">
        <f>IFERROR(__xludf.DUMMYFUNCTION("IFERROR(TEXTJOIN(CHAR(10),TRUE,BYROW(QUERY('Chi tiết từng link'!$B$2:$E$2505,""select E, count(E) where B = '""&amp;B4&amp;""' group by E order by count(E) desc label count(E) ''"",0),LAMBDA(r,INDEX(r,1,1)&amp;"" – ""&amp;INDEX(r,1,2)&amp;"" link""))),""—"")"),"cách nộp thuế điện tử – 8 link
hướng dẫn nộp thuế điện tử – 7 link
nộp thuế điện tử – 7 link")</f>
        <v>cách nộp thuế điện tử – 8 link
hướng dẫn nộp thuế điện tử – 7 link
nộp thuế điện tử – 7 link</v>
      </c>
      <c r="J4" s="21" t="str">
        <f>IFERROR(__xludf.DUMMYFUNCTION("IFERROR(TEXTJOIN(CHAR(10),TRUE,FILTER('Chi tiết từng link'!$D$2:$D$2505,'Chi tiết từng link'!$B$2:$B$2505=B4,'Chi tiết từng link'!$F$2:$F$2505&lt;&gt;""CẦN SOÁT"")),""—"")"),"https://techcombank.com/thong-tin/blog/lien-ket-tai-khoan-ngan-hang-voi-etax-mobile
https://techcombank.com/thong-tin/blog/quyet-toan-thue-thu-nhap-ca-nhan
https://techcombank.com/thong-tin/blog/ke-khai-thue-ho-kinh-doanh-ca-the-online
https://techcombank"&amp;".com/thong-tin/blog/hoan-thue-thu-nhap-ca-nhan
https://techcombank.com/thong-tin/blog/nop-thue-hai-quan")</f>
        <v>https://techcombank.com/thong-tin/blog/lien-ket-tai-khoan-ngan-hang-voi-etax-mobile
https://techcombank.com/thong-tin/blog/quyet-toan-thue-thu-nhap-ca-nhan
https://techcombank.com/thong-tin/blog/ke-khai-thue-ho-kinh-doanh-ca-the-online
https://techcombank.com/thong-tin/blog/hoan-thue-thu-nhap-ca-nhan
https://techcombank.com/thong-tin/blog/nop-thue-hai-quan</v>
      </c>
      <c r="K4" s="21" t="str">
        <f t="shared" si="1"/>
        <v>Có đề xuất dùng được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7">
        <v>4.0</v>
      </c>
      <c r="B5" s="8" t="s">
        <v>74</v>
      </c>
      <c r="C5" s="9" t="s">
        <v>61</v>
      </c>
      <c r="D5" s="12">
        <f>COUNTIF('Chi tiết từng link'!$B$2:$B$2505,B5)</f>
        <v>28</v>
      </c>
      <c r="E5" s="14">
        <f>COUNTIFS('Chi tiết từng link'!$B$2:$B$2505,B5,'Chi tiết từng link'!$F$2:$F$2505,"PHÙ HỢP CAO")</f>
        <v>3</v>
      </c>
      <c r="F5" s="14">
        <f>COUNTIFS('Chi tiết từng link'!$B$2:$B$2505,B5,'Chi tiết từng link'!$F$2:$F$2505,"CÓ THỂ ĐI")</f>
        <v>2</v>
      </c>
      <c r="G5" s="14">
        <f>COUNTIFS('Chi tiết từng link'!$B$2:$B$2505,B5,'Chi tiết từng link'!$F$2:$F$2505,"CẦN SOÁT")</f>
        <v>23</v>
      </c>
      <c r="H5" s="14">
        <f>IFERROR(__xludf.DUMMYFUNCTION("IF(D5=0,0,COUNTUNIQUE(FILTER('Chi tiết từng link'!$E$2:$E$2505,'Chi tiết từng link'!$B$2:$B$2505=B5)))"),3.0)</f>
        <v>3</v>
      </c>
      <c r="I5" s="21" t="str">
        <f>IFERROR(__xludf.DUMMYFUNCTION("IFERROR(TEXTJOIN(CHAR(10),TRUE,BYROW(QUERY('Chi tiết từng link'!$B$2:$E$2505,""select E, count(E) where B = '""&amp;B5&amp;""' group by E order by count(E) desc label count(E) ''"",0),LAMBDA(r,INDEX(r,1,1)&amp;"" – ""&amp;INDEX(r,1,2)&amp;"" link""))),""—"")"),"thuế thu nhập doanh nghiệp – 10 link
thuế TNDN – 9 link
thuế suất thuế TNDN – 9 link")</f>
        <v>thuế thu nhập doanh nghiệp – 10 link
thuế TNDN – 9 link
thuế suất thuế TNDN – 9 link</v>
      </c>
      <c r="J5" s="21" t="str">
        <f>IFERROR(__xludf.DUMMYFUNCTION("IFERROR(TEXTJOIN(CHAR(10),TRUE,FILTER('Chi tiết từng link'!$D$2:$D$2505,'Chi tiết từng link'!$B$2:$B$2505=B5,'Chi tiết từng link'!$F$2:$F$2505&lt;&gt;""CẦN SOÁT"")),""—"")"),"https://techcombank.com/thong-tin/blog/nhung-chi-phi-khong-duoc-tru-khi-tinh-thue-tndn
https://techcombank.com/thong-tin/blog/quyet-toan-thue-doanh-nghiep
https://techcombank.com/thong-tin/blog/doanh-nghiep-moi-thanh-lap-duoc-uu-dai-gi
https://techcombank"&amp;".com/thong-tin/blog/loi-nhuan
https://techcombank.com/thong-tin/blog/hoan-thue-doanh-nghiep")</f>
        <v>https://techcombank.com/thong-tin/blog/nhung-chi-phi-khong-duoc-tru-khi-tinh-thue-tndn
https://techcombank.com/thong-tin/blog/quyet-toan-thue-doanh-nghiep
https://techcombank.com/thong-tin/blog/doanh-nghiep-moi-thanh-lap-duoc-uu-dai-gi
https://techcombank.com/thong-tin/blog/loi-nhuan
https://techcombank.com/thong-tin/blog/hoan-thue-doanh-nghiep</v>
      </c>
      <c r="K5" s="21" t="str">
        <f t="shared" si="1"/>
        <v>Có đề xuất dùng được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7">
        <v>5.0</v>
      </c>
      <c r="B6" s="8" t="s">
        <v>80</v>
      </c>
      <c r="C6" s="9" t="s">
        <v>61</v>
      </c>
      <c r="D6" s="12">
        <f>COUNTIF('Chi tiết từng link'!$B$2:$B$2505,B6)</f>
        <v>23</v>
      </c>
      <c r="E6" s="14">
        <f>COUNTIFS('Chi tiết từng link'!$B$2:$B$2505,B6,'Chi tiết từng link'!$F$2:$F$2505,"PHÙ HỢP CAO")</f>
        <v>2</v>
      </c>
      <c r="F6" s="14">
        <f>COUNTIFS('Chi tiết từng link'!$B$2:$B$2505,B6,'Chi tiết từng link'!$F$2:$F$2505,"CÓ THỂ ĐI")</f>
        <v>3</v>
      </c>
      <c r="G6" s="14">
        <f>COUNTIFS('Chi tiết từng link'!$B$2:$B$2505,B6,'Chi tiết từng link'!$F$2:$F$2505,"CẦN SOÁT")</f>
        <v>18</v>
      </c>
      <c r="H6" s="14">
        <f>IFERROR(__xludf.DUMMYFUNCTION("IF(D6=0,0,COUNTUNIQUE(FILTER('Chi tiết từng link'!$E$2:$E$2505,'Chi tiết từng link'!$B$2:$B$2505=B6)))"),3.0)</f>
        <v>3</v>
      </c>
      <c r="I6" s="21" t="str">
        <f>IFERROR(__xludf.DUMMYFUNCTION("IFERROR(TEXTJOIN(CHAR(10),TRUE,BYROW(QUERY('Chi tiết từng link'!$B$2:$E$2505,""select E, count(E) where B = '""&amp;B6&amp;""' group by E order by count(E) desc label count(E) ''"",0),LAMBDA(r,INDEX(r,1,1)&amp;"" – ""&amp;INDEX(r,1,2)&amp;"" link""))),""—"")"),"thuế VAT – 8 link
thuế giá trị gia tăng – 8 link
thuế GTGT là gì – 7 link")</f>
        <v>thuế VAT – 8 link
thuế giá trị gia tăng – 8 link
thuế GTGT là gì – 7 link</v>
      </c>
      <c r="J6" s="21" t="str">
        <f>IFERROR(__xludf.DUMMYFUNCTION("IFERROR(TEXTJOIN(CHAR(10),TRUE,FILTER('Chi tiết từng link'!$D$2:$D$2505,'Chi tiết từng link'!$B$2:$B$2505=B6,'Chi tiết từng link'!$F$2:$F$2505&lt;&gt;""CẦN SOÁT"")),""—"")"),"https://techcombank.com/thong-tin/blog/ke-khai-thue-doanh-nghiep
https://techcombank.com/thong-tin/blog/hoan-thue-doanh-nghiep
https://techcombank.com/thong-tin/blog/chuyen-doi-hoa-don-dien-tu
https://techcombank.com/thong-tin/blog/thue-thuong-mai-dien-tu"&amp;"
https://techcombank.com/thong-tin/blog/cach-tra-cuu-hoa-don-dien-tu")</f>
        <v>https://techcombank.com/thong-tin/blog/ke-khai-thue-doanh-nghiep
https://techcombank.com/thong-tin/blog/hoan-thue-doanh-nghiep
https://techcombank.com/thong-tin/blog/chuyen-doi-hoa-don-dien-tu
https://techcombank.com/thong-tin/blog/thue-thuong-mai-dien-tu
https://techcombank.com/thong-tin/blog/cach-tra-cuu-hoa-don-dien-tu</v>
      </c>
      <c r="K6" s="21" t="str">
        <f t="shared" si="1"/>
        <v>Có đề xuất dùng được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7">
        <v>6.0</v>
      </c>
      <c r="B7" s="8" t="s">
        <v>85</v>
      </c>
      <c r="C7" s="9" t="s">
        <v>61</v>
      </c>
      <c r="D7" s="12">
        <f>COUNTIF('Chi tiết từng link'!$B$2:$B$2505,B7)</f>
        <v>10</v>
      </c>
      <c r="E7" s="14">
        <f>COUNTIFS('Chi tiết từng link'!$B$2:$B$2505,B7,'Chi tiết từng link'!$F$2:$F$2505,"PHÙ HỢP CAO")</f>
        <v>2</v>
      </c>
      <c r="F7" s="14">
        <f>COUNTIFS('Chi tiết từng link'!$B$2:$B$2505,B7,'Chi tiết từng link'!$F$2:$F$2505,"CÓ THỂ ĐI")</f>
        <v>3</v>
      </c>
      <c r="G7" s="14">
        <f>COUNTIFS('Chi tiết từng link'!$B$2:$B$2505,B7,'Chi tiết từng link'!$F$2:$F$2505,"CẦN SOÁT")</f>
        <v>5</v>
      </c>
      <c r="H7" s="14">
        <f>IFERROR(__xludf.DUMMYFUNCTION("IF(D7=0,0,COUNTUNIQUE(FILTER('Chi tiết từng link'!$E$2:$E$2505,'Chi tiết từng link'!$B$2:$B$2505=B7)))"),3.0)</f>
        <v>3</v>
      </c>
      <c r="I7" s="21" t="str">
        <f>IFERROR(__xludf.DUMMYFUNCTION("IFERROR(TEXTJOIN(CHAR(10),TRUE,BYROW(QUERY('Chi tiết từng link'!$B$2:$E$2505,""select E, count(E) where B = '""&amp;B7&amp;""' group by E order by count(E) desc label count(E) ''"",0),LAMBDA(r,INDEX(r,1,1)&amp;"" – ""&amp;INDEX(r,1,2)&amp;"" link""))),""—"")"),"tra cứu nợ thuế doanh nghiệp – 4 link
kiểm tra nợ thuế doanh nghiệp – 3 link
tra cứu nợ thuế theo mã số thuế – 3 link")</f>
        <v>tra cứu nợ thuế doanh nghiệp – 4 link
kiểm tra nợ thuế doanh nghiệp – 3 link
tra cứu nợ thuế theo mã số thuế – 3 link</v>
      </c>
      <c r="J7" s="21" t="str">
        <f>IFERROR(__xludf.DUMMYFUNCTION("IFERROR(TEXTJOIN(CHAR(10),TRUE,FILTER('Chi tiết từng link'!$D$2:$D$2505,'Chi tiết từng link'!$B$2:$B$2505=B7,'Chi tiết từng link'!$F$2:$F$2505&lt;&gt;""CẦN SOÁT"")),""—"")"),"https://techcombank.com/thong-tin/blog/kiem-tra-ma-so-thue-doanh-nghiep
https://techcombank.com/thong-tin/blog/tra-cuu-no-thue-hai-quan
https://techcombank.com/thong-tin/blog/quyet-toan-thue-doanh-nghiep
https://techcombank.com/thong-tin/blog/ke-khai-thue"&amp;"-doanh-nghiep
https://techcombank.com/thong-tin/blog/tra-cuu-no-thue-ho-kinh-doanh")</f>
        <v>https://techcombank.com/thong-tin/blog/kiem-tra-ma-so-thue-doanh-nghiep
https://techcombank.com/thong-tin/blog/tra-cuu-no-thue-hai-quan
https://techcombank.com/thong-tin/blog/quyet-toan-thue-doanh-nghiep
https://techcombank.com/thong-tin/blog/ke-khai-thue-doanh-nghiep
https://techcombank.com/thong-tin/blog/tra-cuu-no-thue-ho-kinh-doanh</v>
      </c>
      <c r="K7" s="21" t="str">
        <f t="shared" si="1"/>
        <v>Có đề xuất dùng được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7">
        <v>7.0</v>
      </c>
      <c r="B8" s="8" t="s">
        <v>92</v>
      </c>
      <c r="C8" s="9" t="s">
        <v>61</v>
      </c>
      <c r="D8" s="12">
        <f>COUNTIF('Chi tiết từng link'!$B$2:$B$2505,B8)</f>
        <v>19</v>
      </c>
      <c r="E8" s="14">
        <f>COUNTIFS('Chi tiết từng link'!$B$2:$B$2505,B8,'Chi tiết từng link'!$F$2:$F$2505,"PHÙ HỢP CAO")</f>
        <v>3</v>
      </c>
      <c r="F8" s="14">
        <f>COUNTIFS('Chi tiết từng link'!$B$2:$B$2505,B8,'Chi tiết từng link'!$F$2:$F$2505,"CÓ THỂ ĐI")</f>
        <v>2</v>
      </c>
      <c r="G8" s="14">
        <f>COUNTIFS('Chi tiết từng link'!$B$2:$B$2505,B8,'Chi tiết từng link'!$F$2:$F$2505,"CẦN SOÁT")</f>
        <v>14</v>
      </c>
      <c r="H8" s="14">
        <f>IFERROR(__xludf.DUMMYFUNCTION("IF(D8=0,0,COUNTUNIQUE(FILTER('Chi tiết từng link'!$E$2:$E$2505,'Chi tiết từng link'!$B$2:$B$2505=B8)))"),3.0)</f>
        <v>3</v>
      </c>
      <c r="I8" s="21" t="str">
        <f>IFERROR(__xludf.DUMMYFUNCTION("IFERROR(TEXTJOIN(CHAR(10),TRUE,BYROW(QUERY('Chi tiết từng link'!$B$2:$E$2505,""select E, count(E) where B = '""&amp;B8&amp;""' group by E order by count(E) desc label count(E) ''"",0),LAMBDA(r,INDEX(r,1,1)&amp;"" – ""&amp;INDEX(r,1,2)&amp;"" link""))),""—"")"),"các loại thuế doanh nghiệp phải nộp – 7 link
doanh nghiệp phải nộp những loại thuế nào – 6 link
thuế doanh nghiệp – 6 link")</f>
        <v>các loại thuế doanh nghiệp phải nộp – 7 link
doanh nghiệp phải nộp những loại thuế nào – 6 link
thuế doanh nghiệp – 6 link</v>
      </c>
      <c r="J8" s="21" t="str">
        <f>IFERROR(__xludf.DUMMYFUNCTION("IFERROR(TEXTJOIN(CHAR(10),TRUE,FILTER('Chi tiết từng link'!$D$2:$D$2505,'Chi tiết từng link'!$B$2:$B$2505=B8,'Chi tiết từng link'!$F$2:$F$2505&lt;&gt;""CẦN SOÁT"")),""—"")"),"https://techcombank.com/thong-tin/blog/giai-dap-ve-thue-doanh-nghiep
https://techcombank.com/thong-tin/blog/hieu-hiet-ve-tuan-thu-thue-cho-cac-doanh-nghiep-khoi-nghiep
https://techcombank.com/thong-tin/blog/thue-phi-co-dinh-khi-chuyen-doi-tu-ho-kinh-doanh"&amp;"-len-doanh-nghiep
https://techcombank.com/thong-tin/blog/thue-doanh-nghiep-2025
https://techcombank.com/thong-tin/blog/dieu-kien-thanh-lap-doanh-nghiep")</f>
        <v>https://techcombank.com/thong-tin/blog/giai-dap-ve-thue-doanh-nghiep
https://techcombank.com/thong-tin/blog/hieu-hiet-ve-tuan-thu-thue-cho-cac-doanh-nghiep-khoi-nghiep
https://techcombank.com/thong-tin/blog/thue-phi-co-dinh-khi-chuyen-doi-tu-ho-kinh-doanh-len-doanh-nghiep
https://techcombank.com/thong-tin/blog/thue-doanh-nghiep-2025
https://techcombank.com/thong-tin/blog/dieu-kien-thanh-lap-doanh-nghiep</v>
      </c>
      <c r="K8" s="21" t="str">
        <f t="shared" si="1"/>
        <v>Có đề xuất dùng được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7">
        <v>8.0</v>
      </c>
      <c r="B9" s="8" t="s">
        <v>98</v>
      </c>
      <c r="C9" s="9" t="s">
        <v>61</v>
      </c>
      <c r="D9" s="12">
        <f>COUNTIF('Chi tiết từng link'!$B$2:$B$2505,B9)</f>
        <v>13</v>
      </c>
      <c r="E9" s="14">
        <f>COUNTIFS('Chi tiết từng link'!$B$2:$B$2505,B9,'Chi tiết từng link'!$F$2:$F$2505,"PHÙ HỢP CAO")</f>
        <v>3</v>
      </c>
      <c r="F9" s="14">
        <f>COUNTIFS('Chi tiết từng link'!$B$2:$B$2505,B9,'Chi tiết từng link'!$F$2:$F$2505,"CÓ THỂ ĐI")</f>
        <v>2</v>
      </c>
      <c r="G9" s="14">
        <f>COUNTIFS('Chi tiết từng link'!$B$2:$B$2505,B9,'Chi tiết từng link'!$F$2:$F$2505,"CẦN SOÁT")</f>
        <v>8</v>
      </c>
      <c r="H9" s="14">
        <f>IFERROR(__xludf.DUMMYFUNCTION("IF(D9=0,0,COUNTUNIQUE(FILTER('Chi tiết từng link'!$E$2:$E$2505,'Chi tiết từng link'!$B$2:$B$2505=B9)))"),2.0)</f>
        <v>2</v>
      </c>
      <c r="I9" s="21" t="str">
        <f>IFERROR(__xludf.DUMMYFUNCTION("IFERROR(TEXTJOIN(CHAR(10),TRUE,BYROW(QUERY('Chi tiết từng link'!$B$2:$E$2505,""select E, count(E) where B = '""&amp;B9&amp;""' group by E order by count(E) desc label count(E) ''"",0),LAMBDA(r,INDEX(r,1,1)&amp;"" – ""&amp;INDEX(r,1,2)&amp;"" link""))),""—"")"),"công ty sử dụng tài khoản cá nhân – 7 link
công ty dùng tài khoản cá nhân có được không – 6 link")</f>
        <v>công ty sử dụng tài khoản cá nhân – 7 link
công ty dùng tài khoản cá nhân có được không – 6 link</v>
      </c>
      <c r="J9" s="21" t="str">
        <f>IFERROR(__xludf.DUMMYFUNCTION("IFERROR(TEXTJOIN(CHAR(10),TRUE,FILTER('Chi tiết từng link'!$D$2:$D$2505,'Chi tiết từng link'!$B$2:$B$2505=B9,'Chi tiết từng link'!$F$2:$F$2505&lt;&gt;""CẦN SOÁT"")),""—"")"),"https://techcombank.com/thong-tin/blog/mo-tai-khoan-doanh-nghiep
https://techcombank.com/thong-tin/blog/luu-y-khi-chuyen-tien-vao-tai-khoan-cong-ty
https://techcombank.com/thong-tin/blog/cach-su-dung-tai-khoan-cong-ty
https://techcombank.com/thong-tin/blo"&amp;"g/tien-chuyen-vao-tai-khoan-co-bi-tinh-thue-khong
https://techcombank.com/thong-tin/blog/tra-luong-tien-mat")</f>
        <v>https://techcombank.com/thong-tin/blog/mo-tai-khoan-doanh-nghiep
https://techcombank.com/thong-tin/blog/luu-y-khi-chuyen-tien-vao-tai-khoan-cong-ty
https://techcombank.com/thong-tin/blog/cach-su-dung-tai-khoan-cong-ty
https://techcombank.com/thong-tin/blog/tien-chuyen-vao-tai-khoan-co-bi-tinh-thue-khong
https://techcombank.com/thong-tin/blog/tra-luong-tien-mat</v>
      </c>
      <c r="K9" s="21" t="str">
        <f t="shared" si="1"/>
        <v>Có đề xuất dùng được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7">
        <v>9.0</v>
      </c>
      <c r="B10" s="8" t="s">
        <v>104</v>
      </c>
      <c r="C10" s="9" t="s">
        <v>61</v>
      </c>
      <c r="D10" s="12">
        <f>COUNTIF('Chi tiết từng link'!$B$2:$B$2505,B10)</f>
        <v>25</v>
      </c>
      <c r="E10" s="14">
        <f>COUNTIFS('Chi tiết từng link'!$B$2:$B$2505,B10,'Chi tiết từng link'!$F$2:$F$2505,"PHÙ HỢP CAO")</f>
        <v>2</v>
      </c>
      <c r="F10" s="14">
        <f>COUNTIFS('Chi tiết từng link'!$B$2:$B$2505,B10,'Chi tiết từng link'!$F$2:$F$2505,"CÓ THỂ ĐI")</f>
        <v>3</v>
      </c>
      <c r="G10" s="14">
        <f>COUNTIFS('Chi tiết từng link'!$B$2:$B$2505,B10,'Chi tiết từng link'!$F$2:$F$2505,"CẦN SOÁT")</f>
        <v>20</v>
      </c>
      <c r="H10" s="14">
        <f>IFERROR(__xludf.DUMMYFUNCTION("IF(D10=0,0,COUNTUNIQUE(FILTER('Chi tiết từng link'!$E$2:$E$2505,'Chi tiết từng link'!$B$2:$B$2505=B10)))"),3.0)</f>
        <v>3</v>
      </c>
      <c r="I10" s="21" t="str">
        <f>IFERROR(__xludf.DUMMYFUNCTION("IFERROR(TEXTJOIN(CHAR(10),TRUE,BYROW(QUERY('Chi tiết từng link'!$B$2:$E$2505,""select E, count(E) where B = '""&amp;B10&amp;""' group by E order by count(E) desc label count(E) ''"",0),LAMBDA(r,INDEX(r,1,1)&amp;"" – ""&amp;INDEX(r,1,2)&amp;"" link""))),""—"")"),"cách tính thuế thu nhập doanh nghiệp – 9 link
cách tính thuế TNDN – 8 link
công thức tính thuế TNDN – 8 link")</f>
        <v>cách tính thuế thu nhập doanh nghiệp – 9 link
cách tính thuế TNDN – 8 link
công thức tính thuế TNDN – 8 link</v>
      </c>
      <c r="J10" s="21" t="str">
        <f>IFERROR(__xludf.DUMMYFUNCTION("IFERROR(TEXTJOIN(CHAR(10),TRUE,FILTER('Chi tiết từng link'!$D$2:$D$2505,'Chi tiết từng link'!$B$2:$B$2505=B10,'Chi tiết từng link'!$F$2:$F$2505&lt;&gt;""CẦN SOÁT"")),""—"")"),"https://techcombank.com/thong-tin/blog/nhung-chi-phi-khong-duoc-tru-khi-tinh-thue-tndn
https://techcombank.com/thong-tin/blog/khau-hao
https://techcombank.com/thong-tin/blog/loi-nhuan-rong
https://techcombank.com/thong-tin/blog/cach-doc-bao-cao-tai-chinh
"&amp;"https://techcombank.com/thong-tin/blog/chuan-bi-cho-doanh-nghiep-khoi-nghiep-truoc-nhung-thay-doi-ve-thue")</f>
        <v>https://techcombank.com/thong-tin/blog/nhung-chi-phi-khong-duoc-tru-khi-tinh-thue-tndn
https://techcombank.com/thong-tin/blog/khau-hao
https://techcombank.com/thong-tin/blog/loi-nhuan-rong
https://techcombank.com/thong-tin/blog/cach-doc-bao-cao-tai-chinh
https://techcombank.com/thong-tin/blog/chuan-bi-cho-doanh-nghiep-khoi-nghiep-truoc-nhung-thay-doi-ve-thue</v>
      </c>
      <c r="K10" s="21" t="str">
        <f t="shared" si="1"/>
        <v>Có đề xuất dùng được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7">
        <v>10.0</v>
      </c>
      <c r="B11" s="8" t="s">
        <v>108</v>
      </c>
      <c r="C11" s="9" t="s">
        <v>110</v>
      </c>
      <c r="D11" s="12">
        <f>COUNTIF('Chi tiết từng link'!$B$2:$B$2505,B11)</f>
        <v>8</v>
      </c>
      <c r="E11" s="14">
        <f>COUNTIFS('Chi tiết từng link'!$B$2:$B$2505,B11,'Chi tiết từng link'!$F$2:$F$2505,"PHÙ HỢP CAO")</f>
        <v>3</v>
      </c>
      <c r="F11" s="14">
        <f>COUNTIFS('Chi tiết từng link'!$B$2:$B$2505,B11,'Chi tiết từng link'!$F$2:$F$2505,"CÓ THỂ ĐI")</f>
        <v>2</v>
      </c>
      <c r="G11" s="14">
        <f>COUNTIFS('Chi tiết từng link'!$B$2:$B$2505,B11,'Chi tiết từng link'!$F$2:$F$2505,"CẦN SOÁT")</f>
        <v>3</v>
      </c>
      <c r="H11" s="14">
        <f>IFERROR(__xludf.DUMMYFUNCTION("IF(D11=0,0,COUNTUNIQUE(FILTER('Chi tiết từng link'!$E$2:$E$2505,'Chi tiết từng link'!$B$2:$B$2505=B11)))"),3.0)</f>
        <v>3</v>
      </c>
      <c r="I11" s="21" t="str">
        <f>IFERROR(__xludf.DUMMYFUNCTION("IFERROR(TEXTJOIN(CHAR(10),TRUE,BYROW(QUERY('Chi tiết từng link'!$B$2:$E$2505,""select E, count(E) where B = '""&amp;B11&amp;""' group by E order by count(E) desc label count(E) ''"",0),LAMBDA(r,INDEX(r,1,1)&amp;"" – ""&amp;INDEX(r,1,2)&amp;"" link""))),""—"")"),"cách nạp thẻ Viettel – 3 link
nạp thẻ Viettel – 3 link
nạp thẻ cào Viettel – 2 link")</f>
        <v>cách nạp thẻ Viettel – 3 link
nạp thẻ Viettel – 3 link
nạp thẻ cào Viettel – 2 link</v>
      </c>
      <c r="J11" s="21" t="str">
        <f>IFERROR(__xludf.DUMMYFUNCTION("IFERROR(TEXTJOIN(CHAR(10),TRUE,FILTER('Chi tiết từng link'!$D$2:$D$2505,'Chi tiết từng link'!$B$2:$B$2505=B11,'Chi tiết từng link'!$F$2:$F$2505&lt;&gt;""CẦN SOÁT"")),""—"")"),"https://techcombank.com/thong-tin/blog/cach-nap-the
https://techcombank.com/thong-tin/blog/nap-tien-dien-thoai-online
https://techcombank.com/thong-tin/blog/thanh-toan-tra-sau-viettel-bang-tai-khoan-ngan-hang
https://techcombank.com/thong-tin/blog/cach-na"&amp;"p-the-vina
https://techcombank.com/thong-tin/blog/cach-nap-the-mobi")</f>
        <v>https://techcombank.com/thong-tin/blog/cach-nap-the
https://techcombank.com/thong-tin/blog/nap-tien-dien-thoai-online
https://techcombank.com/thong-tin/blog/thanh-toan-tra-sau-viettel-bang-tai-khoan-ngan-hang
https://techcombank.com/thong-tin/blog/cach-nap-the-vina
https://techcombank.com/thong-tin/blog/cach-nap-the-mobi</v>
      </c>
      <c r="K11" s="21" t="str">
        <f t="shared" si="1"/>
        <v>Có đề xuất dùng được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>
        <v>11.0</v>
      </c>
      <c r="B12" s="8" t="s">
        <v>112</v>
      </c>
      <c r="C12" s="9" t="s">
        <v>110</v>
      </c>
      <c r="D12" s="12">
        <f>COUNTIF('Chi tiết từng link'!$B$2:$B$2505,B12)</f>
        <v>17</v>
      </c>
      <c r="E12" s="14">
        <f>COUNTIFS('Chi tiết từng link'!$B$2:$B$2505,B12,'Chi tiết từng link'!$F$2:$F$2505,"PHÙ HỢP CAO")</f>
        <v>3</v>
      </c>
      <c r="F12" s="14">
        <f>COUNTIFS('Chi tiết từng link'!$B$2:$B$2505,B12,'Chi tiết từng link'!$F$2:$F$2505,"CÓ THỂ ĐI")</f>
        <v>2</v>
      </c>
      <c r="G12" s="14">
        <f>COUNTIFS('Chi tiết từng link'!$B$2:$B$2505,B12,'Chi tiết từng link'!$F$2:$F$2505,"CẦN SOÁT")</f>
        <v>12</v>
      </c>
      <c r="H12" s="14">
        <f>IFERROR(__xludf.DUMMYFUNCTION("IF(D12=0,0,COUNTUNIQUE(FILTER('Chi tiết từng link'!$E$2:$E$2505,'Chi tiết từng link'!$B$2:$B$2505=B12)))"),3.0)</f>
        <v>3</v>
      </c>
      <c r="I12" s="21" t="str">
        <f>IFERROR(__xludf.DUMMYFUNCTION("IFERROR(TEXTJOIN(CHAR(10),TRUE,BYROW(QUERY('Chi tiết từng link'!$B$2:$E$2505,""select E, count(E) where B = '""&amp;B12&amp;""' group by E order by count(E) desc label count(E) ''"",0),LAMBDA(r,INDEX(r,1,1)&amp;"" – ""&amp;INDEX(r,1,2)&amp;"" link""))),""—"")"),"cách tính tiền điện – 6 link
cách tính tiền điện sinh hoạt – 6 link
giá điện bậc thang – 5 link")</f>
        <v>cách tính tiền điện – 6 link
cách tính tiền điện sinh hoạt – 6 link
giá điện bậc thang – 5 link</v>
      </c>
      <c r="J12" s="21" t="str">
        <f>IFERROR(__xludf.DUMMYFUNCTION("IFERROR(TEXTJOIN(CHAR(10),TRUE,FILTER('Chi tiết từng link'!$D$2:$D$2505,'Chi tiết từng link'!$B$2:$B$2505=B12,'Chi tiết từng link'!$F$2:$F$2505&lt;&gt;""CẦN SOÁT"")),""—"")"),"https://techcombank.com/thong-tin/blog/gia-dien-sinh-hoat
https://techcombank.com/thong-tin/blog/tra-cuu-hoa-don-tien-dien
https://techcombank.com/thong-tin/blog/cach-dong-tien-dien-qua-tai-khoan-ngan-hang
https://techcombank.com/thong-tin/blog/app-dong-t"&amp;"ien-dien-online
https://techcombank.com/thong-tin/blog/thanh-toan-tien-dien-bang-the-tin-dung")</f>
        <v>https://techcombank.com/thong-tin/blog/gia-dien-sinh-hoat
https://techcombank.com/thong-tin/blog/tra-cuu-hoa-don-tien-dien
https://techcombank.com/thong-tin/blog/cach-dong-tien-dien-qua-tai-khoan-ngan-hang
https://techcombank.com/thong-tin/blog/app-dong-tien-dien-online
https://techcombank.com/thong-tin/blog/thanh-toan-tien-dien-bang-the-tin-dung</v>
      </c>
      <c r="K12" s="21" t="str">
        <f t="shared" si="1"/>
        <v>Có đề xuất dùng được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7">
        <v>12.0</v>
      </c>
      <c r="B13" s="8" t="s">
        <v>116</v>
      </c>
      <c r="C13" s="9" t="s">
        <v>110</v>
      </c>
      <c r="D13" s="12">
        <f>COUNTIF('Chi tiết từng link'!$B$2:$B$2505,B13)</f>
        <v>16</v>
      </c>
      <c r="E13" s="14">
        <f>COUNTIFS('Chi tiết từng link'!$B$2:$B$2505,B13,'Chi tiết từng link'!$F$2:$F$2505,"PHÙ HỢP CAO")</f>
        <v>2</v>
      </c>
      <c r="F13" s="14">
        <f>COUNTIFS('Chi tiết từng link'!$B$2:$B$2505,B13,'Chi tiết từng link'!$F$2:$F$2505,"CÓ THỂ ĐI")</f>
        <v>3</v>
      </c>
      <c r="G13" s="14">
        <f>COUNTIFS('Chi tiết từng link'!$B$2:$B$2505,B13,'Chi tiết từng link'!$F$2:$F$2505,"CẦN SOÁT")</f>
        <v>11</v>
      </c>
      <c r="H13" s="14">
        <f>IFERROR(__xludf.DUMMYFUNCTION("IF(D13=0,0,COUNTUNIQUE(FILTER('Chi tiết từng link'!$E$2:$E$2505,'Chi tiết từng link'!$B$2:$B$2505=B13)))"),3.0)</f>
        <v>3</v>
      </c>
      <c r="I13" s="21" t="str">
        <f>IFERROR(__xludf.DUMMYFUNCTION("IFERROR(TEXTJOIN(CHAR(10),TRUE,BYROW(QUERY('Chi tiết từng link'!$B$2:$E$2505,""select E, count(E) where B = '""&amp;B13&amp;""' group by E order by count(E) desc label count(E) ''"",0),LAMBDA(r,INDEX(r,1,1)&amp;"" – ""&amp;INDEX(r,1,2)&amp;"" link""))),""—"")"),"cách tính thuế thu nhập cá nhân – 6 link
cách tính thuế TNCN – 5 link
tính thuế TNCN – 5 link")</f>
        <v>cách tính thuế thu nhập cá nhân – 6 link
cách tính thuế TNCN – 5 link
tính thuế TNCN – 5 link</v>
      </c>
      <c r="J13" s="21" t="str">
        <f>IFERROR(__xludf.DUMMYFUNCTION("IFERROR(TEXTJOIN(CHAR(10),TRUE,FILTER('Chi tiết từng link'!$D$2:$D$2505,'Chi tiết từng link'!$B$2:$B$2505=B13,'Chi tiết từng link'!$F$2:$F$2505&lt;&gt;""CẦN SOÁT"")),""—"")"),"https://techcombank.com/thong-tin/blog/quyet-toan-thue-thu-nhap-ca-nhan
https://techcombank.com/thong-tin/blog/hoan-thue-thu-nhap-ca-nhan
https://techcombank.com/thong-tin/blog/dang-ky-ma-so-thue-ca-nhan
https://techcombank.com/thong-tin/blog/sao-ke-luong"&amp;"
https://techcombank.com/thong-tin/blog/luong-huu")</f>
        <v>https://techcombank.com/thong-tin/blog/quyet-toan-thue-thu-nhap-ca-nhan
https://techcombank.com/thong-tin/blog/hoan-thue-thu-nhap-ca-nhan
https://techcombank.com/thong-tin/blog/dang-ky-ma-so-thue-ca-nhan
https://techcombank.com/thong-tin/blog/sao-ke-luong
https://techcombank.com/thong-tin/blog/luong-huu</v>
      </c>
      <c r="K13" s="21" t="str">
        <f t="shared" si="1"/>
        <v>Có đề xuất dùng được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7">
        <v>13.0</v>
      </c>
      <c r="B14" s="8" t="s">
        <v>119</v>
      </c>
      <c r="C14" s="9" t="s">
        <v>110</v>
      </c>
      <c r="D14" s="12">
        <f>COUNTIF('Chi tiết từng link'!$B$2:$B$2505,B14)</f>
        <v>22</v>
      </c>
      <c r="E14" s="14">
        <f>COUNTIFS('Chi tiết từng link'!$B$2:$B$2505,B14,'Chi tiết từng link'!$F$2:$F$2505,"PHÙ HỢP CAO")</f>
        <v>2</v>
      </c>
      <c r="F14" s="14">
        <f>COUNTIFS('Chi tiết từng link'!$B$2:$B$2505,B14,'Chi tiết từng link'!$F$2:$F$2505,"CÓ THỂ ĐI")</f>
        <v>3</v>
      </c>
      <c r="G14" s="14">
        <f>COUNTIFS('Chi tiết từng link'!$B$2:$B$2505,B14,'Chi tiết từng link'!$F$2:$F$2505,"CẦN SOÁT")</f>
        <v>17</v>
      </c>
      <c r="H14" s="14">
        <f>IFERROR(__xludf.DUMMYFUNCTION("IF(D14=0,0,COUNTUNIQUE(FILTER('Chi tiết từng link'!$E$2:$E$2505,'Chi tiết từng link'!$B$2:$B$2505=B14)))"),3.0)</f>
        <v>3</v>
      </c>
      <c r="I14" s="21" t="str">
        <f>IFERROR(__xludf.DUMMYFUNCTION("IFERROR(TEXTJOIN(CHAR(10),TRUE,BYROW(QUERY('Chi tiết từng link'!$B$2:$E$2505,""select E, count(E) where B = '""&amp;B14&amp;""' group by E order by count(E) desc label count(E) ''"",0),LAMBDA(r,INDEX(r,1,1)&amp;"" – ""&amp;INDEX(r,1,2)&amp;"" link""))),""—"")"),"cách kiểm tra tài khoản ngân hàng – 8 link
kiểm tra số dư tài khoản – 7 link
kiểm tra tài khoản ngân hàng – 7 link")</f>
        <v>cách kiểm tra tài khoản ngân hàng – 8 link
kiểm tra số dư tài khoản – 7 link
kiểm tra tài khoản ngân hàng – 7 link</v>
      </c>
      <c r="J14" s="21" t="str">
        <f>IFERROR(__xludf.DUMMYFUNCTION("IFERROR(TEXTJOIN(CHAR(10),TRUE,FILTER('Chi tiết từng link'!$D$2:$D$2505,'Chi tiết từng link'!$B$2:$B$2505=B14,'Chi tiết từng link'!$F$2:$F$2505&lt;&gt;""CẦN SOÁT"")),""—"")"),"https://techcombank.com/thong-tin/blog/so-tai-khoan-ngan-hang
https://techcombank.com/thong-tin/blog/so-du-kha-dung
https://techcombank.com/thong-tin/blog/ma-giao-dich-la-gi
https://techcombank.com/thong-tin/blog/sms-banking
https://techcombank.com/thong-"&amp;"tin/blog/cach-kiem-tra-tai-khoan-ngan-hang-cua-cong-ty")</f>
        <v>https://techcombank.com/thong-tin/blog/so-tai-khoan-ngan-hang
https://techcombank.com/thong-tin/blog/so-du-kha-dung
https://techcombank.com/thong-tin/blog/ma-giao-dich-la-gi
https://techcombank.com/thong-tin/blog/sms-banking
https://techcombank.com/thong-tin/blog/cach-kiem-tra-tai-khoan-ngan-hang-cua-cong-ty</v>
      </c>
      <c r="K14" s="21" t="str">
        <f t="shared" si="1"/>
        <v>Có đề xuất dùng được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7">
        <v>14.0</v>
      </c>
      <c r="B15" s="8" t="s">
        <v>122</v>
      </c>
      <c r="C15" s="9" t="s">
        <v>110</v>
      </c>
      <c r="D15" s="12">
        <f>COUNTIF('Chi tiết từng link'!$B$2:$B$2505,B15)</f>
        <v>53</v>
      </c>
      <c r="E15" s="14">
        <f>COUNTIFS('Chi tiết từng link'!$B$2:$B$2505,B15,'Chi tiết từng link'!$F$2:$F$2505,"PHÙ HỢP CAO")</f>
        <v>4</v>
      </c>
      <c r="F15" s="14">
        <f>COUNTIFS('Chi tiết từng link'!$B$2:$B$2505,B15,'Chi tiết từng link'!$F$2:$F$2505,"CÓ THỂ ĐI")</f>
        <v>1</v>
      </c>
      <c r="G15" s="14">
        <f>COUNTIFS('Chi tiết từng link'!$B$2:$B$2505,B15,'Chi tiết từng link'!$F$2:$F$2505,"CẦN SOÁT")</f>
        <v>48</v>
      </c>
      <c r="H15" s="14">
        <f>IFERROR(__xludf.DUMMYFUNCTION("IF(D15=0,0,COUNTUNIQUE(FILTER('Chi tiết từng link'!$E$2:$E$2505,'Chi tiết từng link'!$B$2:$B$2505=B15)))"),3.0)</f>
        <v>3</v>
      </c>
      <c r="I15" s="21" t="str">
        <f>IFERROR(__xludf.DUMMYFUNCTION("IFERROR(TEXTJOIN(CHAR(10),TRUE,BYROW(QUERY('Chi tiết từng link'!$B$2:$E$2505,""select E, count(E) where B = '""&amp;B15&amp;""' group by E order by count(E) desc label count(E) ''"",0),LAMBDA(r,INDEX(r,1,1)&amp;"" – ""&amp;INDEX(r,1,2)&amp;"" link""))),""—"")"),"cách mở tài khoản ngân hàng – 18 link
mở tài khoản ngân hàng online – 18 link
tạo tài khoản ngân hàng – 17 link")</f>
        <v>cách mở tài khoản ngân hàng – 18 link
mở tài khoản ngân hàng online – 18 link
tạo tài khoản ngân hàng – 17 link</v>
      </c>
      <c r="J15" s="21" t="str">
        <f>IFERROR(__xludf.DUMMYFUNCTION("IFERROR(TEXTJOIN(CHAR(10),TRUE,FILTER('Chi tiết từng link'!$D$2:$D$2505,'Chi tiết từng link'!$B$2:$B$2505=B15,'Chi tiết từng link'!$F$2:$F$2505&lt;&gt;""CẦN SOÁT"")),""—"")"),"https://techcombank.com/thong-tin/blog/tai-khoan-ngan-hang-la-gi
https://techcombank.com/thong-tin/blog/tai-khoan-thanh-toan-la-gi
https://techcombank.com/thong-tin/blog/mo-tai-khoan-ngan-hang-online-co-an-toan-khong
https://techcombank.com/thong-tin/blog"&amp;"/mo-tai-khoan-ngan-hang-co-mat-phi-khong
https://techcombank.com/thong-tin/blog/1-cmnd-dang-ky-duoc-may-tai-khoan-ngan-hang")</f>
        <v>https://techcombank.com/thong-tin/blog/tai-khoan-ngan-hang-la-gi
https://techcombank.com/thong-tin/blog/tai-khoan-thanh-toan-la-gi
https://techcombank.com/thong-tin/blog/mo-tai-khoan-ngan-hang-online-co-an-toan-khong
https://techcombank.com/thong-tin/blog/mo-tai-khoan-ngan-hang-co-mat-phi-khong
https://techcombank.com/thong-tin/blog/1-cmnd-dang-ky-duoc-may-tai-khoan-ngan-hang</v>
      </c>
      <c r="K15" s="21" t="str">
        <f t="shared" si="1"/>
        <v>Có đề xuất dùng được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">
        <v>15.0</v>
      </c>
      <c r="B16" s="8" t="s">
        <v>125</v>
      </c>
      <c r="C16" s="9" t="s">
        <v>110</v>
      </c>
      <c r="D16" s="12">
        <f>COUNTIF('Chi tiết từng link'!$B$2:$B$2505,B16)</f>
        <v>30</v>
      </c>
      <c r="E16" s="14">
        <f>COUNTIFS('Chi tiết từng link'!$B$2:$B$2505,B16,'Chi tiết từng link'!$F$2:$F$2505,"PHÙ HỢP CAO")</f>
        <v>2</v>
      </c>
      <c r="F16" s="14">
        <f>COUNTIFS('Chi tiết từng link'!$B$2:$B$2505,B16,'Chi tiết từng link'!$F$2:$F$2505,"CÓ THỂ ĐI")</f>
        <v>3</v>
      </c>
      <c r="G16" s="14">
        <f>COUNTIFS('Chi tiết từng link'!$B$2:$B$2505,B16,'Chi tiết từng link'!$F$2:$F$2505,"CẦN SOÁT")</f>
        <v>25</v>
      </c>
      <c r="H16" s="14">
        <f>IFERROR(__xludf.DUMMYFUNCTION("IF(D16=0,0,COUNTUNIQUE(FILTER('Chi tiết từng link'!$E$2:$E$2505,'Chi tiết từng link'!$B$2:$B$2505=B16)))"),2.0)</f>
        <v>2</v>
      </c>
      <c r="I16" s="21" t="str">
        <f>IFERROR(__xludf.DUMMYFUNCTION("IFERROR(TEXTJOIN(CHAR(10),TRUE,BYROW(QUERY('Chi tiết từng link'!$B$2:$E$2505,""select E, count(E) where B = '""&amp;B16&amp;""' group by E order by count(E) desc label count(E) ''"",0),LAMBDA(r,INDEX(r,1,1)&amp;"" – ""&amp;INDEX(r,1,2)&amp;"" link""))),""—"")"),"chọn ngân hàng uy tín – 15 link
ngân hàng uy tín – 15 link")</f>
        <v>chọn ngân hàng uy tín – 15 link
ngân hàng uy tín – 15 link</v>
      </c>
      <c r="J16" s="21" t="str">
        <f>IFERROR(__xludf.DUMMYFUNCTION("IFERROR(TEXTJOIN(CHAR(10),TRUE,FILTER('Chi tiết từng link'!$D$2:$D$2505,'Chi tiết từng link'!$B$2:$B$2505=B16,'Chi tiết từng link'!$F$2:$F$2505&lt;&gt;""CẦN SOÁT"")),""—"")"),"https://techcombank.com/thong-tin/blog/app-ngan-hang-uy-tin
https://techcombank.com/thong-tin/blog/gui-tien-ngan-hang-co-an-toan-khong
https://techcombank.com/thong-tin/blog/nen-mo-tai-khoan-ngan-hang-nao-cho-doanh-nghiep
https://techcombank.com/thong-tin"&amp;"/blog/gio-lam-viec-ngan-hang
https://techcombank.com/thong-tin/blog/gia-tri-thuong-hieu")</f>
        <v>https://techcombank.com/thong-tin/blog/app-ngan-hang-uy-tin
https://techcombank.com/thong-tin/blog/gui-tien-ngan-hang-co-an-toan-khong
https://techcombank.com/thong-tin/blog/nen-mo-tai-khoan-ngan-hang-nao-cho-doanh-nghiep
https://techcombank.com/thong-tin/blog/gio-lam-viec-ngan-hang
https://techcombank.com/thong-tin/blog/gia-tri-thuong-hieu</v>
      </c>
      <c r="K16" s="21" t="str">
        <f t="shared" si="1"/>
        <v>Có đề xuất dùng được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">
        <v>16.0</v>
      </c>
      <c r="B17" s="8" t="s">
        <v>130</v>
      </c>
      <c r="C17" s="9" t="s">
        <v>110</v>
      </c>
      <c r="D17" s="12">
        <f>COUNTIF('Chi tiết từng link'!$B$2:$B$2505,B17)</f>
        <v>46</v>
      </c>
      <c r="E17" s="14">
        <f>COUNTIFS('Chi tiết từng link'!$B$2:$B$2505,B17,'Chi tiết từng link'!$F$2:$F$2505,"PHÙ HỢP CAO")</f>
        <v>4</v>
      </c>
      <c r="F17" s="14">
        <f>COUNTIFS('Chi tiết từng link'!$B$2:$B$2505,B17,'Chi tiết từng link'!$F$2:$F$2505,"CÓ THỂ ĐI")</f>
        <v>1</v>
      </c>
      <c r="G17" s="14">
        <f>COUNTIFS('Chi tiết từng link'!$B$2:$B$2505,B17,'Chi tiết từng link'!$F$2:$F$2505,"CẦN SOÁT")</f>
        <v>41</v>
      </c>
      <c r="H17" s="14">
        <f>IFERROR(__xludf.DUMMYFUNCTION("IF(D17=0,0,COUNTUNIQUE(FILTER('Chi tiết từng link'!$E$2:$E$2505,'Chi tiết từng link'!$B$2:$B$2505=B17)))"),3.0)</f>
        <v>3</v>
      </c>
      <c r="I17" s="21" t="str">
        <f>IFERROR(__xludf.DUMMYFUNCTION("IFERROR(TEXTJOIN(CHAR(10),TRUE,BYROW(QUERY('Chi tiết từng link'!$B$2:$E$2505,""select E, count(E) where B = '""&amp;B17&amp;""' group by E order by count(E) desc label count(E) ''"",0),LAMBDA(r,INDEX(r,1,1)&amp;"" – ""&amp;INDEX(r,1,2)&amp;"" link""))),""—"")"),"chuyển khoản thành công nhưng không nhận được tiền – 16 link
chuyển tiền thành công nhưng chưa nhận được – 15 link
tiền chuyển khoản bị treo – 15 link")</f>
        <v>chuyển khoản thành công nhưng không nhận được tiền – 16 link
chuyển tiền thành công nhưng chưa nhận được – 15 link
tiền chuyển khoản bị treo – 15 link</v>
      </c>
      <c r="J17" s="21" t="str">
        <f>IFERROR(__xludf.DUMMYFUNCTION("IFERROR(TEXTJOIN(CHAR(10),TRUE,FILTER('Chi tiết từng link'!$D$2:$D$2505,'Chi tiết từng link'!$B$2:$B$2505=B17,'Chi tiết từng link'!$F$2:$F$2505&lt;&gt;""CẦN SOÁT"")),""—"")"),"https://techcombank.com/thong-tin/blog/cach-chuyen-tien
https://techcombank.com/thong-tin/blog/chuyen-khoan-lien-ngan-hang
https://techcombank.com/thong-tin/blog/ma-giao-dich-la-gi
https://techcombank.com/thong-tin/blog/chuyen-nham-tien-co-lay-lai-duoc-kh"&amp;"ong
https://techcombank.com/thong-tin/blog/ngan-hang-thu-huong-la-gi")</f>
        <v>https://techcombank.com/thong-tin/blog/cach-chuyen-tien
https://techcombank.com/thong-tin/blog/chuyen-khoan-lien-ngan-hang
https://techcombank.com/thong-tin/blog/ma-giao-dich-la-gi
https://techcombank.com/thong-tin/blog/chuyen-nham-tien-co-lay-lai-duoc-khong
https://techcombank.com/thong-tin/blog/ngan-hang-thu-huong-la-gi</v>
      </c>
      <c r="K17" s="21" t="str">
        <f t="shared" si="1"/>
        <v>Có đề xuất dùng được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7">
        <v>17.0</v>
      </c>
      <c r="B18" s="8" t="s">
        <v>134</v>
      </c>
      <c r="C18" s="9" t="s">
        <v>110</v>
      </c>
      <c r="D18" s="12">
        <f>COUNTIF('Chi tiết từng link'!$B$2:$B$2505,B18)</f>
        <v>28</v>
      </c>
      <c r="E18" s="14">
        <f>COUNTIFS('Chi tiết từng link'!$B$2:$B$2505,B18,'Chi tiết từng link'!$F$2:$F$2505,"PHÙ HỢP CAO")</f>
        <v>2</v>
      </c>
      <c r="F18" s="14">
        <f>COUNTIFS('Chi tiết từng link'!$B$2:$B$2505,B18,'Chi tiết từng link'!$F$2:$F$2505,"CÓ THỂ ĐI")</f>
        <v>3</v>
      </c>
      <c r="G18" s="14">
        <f>COUNTIFS('Chi tiết từng link'!$B$2:$B$2505,B18,'Chi tiết từng link'!$F$2:$F$2505,"CẦN SOÁT")</f>
        <v>23</v>
      </c>
      <c r="H18" s="14">
        <f>IFERROR(__xludf.DUMMYFUNCTION("IF(D18=0,0,COUNTUNIQUE(FILTER('Chi tiết từng link'!$E$2:$E$2505,'Chi tiết từng link'!$B$2:$B$2505=B18)))"),2.0)</f>
        <v>2</v>
      </c>
      <c r="I18" s="21" t="str">
        <f>IFERROR(__xludf.DUMMYFUNCTION("IFERROR(TEXTJOIN(CHAR(10),TRUE,BYROW(QUERY('Chi tiết từng link'!$B$2:$E$2505,""select E, count(E) where B = '""&amp;B18&amp;""' group by E order by count(E) desc label count(E) ''"",0),LAMBDA(r,INDEX(r,1,1)&amp;"" – ""&amp;INDEX(r,1,2)&amp;"" link""))),""—"")"),"bao nhiêu tuổi được mở tài khoản ngân hàng – 14 link
độ tuổi mở tài khoản ngân hàng – 14 link")</f>
        <v>bao nhiêu tuổi được mở tài khoản ngân hàng – 14 link
độ tuổi mở tài khoản ngân hàng – 14 link</v>
      </c>
      <c r="J18" s="21" t="str">
        <f>IFERROR(__xludf.DUMMYFUNCTION("IFERROR(TEXTJOIN(CHAR(10),TRUE,FILTER('Chi tiết từng link'!$D$2:$D$2505,'Chi tiết từng link'!$B$2:$B$2505=B18,'Chi tiết từng link'!$F$2:$F$2505&lt;&gt;""CẦN SOÁT"")),""—"")"),"https://techcombank.com/thong-tin/blog/mo-tai-khoan-ngan-hang-cho-tre-em
https://techcombank.com/thong-tin/blog/hoc-sinh-sinh-vien-nen-lam-the-ngan-hang-nao
https://techcombank.com/thong-tin/blog/cach-lam-the-atm
https://techcombank.com/thong-tin/blog/1-n"&amp;"guoi-co-the-lam-duoc-bao-nhieu-the-atm
https://techcombank.com/thong-tin/blog/lam-the-atm-bao-lau-co")</f>
        <v>https://techcombank.com/thong-tin/blog/mo-tai-khoan-ngan-hang-cho-tre-em
https://techcombank.com/thong-tin/blog/hoc-sinh-sinh-vien-nen-lam-the-ngan-hang-nao
https://techcombank.com/thong-tin/blog/cach-lam-the-atm
https://techcombank.com/thong-tin/blog/1-nguoi-co-the-lam-duoc-bao-nhieu-the-atm
https://techcombank.com/thong-tin/blog/lam-the-atm-bao-lau-co</v>
      </c>
      <c r="K18" s="21" t="str">
        <f t="shared" si="1"/>
        <v>Có đề xuất dùng được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7">
        <v>18.0</v>
      </c>
      <c r="B19" s="8" t="s">
        <v>142</v>
      </c>
      <c r="C19" s="9" t="s">
        <v>110</v>
      </c>
      <c r="D19" s="12">
        <f>COUNTIF('Chi tiết từng link'!$B$2:$B$2505,B19)</f>
        <v>15</v>
      </c>
      <c r="E19" s="14">
        <f>COUNTIFS('Chi tiết từng link'!$B$2:$B$2505,B19,'Chi tiết từng link'!$F$2:$F$2505,"PHÙ HỢP CAO")</f>
        <v>2</v>
      </c>
      <c r="F19" s="14">
        <f>COUNTIFS('Chi tiết từng link'!$B$2:$B$2505,B19,'Chi tiết từng link'!$F$2:$F$2505,"CÓ THỂ ĐI")</f>
        <v>3</v>
      </c>
      <c r="G19" s="14">
        <f>COUNTIFS('Chi tiết từng link'!$B$2:$B$2505,B19,'Chi tiết từng link'!$F$2:$F$2505,"CẦN SOÁT")</f>
        <v>10</v>
      </c>
      <c r="H19" s="14">
        <f>IFERROR(__xludf.DUMMYFUNCTION("IF(D19=0,0,COUNTUNIQUE(FILTER('Chi tiết từng link'!$E$2:$E$2505,'Chi tiết từng link'!$B$2:$B$2505=B19)))"),2.0)</f>
        <v>2</v>
      </c>
      <c r="I19" s="21" t="str">
        <f>IFERROR(__xludf.DUMMYFUNCTION("IFERROR(TEXTJOIN(CHAR(10),TRUE,BYROW(QUERY('Chi tiết từng link'!$B$2:$E$2505,""select E, count(E) where B = '""&amp;B19&amp;""' group by E order by count(E) desc label count(E) ''"",0),LAMBDA(r,INDEX(r,1,1)&amp;"" – ""&amp;INDEX(r,1,2)&amp;"" link""))),""—"")"),"mở tài khoản ngân hàng dưới 18 tuổi – 8 link
mở tài khoản ngân hàng cho học sinh – 7 link")</f>
        <v>mở tài khoản ngân hàng dưới 18 tuổi – 8 link
mở tài khoản ngân hàng cho học sinh – 7 link</v>
      </c>
      <c r="J19" s="21" t="str">
        <f>IFERROR(__xludf.DUMMYFUNCTION("IFERROR(TEXTJOIN(CHAR(10),TRUE,FILTER('Chi tiết từng link'!$D$2:$D$2505,'Chi tiết từng link'!$B$2:$B$2505=B19,'Chi tiết từng link'!$F$2:$F$2505&lt;&gt;""CẦN SOÁT"")),""—"")"),"https://techcombank.com/thong-tin/blog/the-debit-cho-con
https://techcombank.com/thong-tin/blog/mo-tai-khoan-tiet-kiem-cho-con
https://techcombank.com/thong-tin/blog/mo-tai-khoan-ngan-hang-bang-so-dien-thoai
https://techcombank.com/thong-tin/blog/quy-gia-"&amp;"dinh
https://techcombank.com/thong-tin/blog/dao-tao-the-he-ke-can")</f>
        <v>https://techcombank.com/thong-tin/blog/the-debit-cho-con
https://techcombank.com/thong-tin/blog/mo-tai-khoan-tiet-kiem-cho-con
https://techcombank.com/thong-tin/blog/mo-tai-khoan-ngan-hang-bang-so-dien-thoai
https://techcombank.com/thong-tin/blog/quy-gia-dinh
https://techcombank.com/thong-tin/blog/dao-tao-the-he-ke-can</v>
      </c>
      <c r="K19" s="21" t="str">
        <f t="shared" si="1"/>
        <v>Có đề xuất dùng được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7">
        <v>19.0</v>
      </c>
      <c r="B20" s="8" t="s">
        <v>147</v>
      </c>
      <c r="C20" s="9" t="s">
        <v>110</v>
      </c>
      <c r="D20" s="12">
        <f>COUNTIF('Chi tiết từng link'!$B$2:$B$2505,B20)</f>
        <v>32</v>
      </c>
      <c r="E20" s="14">
        <f>COUNTIFS('Chi tiết từng link'!$B$2:$B$2505,B20,'Chi tiết từng link'!$F$2:$F$2505,"PHÙ HỢP CAO")</f>
        <v>2</v>
      </c>
      <c r="F20" s="14">
        <f>COUNTIFS('Chi tiết từng link'!$B$2:$B$2505,B20,'Chi tiết từng link'!$F$2:$F$2505,"CÓ THỂ ĐI")</f>
        <v>3</v>
      </c>
      <c r="G20" s="14">
        <f>COUNTIFS('Chi tiết từng link'!$B$2:$B$2505,B20,'Chi tiết từng link'!$F$2:$F$2505,"CẦN SOÁT")</f>
        <v>27</v>
      </c>
      <c r="H20" s="14">
        <f>IFERROR(__xludf.DUMMYFUNCTION("IF(D20=0,0,COUNTUNIQUE(FILTER('Chi tiết từng link'!$E$2:$E$2505,'Chi tiết từng link'!$B$2:$B$2505=B20)))"),2.0)</f>
        <v>2</v>
      </c>
      <c r="I20" s="21" t="str">
        <f>IFERROR(__xludf.DUMMYFUNCTION("IFERROR(TEXTJOIN(CHAR(10),TRUE,BYROW(QUERY('Chi tiết từng link'!$B$2:$E$2505,""select E, count(E) where B = '""&amp;B20&amp;""' group by E order by count(E) desc label count(E) ''"",0),LAMBDA(r,INDEX(r,1,1)&amp;"" – ""&amp;INDEX(r,1,2)&amp;"" link""))),""—"")"),"nạp tiền vào tài khoản ngân hàng – 16 link
nộp tiền vào tài khoản – 16 link")</f>
        <v>nạp tiền vào tài khoản ngân hàng – 16 link
nộp tiền vào tài khoản – 16 link</v>
      </c>
      <c r="J20" s="21" t="str">
        <f>IFERROR(__xludf.DUMMYFUNCTION("IFERROR(TEXTJOIN(CHAR(10),TRUE,FILTER('Chi tiết từng link'!$D$2:$D$2505,'Chi tiết từng link'!$B$2:$B$2505=B20,'Chi tiết từng link'!$F$2:$F$2505&lt;&gt;""CẦN SOÁT"")),""—"")"),"https://techcombank.com/thong-tin/blog/cdm
https://techcombank.com/thong-tin/blog/cach-nap-tien-vao-the-ghi-no
https://techcombank.com/thong-tin/blog/tai-khoan-ngan-hang-con-0-dong-co-sao-khong
https://techcombank.com/thong-tin/blog/nop-tien-mat-vao-tai-k"&amp;"hoan-cong-ty
https://techcombank.com/thong-tin/blog/cay-atm-gan-day")</f>
        <v>https://techcombank.com/thong-tin/blog/cdm
https://techcombank.com/thong-tin/blog/cach-nap-tien-vao-the-ghi-no
https://techcombank.com/thong-tin/blog/tai-khoan-ngan-hang-con-0-dong-co-sao-khong
https://techcombank.com/thong-tin/blog/nop-tien-mat-vao-tai-khoan-cong-ty
https://techcombank.com/thong-tin/blog/cay-atm-gan-day</v>
      </c>
      <c r="K20" s="21" t="str">
        <f t="shared" si="1"/>
        <v>Có đề xuất dùng được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7">
        <v>20.0</v>
      </c>
      <c r="B21" s="8" t="s">
        <v>151</v>
      </c>
      <c r="C21" s="9" t="s">
        <v>110</v>
      </c>
      <c r="D21" s="12">
        <f>COUNTIF('Chi tiết từng link'!$B$2:$B$2505,B21)</f>
        <v>43</v>
      </c>
      <c r="E21" s="14">
        <f>COUNTIFS('Chi tiết từng link'!$B$2:$B$2505,B21,'Chi tiết từng link'!$F$2:$F$2505,"PHÙ HỢP CAO")</f>
        <v>1</v>
      </c>
      <c r="F21" s="14">
        <f>COUNTIFS('Chi tiết từng link'!$B$2:$B$2505,B21,'Chi tiết từng link'!$F$2:$F$2505,"CÓ THỂ ĐI")</f>
        <v>4</v>
      </c>
      <c r="G21" s="14">
        <f>COUNTIFS('Chi tiết từng link'!$B$2:$B$2505,B21,'Chi tiết từng link'!$F$2:$F$2505,"CẦN SOÁT")</f>
        <v>38</v>
      </c>
      <c r="H21" s="14">
        <f>IFERROR(__xludf.DUMMYFUNCTION("IF(D21=0,0,COUNTUNIQUE(FILTER('Chi tiết từng link'!$E$2:$E$2505,'Chi tiết từng link'!$B$2:$B$2505=B21)))"),2.0)</f>
        <v>2</v>
      </c>
      <c r="I21" s="21" t="str">
        <f>IFERROR(__xludf.DUMMYFUNCTION("IFERROR(TEXTJOIN(CHAR(10),TRUE,BYROW(QUERY('Chi tiết từng link'!$B$2:$E$2505,""select E, count(E) where B = '""&amp;B21&amp;""' group by E order by count(E) desc label count(E) ''"",0),LAMBDA(r,INDEX(r,1,1)&amp;"" – ""&amp;INDEX(r,1,2)&amp;"" link""))),""—"")"),"cách sao kê tài khoản ngân hàng – 22 link
sao kê tài khoản ngân hàng – 21 link")</f>
        <v>cách sao kê tài khoản ngân hàng – 22 link
sao kê tài khoản ngân hàng – 21 link</v>
      </c>
      <c r="J21" s="21" t="str">
        <f>IFERROR(__xludf.DUMMYFUNCTION("IFERROR(TEXTJOIN(CHAR(10),TRUE,FILTER('Chi tiết từng link'!$D$2:$D$2505,'Chi tiết từng link'!$B$2:$B$2505=B21,'Chi tiết từng link'!$F$2:$F$2505&lt;&gt;""CẦN SOÁT"")),""—"")"),"https://techcombank.com/thong-tin/blog/sao-ke-luong
https://techcombank.com/thong-tin/blog/sao-ke-tai-khoan-doanh-nghiep
https://techcombank.com/thong-tin/blog/vay-the-chap-qua-luong
https://techcombank.com/thong-tin/blog/tien-chuyen-vao-tai-khoan-co-bi-t"&amp;"inh-thue-khong
https://techcombank.com/thong-tin/blog/ghi-chep-chi-tieu")</f>
        <v>https://techcombank.com/thong-tin/blog/sao-ke-luong
https://techcombank.com/thong-tin/blog/sao-ke-tai-khoan-doanh-nghiep
https://techcombank.com/thong-tin/blog/vay-the-chap-qua-luong
https://techcombank.com/thong-tin/blog/tien-chuyen-vao-tai-khoan-co-bi-tinh-thue-khong
https://techcombank.com/thong-tin/blog/ghi-chep-chi-tieu</v>
      </c>
      <c r="K21" s="21" t="str">
        <f t="shared" si="1"/>
        <v>Có đề xuất dùng được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21.0</v>
      </c>
      <c r="B22" s="8" t="s">
        <v>154</v>
      </c>
      <c r="C22" s="9" t="s">
        <v>110</v>
      </c>
      <c r="D22" s="12">
        <f>COUNTIF('Chi tiết từng link'!$B$2:$B$2505,B22)</f>
        <v>12</v>
      </c>
      <c r="E22" s="14">
        <f>COUNTIFS('Chi tiết từng link'!$B$2:$B$2505,B22,'Chi tiết từng link'!$F$2:$F$2505,"PHÙ HỢP CAO")</f>
        <v>4</v>
      </c>
      <c r="F22" s="14">
        <f>COUNTIFS('Chi tiết từng link'!$B$2:$B$2505,B22,'Chi tiết từng link'!$F$2:$F$2505,"CÓ THỂ ĐI")</f>
        <v>1</v>
      </c>
      <c r="G22" s="14">
        <f>COUNTIFS('Chi tiết từng link'!$B$2:$B$2505,B22,'Chi tiết từng link'!$F$2:$F$2505,"CẦN SOÁT")</f>
        <v>7</v>
      </c>
      <c r="H22" s="14">
        <f>IFERROR(__xludf.DUMMYFUNCTION("IF(D22=0,0,COUNTUNIQUE(FILTER('Chi tiết từng link'!$E$2:$E$2505,'Chi tiết từng link'!$B$2:$B$2505=B22)))"),2.0)</f>
        <v>2</v>
      </c>
      <c r="I22" s="21" t="str">
        <f>IFERROR(__xludf.DUMMYFUNCTION("IFERROR(TEXTJOIN(CHAR(10),TRUE,BYROW(QUERY('Chi tiết từng link'!$B$2:$E$2505,""select E, count(E) where B = '""&amp;B22&amp;""' group by E order by count(E) desc label count(E) ''"",0),LAMBDA(r,INDEX(r,1,1)&amp;"" – ""&amp;INDEX(r,1,2)&amp;"" link""))),""—"")"),"dãy số phát tài phát lộc – 6 link
số tài khoản phát tài phát lộc – 6 link")</f>
        <v>dãy số phát tài phát lộc – 6 link
số tài khoản phát tài phát lộc – 6 link</v>
      </c>
      <c r="J22" s="21" t="str">
        <f>IFERROR(__xludf.DUMMYFUNCTION("IFERROR(TEXTJOIN(CHAR(10),TRUE,FILTER('Chi tiết từng link'!$D$2:$D$2505,'Chi tiết từng link'!$B$2:$B$2505=B22,'Chi tiết từng link'!$F$2:$F$2505&lt;&gt;""CẦN SOÁT"")),""—"")"),"https://techcombank.com/thong-tin/blog/88-la-gi
https://techcombank.com/thong-tin/blog/so-6868
https://techcombank.com/thong-tin/blog/so-tai-khoan-dep
https://techcombank.com/thong-tin/blog/cach-chon-so-tai-khoan-dep
https://techcombank.com/thong-tin/blog"&amp;"/li-xi-so-dep")</f>
        <v>https://techcombank.com/thong-tin/blog/88-la-gi
https://techcombank.com/thong-tin/blog/so-6868
https://techcombank.com/thong-tin/blog/so-tai-khoan-dep
https://techcombank.com/thong-tin/blog/cach-chon-so-tai-khoan-dep
https://techcombank.com/thong-tin/blog/li-xi-so-dep</v>
      </c>
      <c r="K22" s="21" t="str">
        <f t="shared" si="1"/>
        <v>Có đề xuất dùng được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7">
        <v>22.0</v>
      </c>
      <c r="B23" s="8" t="s">
        <v>126</v>
      </c>
      <c r="C23" s="9" t="s">
        <v>110</v>
      </c>
      <c r="D23" s="12">
        <f>COUNTIF('Chi tiết từng link'!$B$2:$B$2505,B23)</f>
        <v>18</v>
      </c>
      <c r="E23" s="14">
        <f>COUNTIFS('Chi tiết từng link'!$B$2:$B$2505,B23,'Chi tiết từng link'!$F$2:$F$2505,"PHÙ HỢP CAO")</f>
        <v>2</v>
      </c>
      <c r="F23" s="14">
        <f>COUNTIFS('Chi tiết từng link'!$B$2:$B$2505,B23,'Chi tiết từng link'!$F$2:$F$2505,"CÓ THỂ ĐI")</f>
        <v>3</v>
      </c>
      <c r="G23" s="14">
        <f>COUNTIFS('Chi tiết từng link'!$B$2:$B$2505,B23,'Chi tiết từng link'!$F$2:$F$2505,"CẦN SOÁT")</f>
        <v>13</v>
      </c>
      <c r="H23" s="14">
        <f>IFERROR(__xludf.DUMMYFUNCTION("IF(D23=0,0,COUNTUNIQUE(FILTER('Chi tiết từng link'!$E$2:$E$2505,'Chi tiết từng link'!$B$2:$B$2505=B23)))"),3.0)</f>
        <v>3</v>
      </c>
      <c r="I23" s="21" t="str">
        <f>IFERROR(__xludf.DUMMYFUNCTION("IFERROR(TEXTJOIN(CHAR(10),TRUE,BYROW(QUERY('Chi tiết từng link'!$B$2:$E$2505,""select E, count(E) where B = '""&amp;B23&amp;""' group by E order by count(E) desc label count(E) ''"",0),LAMBDA(r,INDEX(r,1,1)&amp;"" – ""&amp;INDEX(r,1,2)&amp;"" link""))),""—"")"),"kiểm tra thuế TNCN online – 6 link
kiểm tra thuế thu nhập cá nhân – 6 link
tra cứu thuế TNCN – 6 link")</f>
        <v>kiểm tra thuế TNCN online – 6 link
kiểm tra thuế thu nhập cá nhân – 6 link
tra cứu thuế TNCN – 6 link</v>
      </c>
      <c r="J23" s="21" t="str">
        <f>IFERROR(__xludf.DUMMYFUNCTION("IFERROR(TEXTJOIN(CHAR(10),TRUE,FILTER('Chi tiết từng link'!$D$2:$D$2505,'Chi tiết từng link'!$B$2:$B$2505=B23,'Chi tiết từng link'!$F$2:$F$2505&lt;&gt;""CẦN SOÁT"")),""—"")"),"https://techcombank.com/thong-tin/blog/tra-cuu-no-thue-ca-nhan
https://techcombank.com/thong-tin/blog/dang-ky-ma-so-thue-ca-nhan
https://techcombank.com/thong-tin/blog/lien-ket-tai-khoan-ngan-hang-voi-etax-mobile
https://techcombank.com/thong-tin/blog/hoa"&amp;"n-thue-thu-nhap-ca-nhan
https://techcombank.com/thong-tin/blog/quyet-toan-thue-thu-nhap-ca-nhan")</f>
        <v>https://techcombank.com/thong-tin/blog/tra-cuu-no-thue-ca-nhan
https://techcombank.com/thong-tin/blog/dang-ky-ma-so-thue-ca-nhan
https://techcombank.com/thong-tin/blog/lien-ket-tai-khoan-ngan-hang-voi-etax-mobile
https://techcombank.com/thong-tin/blog/hoan-thue-thu-nhap-ca-nhan
https://techcombank.com/thong-tin/blog/quyet-toan-thue-thu-nhap-ca-nhan</v>
      </c>
      <c r="K23" s="21" t="str">
        <f t="shared" si="1"/>
        <v>Có đề xuất dùng được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7">
        <v>23.0</v>
      </c>
      <c r="B24" s="8" t="s">
        <v>162</v>
      </c>
      <c r="C24" s="9" t="s">
        <v>110</v>
      </c>
      <c r="D24" s="12">
        <f>COUNTIF('Chi tiết từng link'!$B$2:$B$2505,B24)</f>
        <v>33</v>
      </c>
      <c r="E24" s="14">
        <f>COUNTIFS('Chi tiết từng link'!$B$2:$B$2505,B24,'Chi tiết từng link'!$F$2:$F$2505,"PHÙ HỢP CAO")</f>
        <v>3</v>
      </c>
      <c r="F24" s="14">
        <f>COUNTIFS('Chi tiết từng link'!$B$2:$B$2505,B24,'Chi tiết từng link'!$F$2:$F$2505,"CÓ THỂ ĐI")</f>
        <v>2</v>
      </c>
      <c r="G24" s="14">
        <f>COUNTIFS('Chi tiết từng link'!$B$2:$B$2505,B24,'Chi tiết từng link'!$F$2:$F$2505,"CẦN SOÁT")</f>
        <v>28</v>
      </c>
      <c r="H24" s="14">
        <f>IFERROR(__xludf.DUMMYFUNCTION("IF(D24=0,0,COUNTUNIQUE(FILTER('Chi tiết từng link'!$E$2:$E$2505,'Chi tiết từng link'!$B$2:$B$2505=B24)))"),2.0)</f>
        <v>2</v>
      </c>
      <c r="I24" s="21" t="str">
        <f>IFERROR(__xludf.DUMMYFUNCTION("IFERROR(TEXTJOIN(CHAR(10),TRUE,BYROW(QUERY('Chi tiết từng link'!$B$2:$E$2505,""select E, count(E) where B = '""&amp;B24&amp;""' group by E order by count(E) desc label count(E) ''"",0),LAMBDA(r,INDEX(r,1,1)&amp;"" – ""&amp;INDEX(r,1,2)&amp;"" link""))),""—"")"),"tên đăng nhập tài khoản ngân hàng – 17 link
tên đăng nhập – 16 link")</f>
        <v>tên đăng nhập tài khoản ngân hàng – 17 link
tên đăng nhập – 16 link</v>
      </c>
      <c r="J24" s="21" t="str">
        <f>IFERROR(__xludf.DUMMYFUNCTION("IFERROR(TEXTJOIN(CHAR(10),TRUE,FILTER('Chi tiết từng link'!$D$2:$D$2505,'Chi tiết từng link'!$B$2:$B$2505=B24,'Chi tiết từng link'!$F$2:$F$2505&lt;&gt;""CẦN SOÁT"")),""—"")"),"https://techcombank.com/thong-tin/blog/cach-doi-mat-khau-tai-khoan-ngan-hang
https://techcombank.com/thong-tin/blog/internet-banking
https://techcombank.com/thong-tin/blog/cach-bao-ve-tai-khoan
https://techcombank.com/thong-tin/blog/smart-otp-la-gi
https:"&amp;"//techcombank.com/thong-tin/blog/mat-so-dien-thoai-dang-ky-tai-khoan-ngan-hang")</f>
        <v>https://techcombank.com/thong-tin/blog/cach-doi-mat-khau-tai-khoan-ngan-hang
https://techcombank.com/thong-tin/blog/internet-banking
https://techcombank.com/thong-tin/blog/cach-bao-ve-tai-khoan
https://techcombank.com/thong-tin/blog/smart-otp-la-gi
https://techcombank.com/thong-tin/blog/mat-so-dien-thoai-dang-ky-tai-khoan-ngan-hang</v>
      </c>
      <c r="K24" s="21" t="str">
        <f t="shared" si="1"/>
        <v>Có đề xuất dùng được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7">
        <v>24.0</v>
      </c>
      <c r="B25" s="8" t="s">
        <v>164</v>
      </c>
      <c r="C25" s="9" t="s">
        <v>110</v>
      </c>
      <c r="D25" s="12">
        <f>COUNTIF('Chi tiết từng link'!$B$2:$B$2505,B25)</f>
        <v>17</v>
      </c>
      <c r="E25" s="14">
        <f>COUNTIFS('Chi tiết từng link'!$B$2:$B$2505,B25,'Chi tiết từng link'!$F$2:$F$2505,"PHÙ HỢP CAO")</f>
        <v>1</v>
      </c>
      <c r="F25" s="14">
        <f>COUNTIFS('Chi tiết từng link'!$B$2:$B$2505,B25,'Chi tiết từng link'!$F$2:$F$2505,"CÓ THỂ ĐI")</f>
        <v>3</v>
      </c>
      <c r="G25" s="14">
        <f>COUNTIFS('Chi tiết từng link'!$B$2:$B$2505,B25,'Chi tiết từng link'!$F$2:$F$2505,"CẦN SOÁT")</f>
        <v>13</v>
      </c>
      <c r="H25" s="14">
        <f>IFERROR(__xludf.DUMMYFUNCTION("IF(D25=0,0,COUNTUNIQUE(FILTER('Chi tiết từng link'!$E$2:$E$2505,'Chi tiết từng link'!$B$2:$B$2505=B25)))"),3.0)</f>
        <v>3</v>
      </c>
      <c r="I25" s="21" t="str">
        <f>IFERROR(__xludf.DUMMYFUNCTION("IFERROR(TEXTJOIN(CHAR(10),TRUE,BYROW(QUERY('Chi tiết từng link'!$B$2:$E$2505,""select E, count(E) where B = '""&amp;B25&amp;""' group by E order by count(E) desc label count(E) ''"",0),LAMBDA(r,INDEX(r,1,1)&amp;"" – ""&amp;INDEX(r,1,2)&amp;"" link""))),""—"")"),"thuế TNCN – 6 link
thuế thu nhập cá nhân – 6 link
mức đóng thuế thu nhập cá nhân – 5 link")</f>
        <v>thuế TNCN – 6 link
thuế thu nhập cá nhân – 6 link
mức đóng thuế thu nhập cá nhân – 5 link</v>
      </c>
      <c r="J25" s="21" t="str">
        <f>IFERROR(__xludf.DUMMYFUNCTION("IFERROR(TEXTJOIN(CHAR(10),TRUE,FILTER('Chi tiết từng link'!$D$2:$D$2505,'Chi tiết từng link'!$B$2:$B$2505=B25,'Chi tiết từng link'!$F$2:$F$2505&lt;&gt;""CẦN SOÁT"")),""—"")"),"https://techcombank.com/thong-tin/blog/tien-chuyen-vao-tai-khoan-co-bi-tinh-thue-khong
https://techcombank.com/thong-tin/blog/tra-cuu-no-thue-ca-nhan
https://techcombank.com/thong-tin/blog/luong-huu
https://techcombank.com/thong-tin/blog/sao-ke-luong")</f>
        <v>https://techcombank.com/thong-tin/blog/tien-chuyen-vao-tai-khoan-co-bi-tinh-thue-khong
https://techcombank.com/thong-tin/blog/tra-cuu-no-thue-ca-nhan
https://techcombank.com/thong-tin/blog/luong-huu
https://techcombank.com/thong-tin/blog/sao-ke-luong</v>
      </c>
      <c r="K25" s="21" t="str">
        <f t="shared" si="1"/>
        <v>Có đề xuất dùng được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7">
        <v>25.0</v>
      </c>
      <c r="B26" s="8" t="s">
        <v>166</v>
      </c>
      <c r="C26" s="9" t="s">
        <v>110</v>
      </c>
      <c r="D26" s="12">
        <f>COUNTIF('Chi tiết từng link'!$B$2:$B$2505,B26)</f>
        <v>58</v>
      </c>
      <c r="E26" s="14">
        <f>COUNTIFS('Chi tiết từng link'!$B$2:$B$2505,B26,'Chi tiết từng link'!$F$2:$F$2505,"PHÙ HỢP CAO")</f>
        <v>3</v>
      </c>
      <c r="F26" s="14">
        <f>COUNTIFS('Chi tiết từng link'!$B$2:$B$2505,B26,'Chi tiết từng link'!$F$2:$F$2505,"CÓ THỂ ĐI")</f>
        <v>2</v>
      </c>
      <c r="G26" s="14">
        <f>COUNTIFS('Chi tiết từng link'!$B$2:$B$2505,B26,'Chi tiết từng link'!$F$2:$F$2505,"CẦN SOÁT")</f>
        <v>53</v>
      </c>
      <c r="H26" s="14">
        <f>IFERROR(__xludf.DUMMYFUNCTION("IF(D26=0,0,COUNTUNIQUE(FILTER('Chi tiết từng link'!$E$2:$E$2505,'Chi tiết từng link'!$B$2:$B$2505=B26)))"),3.0)</f>
        <v>3</v>
      </c>
      <c r="I26" s="21" t="str">
        <f>IFERROR(__xludf.DUMMYFUNCTION("IFERROR(TEXTJOIN(CHAR(10),TRUE,BYROW(QUERY('Chi tiết từng link'!$B$2:$E$2505,""select E, count(E) where B = '""&amp;B26&amp;""' group by E order by count(E) desc label count(E) ''"",0),LAMBDA(r,INDEX(r,1,1)&amp;"" – ""&amp;INDEX(r,1,2)&amp;"" link""))),""—"")"),"rút tiền bằng mã QR – 20 link
cách rút tiền bằng mã QR – 19 link
rút tiền không cần thẻ – 19 link")</f>
        <v>rút tiền bằng mã QR – 20 link
cách rút tiền bằng mã QR – 19 link
rút tiền không cần thẻ – 19 link</v>
      </c>
      <c r="J26" s="21" t="str">
        <f>IFERROR(__xludf.DUMMYFUNCTION("IFERROR(TEXTJOIN(CHAR(10),TRUE,FILTER('Chi tiết từng link'!$D$2:$D$2505,'Chi tiết từng link'!$B$2:$B$2505=B26,'Chi tiết từng link'!$F$2:$F$2505&lt;&gt;""CẦN SOÁT"")),""—"")"),"https://techcombank.com/thong-tin/blog/rut-tien-bang-ma-qr-khac-ngan-hang-duoc-khong
https://techcombank.com/thong-tin/blog/cach-rut-tien-atm
https://techcombank.com/thong-tin/blog/the-atm-khong-rut-duoc-tien
https://techcombank.com/thong-tin/blog/bi-nuot"&amp;"-the-atm-phai-lam-sao
https://techcombank.com/thong-tin/blog/cay-atm-gan-day")</f>
        <v>https://techcombank.com/thong-tin/blog/rut-tien-bang-ma-qr-khac-ngan-hang-duoc-khong
https://techcombank.com/thong-tin/blog/cach-rut-tien-atm
https://techcombank.com/thong-tin/blog/the-atm-khong-rut-duoc-tien
https://techcombank.com/thong-tin/blog/bi-nuot-the-atm-phai-lam-sao
https://techcombank.com/thong-tin/blog/cay-atm-gan-day</v>
      </c>
      <c r="K26" s="21" t="str">
        <f t="shared" si="1"/>
        <v>Có đề xuất dùng được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7">
        <v>26.0</v>
      </c>
      <c r="B27" s="8" t="s">
        <v>176</v>
      </c>
      <c r="C27" s="9" t="s">
        <v>110</v>
      </c>
      <c r="D27" s="12">
        <f>COUNTIF('Chi tiết từng link'!$B$2:$B$2505,B27)</f>
        <v>14</v>
      </c>
      <c r="E27" s="14">
        <f>COUNTIFS('Chi tiết từng link'!$B$2:$B$2505,B27,'Chi tiết từng link'!$F$2:$F$2505,"PHÙ HỢP CAO")</f>
        <v>4</v>
      </c>
      <c r="F27" s="14">
        <f>COUNTIFS('Chi tiết từng link'!$B$2:$B$2505,B27,'Chi tiết từng link'!$F$2:$F$2505,"CÓ THỂ ĐI")</f>
        <v>1</v>
      </c>
      <c r="G27" s="14">
        <f>COUNTIFS('Chi tiết từng link'!$B$2:$B$2505,B27,'Chi tiết từng link'!$F$2:$F$2505,"CẦN SOÁT")</f>
        <v>9</v>
      </c>
      <c r="H27" s="14">
        <f>IFERROR(__xludf.DUMMYFUNCTION("IF(D27=0,0,COUNTUNIQUE(FILTER('Chi tiết từng link'!$E$2:$E$2505,'Chi tiết từng link'!$B$2:$B$2505=B27)))"),3.0)</f>
        <v>3</v>
      </c>
      <c r="I27" s="21" t="str">
        <f>IFERROR(__xludf.DUMMYFUNCTION("IFERROR(TEXTJOIN(CHAR(10),TRUE,BYROW(QUERY('Chi tiết từng link'!$B$2:$E$2505,""select E, count(E) where B = '""&amp;B27&amp;""' group by E order by count(E) desc label count(E) ''"",0),LAMBDA(r,INDEX(r,1,1)&amp;"" – ""&amp;INDEX(r,1,2)&amp;"" link""))),""—"")"),"quét NFC CCCD – 5 link
quét NFC CCCD trên iPhone – 5 link
cách quét NFC căn cước – 4 link")</f>
        <v>quét NFC CCCD – 5 link
quét NFC CCCD trên iPhone – 5 link
cách quét NFC căn cước – 4 link</v>
      </c>
      <c r="J27" s="21" t="str">
        <f>IFERROR(__xludf.DUMMYFUNCTION("IFERROR(TEXTJOIN(CHAR(10),TRUE,FILTER('Chi tiết từng link'!$D$2:$D$2505,'Chi tiết từng link'!$B$2:$B$2505=B27,'Chi tiết từng link'!$F$2:$F$2505&lt;&gt;""CẦN SOÁT"")),""—"")"),"https://techcombank.com/thong-tin/blog/xac-thuc-sinh-trac-hoc-khi-chuyen-tien
https://techcombank.com/thong-tin/blog/cach-lien-ket-tai-khoan-ngan-hang-voi-vneid
https://techcombank.com/thong-tin/blog/ekyc-la-gi
https://techcombank.com/thong-tin/blog/cach-"&amp;"dang-ky-dinh-danh-muc-2
https://techcombank.com/thong-tin/blog/mo-tai-khoan-ngan-hang-bang-so-dien-thoai")</f>
        <v>https://techcombank.com/thong-tin/blog/xac-thuc-sinh-trac-hoc-khi-chuyen-tien
https://techcombank.com/thong-tin/blog/cach-lien-ket-tai-khoan-ngan-hang-voi-vneid
https://techcombank.com/thong-tin/blog/ekyc-la-gi
https://techcombank.com/thong-tin/blog/cach-dang-ky-dinh-danh-muc-2
https://techcombank.com/thong-tin/blog/mo-tai-khoan-ngan-hang-bang-so-dien-thoai</v>
      </c>
      <c r="K27" s="21" t="str">
        <f t="shared" si="1"/>
        <v>Có đề xuất dùng được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7">
        <v>27.0</v>
      </c>
      <c r="B28" s="8" t="s">
        <v>184</v>
      </c>
      <c r="C28" s="9" t="s">
        <v>110</v>
      </c>
      <c r="D28" s="12">
        <f>COUNTIF('Chi tiết từng link'!$B$2:$B$2505,B28)</f>
        <v>45</v>
      </c>
      <c r="E28" s="14">
        <f>COUNTIFS('Chi tiết từng link'!$B$2:$B$2505,B28,'Chi tiết từng link'!$F$2:$F$2505,"PHÙ HỢP CAO")</f>
        <v>3</v>
      </c>
      <c r="F28" s="14">
        <f>COUNTIFS('Chi tiết từng link'!$B$2:$B$2505,B28,'Chi tiết từng link'!$F$2:$F$2505,"CÓ THỂ ĐI")</f>
        <v>2</v>
      </c>
      <c r="G28" s="14">
        <f>COUNTIFS('Chi tiết từng link'!$B$2:$B$2505,B28,'Chi tiết từng link'!$F$2:$F$2505,"CẦN SOÁT")</f>
        <v>40</v>
      </c>
      <c r="H28" s="14">
        <f>IFERROR(__xludf.DUMMYFUNCTION("IF(D28=0,0,COUNTUNIQUE(FILTER('Chi tiết từng link'!$E$2:$E$2505,'Chi tiết từng link'!$B$2:$B$2505=B28)))"),3.0)</f>
        <v>3</v>
      </c>
      <c r="I28" s="21" t="str">
        <f>IFERROR(__xludf.DUMMYFUNCTION("IFERROR(TEXTJOIN(CHAR(10),TRUE,BYROW(QUERY('Chi tiết từng link'!$B$2:$E$2505,""select E, count(E) where B = '""&amp;B28&amp;""' group by E order by count(E) desc label count(E) ''"",0),LAMBDA(r,INDEX(r,1,1)&amp;"" – ""&amp;INDEX(r,1,2)&amp;"" link""))),""—"")"),"Techcombank Eco – 15 link
eco card – 15 link
thẻ Eco – 15 link")</f>
        <v>Techcombank Eco – 15 link
eco card – 15 link
thẻ Eco – 15 link</v>
      </c>
      <c r="J28" s="21" t="str">
        <f>IFERROR(__xludf.DUMMYFUNCTION("IFERROR(TEXTJOIN(CHAR(10),TRUE,FILTER('Chi tiết từng link'!$D$2:$D$2505,'Chi tiết từng link'!$B$2:$B$2505=B28,'Chi tiết từng link'!$F$2:$F$2505&lt;&gt;""CẦN SOÁT"")),""—"")"),"https://techcombank.com/thong-tin/blog/dau-chan-carbon
https://techcombank.com/thong-tin/blog/san-pham-xanh
https://techcombank.com/thong-tin/blog/xu-huong-song-xanh
https://techcombank.com/thong-tin/blog/the-ghi-no-visa-la-gi
https://techcombank.com/thon"&amp;"g-tin/blog/tieu-dung-xanh")</f>
        <v>https://techcombank.com/thong-tin/blog/dau-chan-carbon
https://techcombank.com/thong-tin/blog/san-pham-xanh
https://techcombank.com/thong-tin/blog/xu-huong-song-xanh
https://techcombank.com/thong-tin/blog/the-ghi-no-visa-la-gi
https://techcombank.com/thong-tin/blog/tieu-dung-xanh</v>
      </c>
      <c r="K28" s="21" t="str">
        <f t="shared" si="1"/>
        <v>Có đề xuất dùng được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7">
        <v>28.0</v>
      </c>
      <c r="B29" s="8" t="s">
        <v>187</v>
      </c>
      <c r="C29" s="9" t="s">
        <v>189</v>
      </c>
      <c r="D29" s="12">
        <f>COUNTIF('Chi tiết từng link'!$B$2:$B$2505,B29)</f>
        <v>22</v>
      </c>
      <c r="E29" s="14">
        <f>COUNTIFS('Chi tiết từng link'!$B$2:$B$2505,B29,'Chi tiết từng link'!$F$2:$F$2505,"PHÙ HỢP CAO")</f>
        <v>3</v>
      </c>
      <c r="F29" s="14">
        <f>COUNTIFS('Chi tiết từng link'!$B$2:$B$2505,B29,'Chi tiết từng link'!$F$2:$F$2505,"CÓ THỂ ĐI")</f>
        <v>2</v>
      </c>
      <c r="G29" s="14">
        <f>COUNTIFS('Chi tiết từng link'!$B$2:$B$2505,B29,'Chi tiết từng link'!$F$2:$F$2505,"CẦN SOÁT")</f>
        <v>17</v>
      </c>
      <c r="H29" s="14">
        <f>IFERROR(__xludf.DUMMYFUNCTION("IF(D29=0,0,COUNTUNIQUE(FILTER('Chi tiết từng link'!$E$2:$E$2505,'Chi tiết từng link'!$B$2:$B$2505=B29)))"),5.0)</f>
        <v>5</v>
      </c>
      <c r="I29" s="21" t="str">
        <f>IFERROR(__xludf.DUMMYFUNCTION("IFERROR(TEXTJOIN(CHAR(10),TRUE,BYROW(QUERY('Chi tiết từng link'!$B$2:$E$2505,""select E, count(E) where B = '""&amp;B29&amp;""' group by E order by count(E) desc label count(E) ''"",0),LAMBDA(r,INDEX(r,1,1)&amp;"" – ""&amp;INDEX(r,1,2)&amp;"" link""))),""—"")"),"CIC – 5 link
CIC là gì – 5 link
Trung tâm Thông tin Tín dụng (CIC) – 4 link
kiểm tra CIC – 4 link
tra cứu CIC cá nhân – 4 link")</f>
        <v>CIC – 5 link
CIC là gì – 5 link
Trung tâm Thông tin Tín dụng (CIC) – 4 link
kiểm tra CIC – 4 link
tra cứu CIC cá nhân – 4 link</v>
      </c>
      <c r="J29" s="21" t="str">
        <f>IFERROR(__xludf.DUMMYFUNCTION("IFERROR(TEXTJOIN(CHAR(10),TRUE,FILTER('Chi tiết từng link'!$D$2:$D$2505,'Chi tiết từng link'!$B$2:$B$2505=B29,'Chi tiết từng link'!$F$2:$F$2505&lt;&gt;""CẦN SOÁT"")),""—"")"),"https://techcombank.com/thong-tin/blog/diem-tin-dung
https://techcombank.com/thong-tin/blog/lich-su-tin-dung
https://techcombank.com/thong-tin/blog/no-nhom-3
https://techcombank.com/thong-tin/blog/no-chu-y-la-gi
https://techcombank.com/thong-tin/blog/no-x"&amp;"au-nhom-2")</f>
        <v>https://techcombank.com/thong-tin/blog/diem-tin-dung
https://techcombank.com/thong-tin/blog/lich-su-tin-dung
https://techcombank.com/thong-tin/blog/no-nhom-3
https://techcombank.com/thong-tin/blog/no-chu-y-la-gi
https://techcombank.com/thong-tin/blog/no-xau-nhom-2</v>
      </c>
      <c r="K29" s="21" t="str">
        <f t="shared" si="1"/>
        <v>Có đề xuất dùng được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7">
        <v>29.0</v>
      </c>
      <c r="B30" s="8" t="s">
        <v>194</v>
      </c>
      <c r="C30" s="9" t="s">
        <v>189</v>
      </c>
      <c r="D30" s="12">
        <f>COUNTIF('Chi tiết từng link'!$B$2:$B$2505,B30)</f>
        <v>36</v>
      </c>
      <c r="E30" s="14">
        <f>COUNTIFS('Chi tiết từng link'!$B$2:$B$2505,B30,'Chi tiết từng link'!$F$2:$F$2505,"PHÙ HỢP CAO")</f>
        <v>3</v>
      </c>
      <c r="F30" s="14">
        <f>COUNTIFS('Chi tiết từng link'!$B$2:$B$2505,B30,'Chi tiết từng link'!$F$2:$F$2505,"CÓ THỂ ĐI")</f>
        <v>2</v>
      </c>
      <c r="G30" s="14">
        <f>COUNTIFS('Chi tiết từng link'!$B$2:$B$2505,B30,'Chi tiết từng link'!$F$2:$F$2505,"CẦN SOÁT")</f>
        <v>31</v>
      </c>
      <c r="H30" s="14">
        <f>IFERROR(__xludf.DUMMYFUNCTION("IF(D30=0,0,COUNTUNIQUE(FILTER('Chi tiết từng link'!$E$2:$E$2505,'Chi tiết từng link'!$B$2:$B$2505=B30)))"),3.0)</f>
        <v>3</v>
      </c>
      <c r="I30" s="21" t="str">
        <f>IFERROR(__xludf.DUMMYFUNCTION("IFERROR(TEXTJOIN(CHAR(10),TRUE,BYROW(QUERY('Chi tiết từng link'!$B$2:$E$2505,""select E, count(E) where B = '""&amp;B30&amp;""' group by E order by count(E) desc label count(E) ''"",0),LAMBDA(r,INDEX(r,1,1)&amp;"" – ""&amp;INDEX(r,1,2)&amp;"" link""))),""—"")"),"cách rút tiền thẻ tín dụng – 12 link
rút tiền mặt từ thẻ tín dụng – 12 link
rút tiền thẻ tín dụng – 12 link")</f>
        <v>cách rút tiền thẻ tín dụng – 12 link
rút tiền mặt từ thẻ tín dụng – 12 link
rút tiền thẻ tín dụng – 12 link</v>
      </c>
      <c r="J30" s="21" t="str">
        <f>IFERROR(__xludf.DUMMYFUNCTION("IFERROR(TEXTJOIN(CHAR(10),TRUE,FILTER('Chi tiết từng link'!$D$2:$D$2505,'Chi tiết từng link'!$B$2:$B$2505=B30,'Chi tiết từng link'!$F$2:$F$2505&lt;&gt;""CẦN SOÁT"")),""—"")"),"https://techcombank.com/thong-tin/blog/phi-rut-tien-mat-the-tin-dung
https://techcombank.com/thong-tin/blog/the-visa-co-rut-tien-duoc-khong
https://techcombank.com/thong-tin/blog/the-tin-dung-co-chuyen-khoan-duoc-khong
https://techcombank.com/thong-tin/bl"&amp;"og/han-muc-the-tin-dung
https://techcombank.com/thong-tin/blog/lai-suat-the-tin-dung")</f>
        <v>https://techcombank.com/thong-tin/blog/phi-rut-tien-mat-the-tin-dung
https://techcombank.com/thong-tin/blog/the-visa-co-rut-tien-duoc-khong
https://techcombank.com/thong-tin/blog/the-tin-dung-co-chuyen-khoan-duoc-khong
https://techcombank.com/thong-tin/blog/han-muc-the-tin-dung
https://techcombank.com/thong-tin/blog/lai-suat-the-tin-dung</v>
      </c>
      <c r="K30" s="21" t="str">
        <f t="shared" si="1"/>
        <v>Có đề xuất dùng được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7">
        <v>30.0</v>
      </c>
      <c r="B31" s="8" t="s">
        <v>198</v>
      </c>
      <c r="C31" s="9" t="s">
        <v>189</v>
      </c>
      <c r="D31" s="12">
        <f>COUNTIF('Chi tiết từng link'!$B$2:$B$2505,B31)</f>
        <v>93</v>
      </c>
      <c r="E31" s="14">
        <f>COUNTIFS('Chi tiết từng link'!$B$2:$B$2505,B31,'Chi tiết từng link'!$F$2:$F$2505,"PHÙ HỢP CAO")</f>
        <v>4</v>
      </c>
      <c r="F31" s="14">
        <f>COUNTIFS('Chi tiết từng link'!$B$2:$B$2505,B31,'Chi tiết từng link'!$F$2:$F$2505,"CÓ THỂ ĐI")</f>
        <v>1</v>
      </c>
      <c r="G31" s="14">
        <f>COUNTIFS('Chi tiết từng link'!$B$2:$B$2505,B31,'Chi tiết từng link'!$F$2:$F$2505,"CẦN SOÁT")</f>
        <v>88</v>
      </c>
      <c r="H31" s="14">
        <f>IFERROR(__xludf.DUMMYFUNCTION("IF(D31=0,0,COUNTUNIQUE(FILTER('Chi tiết từng link'!$E$2:$E$2505,'Chi tiết từng link'!$B$2:$B$2505=B31)))"),2.0)</f>
        <v>2</v>
      </c>
      <c r="I31" s="21" t="str">
        <f>IFERROR(__xludf.DUMMYFUNCTION("IFERROR(TEXTJOIN(CHAR(10),TRUE,BYROW(QUERY('Chi tiết từng link'!$B$2:$E$2505,""select E, count(E) where B = '""&amp;B31&amp;""' group by E order by count(E) desc label count(E) ''"",0),LAMBDA(r,INDEX(r,1,1)&amp;"" – ""&amp;INDEX(r,1,2)&amp;"" link""))),""—"")"),"làm thẻ tín dụng – 47 link
mở thẻ tín dụng – 46 link")</f>
        <v>làm thẻ tín dụng – 47 link
mở thẻ tín dụng – 46 link</v>
      </c>
      <c r="J31" s="21" t="str">
        <f>IFERROR(__xludf.DUMMYFUNCTION("IFERROR(TEXTJOIN(CHAR(10),TRUE,FILTER('Chi tiết từng link'!$D$2:$D$2505,'Chi tiết từng link'!$B$2:$B$2505=B31,'Chi tiết từng link'!$F$2:$F$2505&lt;&gt;""CẦN SOÁT"")),""—"")"),"https://techcombank.com/thong-tin/blog/the-tin-dung-la-gi
https://techcombank.com/thong-tin/blog/mo-the-tin-dung-chi-can-cccd
https://techcombank.com/thong-tin/blog/lam-the-tin-dung-co-mat-phi-khong
https://techcombank.com/thong-tin/blog/mo-the-tin-dung-k"&amp;"hong-can-chung-minh-thu-nhap
https://techcombank.com/thong-tin/blog/co-nen-dung-the-tin-dung-khong")</f>
        <v>https://techcombank.com/thong-tin/blog/the-tin-dung-la-gi
https://techcombank.com/thong-tin/blog/mo-the-tin-dung-chi-can-cccd
https://techcombank.com/thong-tin/blog/lam-the-tin-dung-co-mat-phi-khong
https://techcombank.com/thong-tin/blog/mo-the-tin-dung-khong-can-chung-minh-thu-nhap
https://techcombank.com/thong-tin/blog/co-nen-dung-the-tin-dung-khong</v>
      </c>
      <c r="K31" s="21" t="str">
        <f t="shared" si="1"/>
        <v>Có đề xuất dùng được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7">
        <v>31.0</v>
      </c>
      <c r="B32" s="8" t="s">
        <v>202</v>
      </c>
      <c r="C32" s="9" t="s">
        <v>189</v>
      </c>
      <c r="D32" s="12">
        <f>COUNTIF('Chi tiết từng link'!$B$2:$B$2505,B32)</f>
        <v>78</v>
      </c>
      <c r="E32" s="14">
        <f>COUNTIFS('Chi tiết từng link'!$B$2:$B$2505,B32,'Chi tiết từng link'!$F$2:$F$2505,"PHÙ HỢP CAO")</f>
        <v>2</v>
      </c>
      <c r="F32" s="14">
        <f>COUNTIFS('Chi tiết từng link'!$B$2:$B$2505,B32,'Chi tiết từng link'!$F$2:$F$2505,"CÓ THỂ ĐI")</f>
        <v>3</v>
      </c>
      <c r="G32" s="14">
        <f>COUNTIFS('Chi tiết từng link'!$B$2:$B$2505,B32,'Chi tiết từng link'!$F$2:$F$2505,"CẦN SOÁT")</f>
        <v>73</v>
      </c>
      <c r="H32" s="14">
        <f>IFERROR(__xludf.DUMMYFUNCTION("IF(D32=0,0,COUNTUNIQUE(FILTER('Chi tiết từng link'!$E$2:$E$2505,'Chi tiết từng link'!$B$2:$B$2505=B32)))"),2.0)</f>
        <v>2</v>
      </c>
      <c r="I32" s="21" t="str">
        <f>IFERROR(__xludf.DUMMYFUNCTION("IFERROR(TEXTJOIN(CHAR(10),TRUE,BYROW(QUERY('Chi tiết từng link'!$B$2:$E$2505,""select E, count(E) where B = '""&amp;B32&amp;""' group by E order by count(E) desc label count(E) ''"",0),LAMBDA(r,INDEX(r,1,1)&amp;"" – ""&amp;INDEX(r,1,2)&amp;"" link""))),""—"")"),"Techcombank Everyday – 39 link
thẻ tín dụng Techcombank Everyday – 39 link")</f>
        <v>Techcombank Everyday – 39 link
thẻ tín dụng Techcombank Everyday – 39 link</v>
      </c>
      <c r="J32" s="21" t="str">
        <f>IFERROR(__xludf.DUMMYFUNCTION("IFERROR(TEXTJOIN(CHAR(10),TRUE,FILTER('Chi tiết từng link'!$D$2:$D$2505,'Chi tiết từng link'!$B$2:$B$2505=B32,'Chi tiết từng link'!$F$2:$F$2505&lt;&gt;""CẦN SOÁT"")),""—"")"),"https://techcombank.com/thong-tin/blog/the-tin-dung-nao-nhieu-uu-dai-nhat
https://techcombank.com/thong-tin/blog/thoi-gian-hoan-tien-the-tin-dung
https://techcombank.com/thong-tin/blog/uu-dai-the-tin-dung
https://techcombank.com/thong-tin/blog/cac-loai-th"&amp;"e-tin-dung
https://techcombank.com/thong-tin/blog/mo-the-tin-dung-co-loi-ich-gi")</f>
        <v>https://techcombank.com/thong-tin/blog/the-tin-dung-nao-nhieu-uu-dai-nhat
https://techcombank.com/thong-tin/blog/thoi-gian-hoan-tien-the-tin-dung
https://techcombank.com/thong-tin/blog/uu-dai-the-tin-dung
https://techcombank.com/thong-tin/blog/cac-loai-the-tin-dung
https://techcombank.com/thong-tin/blog/mo-the-tin-dung-co-loi-ich-gi</v>
      </c>
      <c r="K32" s="21" t="str">
        <f t="shared" si="1"/>
        <v>Có đề xuất dùng được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7">
        <v>32.0</v>
      </c>
      <c r="B33" s="8" t="s">
        <v>204</v>
      </c>
      <c r="C33" s="9" t="s">
        <v>189</v>
      </c>
      <c r="D33" s="12">
        <f>COUNTIF('Chi tiết từng link'!$B$2:$B$2505,B33)</f>
        <v>77</v>
      </c>
      <c r="E33" s="14">
        <f>COUNTIFS('Chi tiết từng link'!$B$2:$B$2505,B33,'Chi tiết từng link'!$F$2:$F$2505,"PHÙ HỢP CAO")</f>
        <v>1</v>
      </c>
      <c r="F33" s="14">
        <f>COUNTIFS('Chi tiết từng link'!$B$2:$B$2505,B33,'Chi tiết từng link'!$F$2:$F$2505,"CÓ THỂ ĐI")</f>
        <v>4</v>
      </c>
      <c r="G33" s="14">
        <f>COUNTIFS('Chi tiết từng link'!$B$2:$B$2505,B33,'Chi tiết từng link'!$F$2:$F$2505,"CẦN SOÁT")</f>
        <v>72</v>
      </c>
      <c r="H33" s="14">
        <f>IFERROR(__xludf.DUMMYFUNCTION("IF(D33=0,0,COUNTUNIQUE(FILTER('Chi tiết từng link'!$E$2:$E$2505,'Chi tiết từng link'!$B$2:$B$2505=B33)))"),3.0)</f>
        <v>3</v>
      </c>
      <c r="I33" s="21" t="str">
        <f>IFERROR(__xludf.DUMMYFUNCTION("IFERROR(TEXTJOIN(CHAR(10),TRUE,BYROW(QUERY('Chi tiết từng link'!$B$2:$E$2505,""select E, count(E) where B = '""&amp;B33&amp;""' group by E order by count(E) desc label count(E) ''"",0),LAMBDA(r,INDEX(r,1,1)&amp;"" – ""&amp;INDEX(r,1,2)&amp;"" link""))),""—"")"),"thẻ hoàn tiền – 26 link
thẻ tín dụng hoàn tiền – 26 link
thẻ cashback – 25 link")</f>
        <v>thẻ hoàn tiền – 26 link
thẻ tín dụng hoàn tiền – 26 link
thẻ cashback – 25 link</v>
      </c>
      <c r="J33" s="21" t="str">
        <f>IFERROR(__xludf.DUMMYFUNCTION("IFERROR(TEXTJOIN(CHAR(10),TRUE,FILTER('Chi tiết từng link'!$D$2:$D$2505,'Chi tiết từng link'!$B$2:$B$2505=B33,'Chi tiết từng link'!$F$2:$F$2505&lt;&gt;""CẦN SOÁT"")),""—"")"),"https://techcombank.com/thong-tin/blog/thanh-toan-tien-dien-bang-the-tin-dung
https://techcombank.com/thong-tin/blog/cashback-the-thanh-toan
https://techcombank.com/thong-tin/blog/uu-dai-mo-the-tin-dung
https://techcombank.com/thong-tin/blog/the-tin-dung-"&amp;"mien-phi-thuong-nien
https://techcombank.com/thong-tin/blog/cach-su-dung-the-tin-dung")</f>
        <v>https://techcombank.com/thong-tin/blog/thanh-toan-tien-dien-bang-the-tin-dung
https://techcombank.com/thong-tin/blog/cashback-the-thanh-toan
https://techcombank.com/thong-tin/blog/uu-dai-mo-the-tin-dung
https://techcombank.com/thong-tin/blog/the-tin-dung-mien-phi-thuong-nien
https://techcombank.com/thong-tin/blog/cach-su-dung-the-tin-dung</v>
      </c>
      <c r="K33" s="21" t="str">
        <f t="shared" si="1"/>
        <v>Có đề xuất dùng được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7">
        <v>33.0</v>
      </c>
      <c r="B34" s="8" t="s">
        <v>207</v>
      </c>
      <c r="C34" s="9" t="s">
        <v>189</v>
      </c>
      <c r="D34" s="12">
        <f>COUNTIF('Chi tiết từng link'!$B$2:$B$2505,B34)</f>
        <v>77</v>
      </c>
      <c r="E34" s="14">
        <f>COUNTIFS('Chi tiết từng link'!$B$2:$B$2505,B34,'Chi tiết từng link'!$F$2:$F$2505,"PHÙ HỢP CAO")</f>
        <v>3</v>
      </c>
      <c r="F34" s="14">
        <f>COUNTIFS('Chi tiết từng link'!$B$2:$B$2505,B34,'Chi tiết từng link'!$F$2:$F$2505,"CÓ THỂ ĐI")</f>
        <v>2</v>
      </c>
      <c r="G34" s="14">
        <f>COUNTIFS('Chi tiết từng link'!$B$2:$B$2505,B34,'Chi tiết từng link'!$F$2:$F$2505,"CẦN SOÁT")</f>
        <v>72</v>
      </c>
      <c r="H34" s="14">
        <f>IFERROR(__xludf.DUMMYFUNCTION("IF(D34=0,0,COUNTUNIQUE(FILTER('Chi tiết từng link'!$E$2:$E$2505,'Chi tiết từng link'!$B$2:$B$2505=B34)))"),2.0)</f>
        <v>2</v>
      </c>
      <c r="I34" s="21" t="str">
        <f>IFERROR(__xludf.DUMMYFUNCTION("IFERROR(TEXTJOIN(CHAR(10),TRUE,BYROW(QUERY('Chi tiết từng link'!$B$2:$E$2505,""select E, count(E) where B = '""&amp;B34&amp;""' group by E order by count(E) desc label count(E) ''"",0),LAMBDA(r,INDEX(r,1,1)&amp;"" – ""&amp;INDEX(r,1,2)&amp;"" link""))),""—"")"),"cách hủy thẻ tín dụng – 39 link
hủy thẻ tín dụng – 38 link")</f>
        <v>cách hủy thẻ tín dụng – 39 link
hủy thẻ tín dụng – 38 link</v>
      </c>
      <c r="J34" s="21" t="str">
        <f>IFERROR(__xludf.DUMMYFUNCTION("IFERROR(TEXTJOIN(CHAR(10),TRUE,FILTER('Chi tiết từng link'!$D$2:$D$2505,'Chi tiết từng link'!$B$2:$B$2505=B34,'Chi tiết từng link'!$F$2:$F$2505&lt;&gt;""CẦN SOÁT"")),""—"")"),"https://techcombank.com/thong-tin/blog/phi-thuong-nien-la-gi
https://techcombank.com/thong-tin/blog/khong-su-dung-the-tin-dung-co-mat-phi-khong
https://techcombank.com/thong-tin/blog/cach-khoa-the-ngan-hang
https://techcombank.com/thong-tin/blog/the-tin-d"&amp;"ung-bi-khoa
https://techcombank.com/thong-tin/blog/the-tin-dung-het-han")</f>
        <v>https://techcombank.com/thong-tin/blog/phi-thuong-nien-la-gi
https://techcombank.com/thong-tin/blog/khong-su-dung-the-tin-dung-co-mat-phi-khong
https://techcombank.com/thong-tin/blog/cach-khoa-the-ngan-hang
https://techcombank.com/thong-tin/blog/the-tin-dung-bi-khoa
https://techcombank.com/thong-tin/blog/the-tin-dung-het-han</v>
      </c>
      <c r="K34" s="21" t="str">
        <f t="shared" si="1"/>
        <v>Có đề xuất dùng được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7">
        <v>34.0</v>
      </c>
      <c r="B35" s="8" t="s">
        <v>211</v>
      </c>
      <c r="C35" s="9" t="s">
        <v>189</v>
      </c>
      <c r="D35" s="12">
        <f>COUNTIF('Chi tiết từng link'!$B$2:$B$2505,B35)</f>
        <v>35</v>
      </c>
      <c r="E35" s="14">
        <f>COUNTIFS('Chi tiết từng link'!$B$2:$B$2505,B35,'Chi tiết từng link'!$F$2:$F$2505,"PHÙ HỢP CAO")</f>
        <v>1</v>
      </c>
      <c r="F35" s="14">
        <f>COUNTIFS('Chi tiết từng link'!$B$2:$B$2505,B35,'Chi tiết từng link'!$F$2:$F$2505,"CÓ THỂ ĐI")</f>
        <v>4</v>
      </c>
      <c r="G35" s="14">
        <f>COUNTIFS('Chi tiết từng link'!$B$2:$B$2505,B35,'Chi tiết từng link'!$F$2:$F$2505,"CẦN SOÁT")</f>
        <v>30</v>
      </c>
      <c r="H35" s="14">
        <f>IFERROR(__xludf.DUMMYFUNCTION("IF(D35=0,0,COUNTUNIQUE(FILTER('Chi tiết từng link'!$E$2:$E$2505,'Chi tiết từng link'!$B$2:$B$2505=B35)))"),2.0)</f>
        <v>2</v>
      </c>
      <c r="I35" s="21" t="str">
        <f>IFERROR(__xludf.DUMMYFUNCTION("IFERROR(TEXTJOIN(CHAR(10),TRUE,BYROW(QUERY('Chi tiết từng link'!$B$2:$E$2505,""select E, count(E) where B = '""&amp;B35&amp;""' group by E order by count(E) desc label count(E) ''"",0),LAMBDA(r,INDEX(r,1,1)&amp;"" – ""&amp;INDEX(r,1,2)&amp;"" link""))),""—"")"),"xếp hạng tín dụng – 18 link
xếp hạng tín dụng cá nhân – 17 link")</f>
        <v>xếp hạng tín dụng – 18 link
xếp hạng tín dụng cá nhân – 17 link</v>
      </c>
      <c r="J35" s="21" t="str">
        <f>IFERROR(__xludf.DUMMYFUNCTION("IFERROR(TEXTJOIN(CHAR(10),TRUE,FILTER('Chi tiết từng link'!$D$2:$D$2505,'Chi tiết từng link'!$B$2:$B$2505=B35,'Chi tiết từng link'!$F$2:$F$2505&lt;&gt;""CẦN SOÁT"")),""—"")"),"https://techcombank.com/thong-tin/blog/lich-su-tin-dung
https://techcombank.com/thong-tin/blog/dieu-kien-vay-von-ngan-hang
https://techcombank.com/thong-tin/blog/no-xau-co-vay-the-chap-duoc-khong
https://techcombank.com/thong-tin/blog/tin-dung-la-gi
https"&amp;"://techcombank.com/thong-tin/blog/du-no-tin-dung-la-gi")</f>
        <v>https://techcombank.com/thong-tin/blog/lich-su-tin-dung
https://techcombank.com/thong-tin/blog/dieu-kien-vay-von-ngan-hang
https://techcombank.com/thong-tin/blog/no-xau-co-vay-the-chap-duoc-khong
https://techcombank.com/thong-tin/blog/tin-dung-la-gi
https://techcombank.com/thong-tin/blog/du-no-tin-dung-la-gi</v>
      </c>
      <c r="K35" s="21" t="str">
        <f t="shared" si="1"/>
        <v>Có đề xuất dùng được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7">
        <v>35.0</v>
      </c>
      <c r="B36" s="8" t="s">
        <v>215</v>
      </c>
      <c r="C36" s="9" t="s">
        <v>189</v>
      </c>
      <c r="D36" s="12">
        <f>COUNTIF('Chi tiết từng link'!$B$2:$B$2505,B36)</f>
        <v>86</v>
      </c>
      <c r="E36" s="14">
        <f>COUNTIFS('Chi tiết từng link'!$B$2:$B$2505,B36,'Chi tiết từng link'!$F$2:$F$2505,"PHÙ HỢP CAO")</f>
        <v>5</v>
      </c>
      <c r="F36" s="14">
        <f>COUNTIFS('Chi tiết từng link'!$B$2:$B$2505,B36,'Chi tiết từng link'!$F$2:$F$2505,"CÓ THỂ ĐI")</f>
        <v>0</v>
      </c>
      <c r="G36" s="14">
        <f>COUNTIFS('Chi tiết từng link'!$B$2:$B$2505,B36,'Chi tiết từng link'!$F$2:$F$2505,"CẦN SOÁT")</f>
        <v>81</v>
      </c>
      <c r="H36" s="14">
        <f>IFERROR(__xludf.DUMMYFUNCTION("IF(D36=0,0,COUNTUNIQUE(FILTER('Chi tiết từng link'!$E$2:$E$2505,'Chi tiết từng link'!$B$2:$B$2505=B36)))"),3.0)</f>
        <v>3</v>
      </c>
      <c r="I36" s="21" t="str">
        <f>IFERROR(__xludf.DUMMYFUNCTION("IFERROR(TEXTJOIN(CHAR(10),TRUE,BYROW(QUERY('Chi tiết từng link'!$B$2:$E$2505,""select E, count(E) where B = '""&amp;B36&amp;""' group by E order by count(E) desc label count(E) ''"",0),LAMBDA(r,INDEX(r,1,1)&amp;"" – ""&amp;INDEX(r,1,2)&amp;"" link""))),""—"")"),"cách thanh toán thẻ tín dụng – 29 link
thanh toán dư nợ thẻ tín dụng – 29 link
trả nợ thẻ tín dụng – 28 link")</f>
        <v>cách thanh toán thẻ tín dụng – 29 link
thanh toán dư nợ thẻ tín dụng – 29 link
trả nợ thẻ tín dụng – 28 link</v>
      </c>
      <c r="J36" s="21" t="str">
        <f>IFERROR(__xludf.DUMMYFUNCTION("IFERROR(TEXTJOIN(CHAR(10),TRUE,FILTER('Chi tiết từng link'!$D$2:$D$2505,'Chi tiết từng link'!$B$2:$B$2505=B36,'Chi tiết từng link'!$F$2:$F$2505&lt;&gt;""CẦN SOÁT"")),""—"")"),"https://techcombank.com/thong-tin/blog/thanh-toan-toi-thieu-the-tin-dung
https://techcombank.com/thong-tin/blog/qua-han-thanh-toan-the-tin-dung-1-ngay
https://techcombank.com/thong-tin/blog/sao-ke-the-tin-dung-la-gi
https://techcombank.com/thong-tin/blog/"&amp;"no-the-tin-dung-qua-han
https://techcombank.com/thong-tin/blog/the-tin-dung-mien-lai-55-ngay")</f>
        <v>https://techcombank.com/thong-tin/blog/thanh-toan-toi-thieu-the-tin-dung
https://techcombank.com/thong-tin/blog/qua-han-thanh-toan-the-tin-dung-1-ngay
https://techcombank.com/thong-tin/blog/sao-ke-the-tin-dung-la-gi
https://techcombank.com/thong-tin/blog/no-the-tin-dung-qua-han
https://techcombank.com/thong-tin/blog/the-tin-dung-mien-lai-55-ngay</v>
      </c>
      <c r="K36" s="21" t="str">
        <f t="shared" si="1"/>
        <v>Có đề xuất dùng được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7">
        <v>36.0</v>
      </c>
      <c r="B37" s="8" t="s">
        <v>219</v>
      </c>
      <c r="C37" s="9" t="s">
        <v>220</v>
      </c>
      <c r="D37" s="12">
        <f>COUNTIF('Chi tiết từng link'!$B$2:$B$2505,B37)</f>
        <v>48</v>
      </c>
      <c r="E37" s="14">
        <f>COUNTIFS('Chi tiết từng link'!$B$2:$B$2505,B37,'Chi tiết từng link'!$F$2:$F$2505,"PHÙ HỢP CAO")</f>
        <v>4</v>
      </c>
      <c r="F37" s="14">
        <f>COUNTIFS('Chi tiết từng link'!$B$2:$B$2505,B37,'Chi tiết từng link'!$F$2:$F$2505,"CÓ THỂ ĐI")</f>
        <v>1</v>
      </c>
      <c r="G37" s="14">
        <f>COUNTIFS('Chi tiết từng link'!$B$2:$B$2505,B37,'Chi tiết từng link'!$F$2:$F$2505,"CẦN SOÁT")</f>
        <v>43</v>
      </c>
      <c r="H37" s="14">
        <f>IFERROR(__xludf.DUMMYFUNCTION("IF(D37=0,0,COUNTUNIQUE(FILTER('Chi tiết từng link'!$E$2:$E$2505,'Chi tiết từng link'!$B$2:$B$2505=B37)))"),2.0)</f>
        <v>2</v>
      </c>
      <c r="I37" s="21" t="str">
        <f>IFERROR(__xludf.DUMMYFUNCTION("IFERROR(TEXTJOIN(CHAR(10),TRUE,BYROW(QUERY('Chi tiết từng link'!$B$2:$E$2505,""select E, count(E) where B = '""&amp;B37&amp;""' group by E order by count(E) desc label count(E) ''"",0),LAMBDA(r,INDEX(r,1,1)&amp;"" – ""&amp;INDEX(r,1,2)&amp;"" link""))),""—"")"),"chứng chỉ tiền gửi – 24 link
chứng chỉ tiền gửi là gì – 24 link")</f>
        <v>chứng chỉ tiền gửi – 24 link
chứng chỉ tiền gửi là gì – 24 link</v>
      </c>
      <c r="J37" s="21" t="str">
        <f>IFERROR(__xludf.DUMMYFUNCTION("IFERROR(TEXTJOIN(CHAR(10),TRUE,FILTER('Chi tiết từng link'!$D$2:$D$2505,'Chi tiết từng link'!$B$2:$B$2505=B37,'Chi tiết từng link'!$F$2:$F$2505&lt;&gt;""CẦN SOÁT"")),""—"")"),"https://techcombank.com/thong-tin/blog/chung-chi-tien-gui-khac-gi-so-tiet-kiem
https://techcombank.com/thong-tin/blog/chung-chi-tien-gui-co-phai-la-trai-phieu-khong
https://techcombank.com/thong-tin/blog/co-nen-gui-chung-chi-tien-gui
https://techcombank.c"&amp;"om/thong-tin/blog/chung-chi-tien-gui-co-an-toan-khong
https://techcombank.com/thong-tin/blog/tien-nhan-roi-nen-lam-gi")</f>
        <v>https://techcombank.com/thong-tin/blog/chung-chi-tien-gui-khac-gi-so-tiet-kiem
https://techcombank.com/thong-tin/blog/chung-chi-tien-gui-co-phai-la-trai-phieu-khong
https://techcombank.com/thong-tin/blog/co-nen-gui-chung-chi-tien-gui
https://techcombank.com/thong-tin/blog/chung-chi-tien-gui-co-an-toan-khong
https://techcombank.com/thong-tin/blog/tien-nhan-roi-nen-lam-gi</v>
      </c>
      <c r="K37" s="21" t="str">
        <f t="shared" si="1"/>
        <v>Có đề xuất dùng được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7">
        <v>37.0</v>
      </c>
      <c r="B38" s="8" t="s">
        <v>224</v>
      </c>
      <c r="C38" s="9" t="s">
        <v>220</v>
      </c>
      <c r="D38" s="12">
        <f>COUNTIF('Chi tiết từng link'!$B$2:$B$2505,B38)</f>
        <v>14</v>
      </c>
      <c r="E38" s="14">
        <f>COUNTIFS('Chi tiết từng link'!$B$2:$B$2505,B38,'Chi tiết từng link'!$F$2:$F$2505,"PHÙ HỢP CAO")</f>
        <v>1</v>
      </c>
      <c r="F38" s="14">
        <f>COUNTIFS('Chi tiết từng link'!$B$2:$B$2505,B38,'Chi tiết từng link'!$F$2:$F$2505,"CÓ THỂ ĐI")</f>
        <v>4</v>
      </c>
      <c r="G38" s="14">
        <f>COUNTIFS('Chi tiết từng link'!$B$2:$B$2505,B38,'Chi tiết từng link'!$F$2:$F$2505,"CẦN SOÁT")</f>
        <v>9</v>
      </c>
      <c r="H38" s="14">
        <f>IFERROR(__xludf.DUMMYFUNCTION("IF(D38=0,0,COUNTUNIQUE(FILTER('Chi tiết từng link'!$E$2:$E$2505,'Chi tiết từng link'!$B$2:$B$2505=B38)))"),3.0)</f>
        <v>3</v>
      </c>
      <c r="I38" s="21" t="str">
        <f>IFERROR(__xludf.DUMMYFUNCTION("IFERROR(TEXTJOIN(CHAR(10),TRUE,BYROW(QUERY('Chi tiết từng link'!$B$2:$E$2505,""select E, count(E) where B = '""&amp;B38&amp;""' group by E order by count(E) desc label count(E) ''"",0),LAMBDA(r,INDEX(r,1,1)&amp;"" – ""&amp;INDEX(r,1,2)&amp;"" link""))),""—"")"),"lãi suất chứng chỉ tiền gửi – 5 link
lãi suất chứng chỉ tiền gửi các ngân hàng – 5 link
lợi suất chứng chỉ tiền gửi – 4 link")</f>
        <v>lãi suất chứng chỉ tiền gửi – 5 link
lãi suất chứng chỉ tiền gửi các ngân hàng – 5 link
lợi suất chứng chỉ tiền gửi – 4 link</v>
      </c>
      <c r="J38" s="21" t="str">
        <f>IFERROR(__xludf.DUMMYFUNCTION("IFERROR(TEXTJOIN(CHAR(10),TRUE,FILTER('Chi tiết từng link'!$D$2:$D$2505,'Chi tiết từng link'!$B$2:$B$2505=B38,'Chi tiết từng link'!$F$2:$F$2505&lt;&gt;""CẦN SOÁT"")),""—"")"),"https://techcombank.com/thong-tin/blog/cach-tinh-loi-nhuan-chung-chi-tien-gui
https://techcombank.com/thong-tin/blog/tat-toan-chung-chi-tien-gui
https://techcombank.com/thong-tin/blog/chung-chi-tien-gui-co-duoc-rut-truoc-han
https://techcombank.com/thong-"&amp;"tin/blog/chuyen-nhuong-chung-chi-tien-gui
https://techcombank.com/thong-tin/blog/chung-chi-tien-gui-co-duoc-bao-hiem-khong")</f>
        <v>https://techcombank.com/thong-tin/blog/cach-tinh-loi-nhuan-chung-chi-tien-gui
https://techcombank.com/thong-tin/blog/tat-toan-chung-chi-tien-gui
https://techcombank.com/thong-tin/blog/chung-chi-tien-gui-co-duoc-rut-truoc-han
https://techcombank.com/thong-tin/blog/chuyen-nhuong-chung-chi-tien-gui
https://techcombank.com/thong-tin/blog/chung-chi-tien-gui-co-duoc-bao-hiem-khong</v>
      </c>
      <c r="K38" s="21" t="str">
        <f t="shared" si="1"/>
        <v>Có đề xuất dùng được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7">
        <v>38.0</v>
      </c>
      <c r="B39" s="8" t="s">
        <v>228</v>
      </c>
      <c r="C39" s="9" t="s">
        <v>229</v>
      </c>
      <c r="D39" s="12">
        <f>COUNTIF('Chi tiết từng link'!$B$2:$B$2505,B39)</f>
        <v>20</v>
      </c>
      <c r="E39" s="14">
        <f>COUNTIFS('Chi tiết từng link'!$B$2:$B$2505,B39,'Chi tiết từng link'!$F$2:$F$2505,"PHÙ HỢP CAO")</f>
        <v>4</v>
      </c>
      <c r="F39" s="14">
        <f>COUNTIFS('Chi tiết từng link'!$B$2:$B$2505,B39,'Chi tiết từng link'!$F$2:$F$2505,"CÓ THỂ ĐI")</f>
        <v>0</v>
      </c>
      <c r="G39" s="14">
        <f>COUNTIFS('Chi tiết từng link'!$B$2:$B$2505,B39,'Chi tiết từng link'!$F$2:$F$2505,"CẦN SOÁT")</f>
        <v>16</v>
      </c>
      <c r="H39" s="14">
        <f>IFERROR(__xludf.DUMMYFUNCTION("IF(D39=0,0,COUNTUNIQUE(FILTER('Chi tiết từng link'!$E$2:$E$2505,'Chi tiết từng link'!$B$2:$B$2505=B39)))"),2.0)</f>
        <v>2</v>
      </c>
      <c r="I39" s="21" t="str">
        <f>IFERROR(__xludf.DUMMYFUNCTION("IFERROR(TEXTJOIN(CHAR(10),TRUE,BYROW(QUERY('Chi tiết từng link'!$B$2:$E$2505,""select E, count(E) where B = '""&amp;B39&amp;""' group by E order by count(E) desc label count(E) ''"",0),LAMBDA(r,INDEX(r,1,1)&amp;"" – ""&amp;INDEX(r,1,2)&amp;"" link""))),""—"")"),"1 Tệ bằng bao nhiêu tiền Việt – 10 link
tỷ giá Nhân dân tệ – 10 link")</f>
        <v>1 Tệ bằng bao nhiêu tiền Việt – 10 link
tỷ giá Nhân dân tệ – 10 link</v>
      </c>
      <c r="J39" s="21" t="str">
        <f>IFERROR(__xludf.DUMMYFUNCTION("IFERROR(TEXTJOIN(CHAR(10),TRUE,FILTER('Chi tiết từng link'!$D$2:$D$2505,'Chi tiết từng link'!$B$2:$B$2505=B39,'Chi tiết từng link'!$F$2:$F$2505&lt;&gt;""CẦN SOÁT"")),""—"")"),"https://techcombank.com/thong-tin/blog/tien-trung-quoc
https://techcombank.com/thong-tin/blog/1-van-te-bang-bao-nhieu-tien-viet
https://techcombank.com/thong-tin/blog/1000-te-bang-bao-nhieu-tien-viet
https://techcombank.com/thong-tin/blog/thanh-toan-khi-d"&amp;"u-lich-trung-quoc")</f>
        <v>https://techcombank.com/thong-tin/blog/tien-trung-quoc
https://techcombank.com/thong-tin/blog/1-van-te-bang-bao-nhieu-tien-viet
https://techcombank.com/thong-tin/blog/1000-te-bang-bao-nhieu-tien-viet
https://techcombank.com/thong-tin/blog/thanh-toan-khi-du-lich-trung-quoc</v>
      </c>
      <c r="K39" s="21" t="str">
        <f t="shared" si="1"/>
        <v>Có đề xuất dùng được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7">
        <v>39.0</v>
      </c>
      <c r="B40" s="8" t="s">
        <v>232</v>
      </c>
      <c r="C40" s="9" t="s">
        <v>229</v>
      </c>
      <c r="D40" s="12">
        <f>COUNTIF('Chi tiết từng link'!$B$2:$B$2505,B40)</f>
        <v>12</v>
      </c>
      <c r="E40" s="14">
        <f>COUNTIFS('Chi tiết từng link'!$B$2:$B$2505,B40,'Chi tiết từng link'!$F$2:$F$2505,"PHÙ HỢP CAO")</f>
        <v>3</v>
      </c>
      <c r="F40" s="14">
        <f>COUNTIFS('Chi tiết từng link'!$B$2:$B$2505,B40,'Chi tiết từng link'!$F$2:$F$2505,"CÓ THỂ ĐI")</f>
        <v>2</v>
      </c>
      <c r="G40" s="14">
        <f>COUNTIFS('Chi tiết từng link'!$B$2:$B$2505,B40,'Chi tiết từng link'!$F$2:$F$2505,"CẦN SOÁT")</f>
        <v>7</v>
      </c>
      <c r="H40" s="14">
        <f>IFERROR(__xludf.DUMMYFUNCTION("IF(D40=0,0,COUNTUNIQUE(FILTER('Chi tiết từng link'!$E$2:$E$2505,'Chi tiết từng link'!$B$2:$B$2505=B40)))"),3.0)</f>
        <v>3</v>
      </c>
      <c r="I40" s="21" t="str">
        <f>IFERROR(__xludf.DUMMYFUNCTION("IFERROR(TEXTJOIN(CHAR(10),TRUE,BYROW(QUERY('Chi tiết từng link'!$B$2:$E$2505,""select E, count(E) where B = '""&amp;B40&amp;""' group by E order by count(E) desc label count(E) ''"",0),LAMBDA(r,INDEX(r,1,1)&amp;"" – ""&amp;INDEX(r,1,2)&amp;"" link""))),""—"")"),"1 đô bằng bao nhiêu tiền Việt – 4 link
1 đô la Mỹ bằng bao nhiêu tiền Việt – 4 link
tỷ giá USD/VND – 4 link")</f>
        <v>1 đô bằng bao nhiêu tiền Việt – 4 link
1 đô la Mỹ bằng bao nhiêu tiền Việt – 4 link
tỷ giá USD/VND – 4 link</v>
      </c>
      <c r="J40" s="21" t="str">
        <f>IFERROR(__xludf.DUMMYFUNCTION("IFERROR(TEXTJOIN(CHAR(10),TRUE,FILTER('Chi tiết từng link'!$D$2:$D$2505,'Chi tiết từng link'!$B$2:$B$2505=B40,'Chi tiết từng link'!$F$2:$F$2505&lt;&gt;""CẦN SOÁT"")),""—"")"),"https://techcombank.com/thong-tin/blog/xu-huong-ty-gia-usd
https://techcombank.com/thong-tin/blog/dieu-kien-mua-usd-tu-ngan-hang
https://techcombank.com/thong-tin/blog/1-cent-bang-bao-nhieu-tien-viet
https://techcombank.com/thong-tin/blog/lai-suat-gui-tie"&amp;"t-kiem-usd
https://techcombank.com/thong-tin/blog/chuyen-tien-tu-my-ve-viet-nam")</f>
        <v>https://techcombank.com/thong-tin/blog/xu-huong-ty-gia-usd
https://techcombank.com/thong-tin/blog/dieu-kien-mua-usd-tu-ngan-hang
https://techcombank.com/thong-tin/blog/1-cent-bang-bao-nhieu-tien-viet
https://techcombank.com/thong-tin/blog/lai-suat-gui-tiet-kiem-usd
https://techcombank.com/thong-tin/blog/chuyen-tien-tu-my-ve-viet-nam</v>
      </c>
      <c r="K40" s="21" t="str">
        <f t="shared" si="1"/>
        <v>Có đề xuất dùng được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7">
        <v>40.0</v>
      </c>
      <c r="B41" s="8" t="s">
        <v>238</v>
      </c>
      <c r="C41" s="9" t="s">
        <v>229</v>
      </c>
      <c r="D41" s="12">
        <f>COUNTIF('Chi tiết từng link'!$B$2:$B$2505,B41)</f>
        <v>8</v>
      </c>
      <c r="E41" s="14">
        <f>COUNTIFS('Chi tiết từng link'!$B$2:$B$2505,B41,'Chi tiết từng link'!$F$2:$F$2505,"PHÙ HỢP CAO")</f>
        <v>4</v>
      </c>
      <c r="F41" s="14">
        <f>COUNTIFS('Chi tiết từng link'!$B$2:$B$2505,B41,'Chi tiết từng link'!$F$2:$F$2505,"CÓ THỂ ĐI")</f>
        <v>1</v>
      </c>
      <c r="G41" s="14">
        <f>COUNTIFS('Chi tiết từng link'!$B$2:$B$2505,B41,'Chi tiết từng link'!$F$2:$F$2505,"CẦN SOÁT")</f>
        <v>3</v>
      </c>
      <c r="H41" s="14">
        <f>IFERROR(__xludf.DUMMYFUNCTION("IF(D41=0,0,COUNTUNIQUE(FILTER('Chi tiết từng link'!$E$2:$E$2505,'Chi tiết từng link'!$B$2:$B$2505=B41)))"),2.0)</f>
        <v>2</v>
      </c>
      <c r="I41" s="21" t="str">
        <f>IFERROR(__xludf.DUMMYFUNCTION("IFERROR(TEXTJOIN(CHAR(10),TRUE,BYROW(QUERY('Chi tiết từng link'!$B$2:$E$2505,""select E, count(E) where B = '""&amp;B41&amp;""' group by E order by count(E) desc label count(E) ''"",0),LAMBDA(r,INDEX(r,1,1)&amp;"" – ""&amp;INDEX(r,1,2)&amp;"" link""))),""—"")"),"tiền Nhật – 4 link
tiền Yên Nhật – 4 link")</f>
        <v>tiền Nhật – 4 link
tiền Yên Nhật – 4 link</v>
      </c>
      <c r="J41" s="21" t="str">
        <f>IFERROR(__xludf.DUMMYFUNCTION("IFERROR(TEXTJOIN(CHAR(10),TRUE,FILTER('Chi tiết từng link'!$D$2:$D$2505,'Chi tiết từng link'!$B$2:$B$2505=B41,'Chi tiết từng link'!$F$2:$F$2505&lt;&gt;""CẦN SOÁT"")),""—"")"),"https://techcombank.com/thong-tin/blog/thanh-toan-khi-du-lich-nhat-ban
https://techcombank.com/thong-tin/blog/chuyen-tien-tu-nhat-ve-viet-nam
https://techcombank.com/thong-tin/blog/1-yen-bang-bao-nhieu-tien-viet-nam
https://techcombank.com/thong-tin/blog/"&amp;"1-man-bang-bao-nhieu-tien-viet
https://techcombank.com/thong-tin/blog/cach-tiet-kiem-tien-cua-nguoi-nhat")</f>
        <v>https://techcombank.com/thong-tin/blog/thanh-toan-khi-du-lich-nhat-ban
https://techcombank.com/thong-tin/blog/chuyen-tien-tu-nhat-ve-viet-nam
https://techcombank.com/thong-tin/blog/1-yen-bang-bao-nhieu-tien-viet-nam
https://techcombank.com/thong-tin/blog/1-man-bang-bao-nhieu-tien-viet
https://techcombank.com/thong-tin/blog/cach-tiet-kiem-tien-cua-nguoi-nhat</v>
      </c>
      <c r="K41" s="21" t="str">
        <f t="shared" si="1"/>
        <v>Có đề xuất dùng được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7">
        <v>41.0</v>
      </c>
      <c r="B42" s="8" t="s">
        <v>244</v>
      </c>
      <c r="C42" s="9" t="s">
        <v>229</v>
      </c>
      <c r="D42" s="12">
        <f>COUNTIF('Chi tiết từng link'!$B$2:$B$2505,B42)</f>
        <v>7</v>
      </c>
      <c r="E42" s="14">
        <f>COUNTIFS('Chi tiết từng link'!$B$2:$B$2505,B42,'Chi tiết từng link'!$F$2:$F$2505,"PHÙ HỢP CAO")</f>
        <v>3</v>
      </c>
      <c r="F42" s="14">
        <f>COUNTIFS('Chi tiết từng link'!$B$2:$B$2505,B42,'Chi tiết từng link'!$F$2:$F$2505,"CÓ THỂ ĐI")</f>
        <v>1</v>
      </c>
      <c r="G42" s="14">
        <f>COUNTIFS('Chi tiết từng link'!$B$2:$B$2505,B42,'Chi tiết từng link'!$F$2:$F$2505,"CẦN SOÁT")</f>
        <v>3</v>
      </c>
      <c r="H42" s="14">
        <f>IFERROR(__xludf.DUMMYFUNCTION("IF(D42=0,0,COUNTUNIQUE(FILTER('Chi tiết từng link'!$E$2:$E$2505,'Chi tiết từng link'!$B$2:$B$2505=B42)))"),2.0)</f>
        <v>2</v>
      </c>
      <c r="I42" s="21" t="str">
        <f>IFERROR(__xludf.DUMMYFUNCTION("IFERROR(TEXTJOIN(CHAR(10),TRUE,BYROW(QUERY('Chi tiết từng link'!$B$2:$E$2505,""select E, count(E) where B = '""&amp;B42&amp;""' group by E order by count(E) desc label count(E) ''"",0),LAMBDA(r,INDEX(r,1,1)&amp;"" – ""&amp;INDEX(r,1,2)&amp;"" link""))),""—"")"),"1 Yên bằng bao nhiêu tiền Việt – 4 link
tỷ giá Yên Nhật – 3 link")</f>
        <v>1 Yên bằng bao nhiêu tiền Việt – 4 link
tỷ giá Yên Nhật – 3 link</v>
      </c>
      <c r="J42" s="21" t="str">
        <f>IFERROR(__xludf.DUMMYFUNCTION("IFERROR(TEXTJOIN(CHAR(10),TRUE,FILTER('Chi tiết từng link'!$D$2:$D$2505,'Chi tiết từng link'!$B$2:$B$2505=B42,'Chi tiết từng link'!$F$2:$F$2505&lt;&gt;""CẦN SOÁT"")),""—"")"),"https://techcombank.com/thong-tin/blog/1000-yen-bang-bao-nhieu-tien-viet
https://techcombank.com/thong-tin/blog/tien-nhat
https://techcombank.com/thong-tin/blog/1-man-bang-bao-nhieu-tien-viet
https://techcombank.com/thong-tin/blog/chuyen-tien-tu-nhat-ve-v"&amp;"iet-nam")</f>
        <v>https://techcombank.com/thong-tin/blog/1000-yen-bang-bao-nhieu-tien-viet
https://techcombank.com/thong-tin/blog/tien-nhat
https://techcombank.com/thong-tin/blog/1-man-bang-bao-nhieu-tien-viet
https://techcombank.com/thong-tin/blog/chuyen-tien-tu-nhat-ve-viet-nam</v>
      </c>
      <c r="K42" s="21" t="str">
        <f t="shared" si="1"/>
        <v>Có đề xuất dùng được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7">
        <v>42.0</v>
      </c>
      <c r="B43" s="8" t="s">
        <v>251</v>
      </c>
      <c r="C43" s="9" t="s">
        <v>229</v>
      </c>
      <c r="D43" s="12">
        <f>COUNTIF('Chi tiết từng link'!$B$2:$B$2505,B43)</f>
        <v>5</v>
      </c>
      <c r="E43" s="14">
        <f>COUNTIFS('Chi tiết từng link'!$B$2:$B$2505,B43,'Chi tiết từng link'!$F$2:$F$2505,"PHÙ HỢP CAO")</f>
        <v>4</v>
      </c>
      <c r="F43" s="14">
        <f>COUNTIFS('Chi tiết từng link'!$B$2:$B$2505,B43,'Chi tiết từng link'!$F$2:$F$2505,"CÓ THỂ ĐI")</f>
        <v>1</v>
      </c>
      <c r="G43" s="14">
        <f>COUNTIFS('Chi tiết từng link'!$B$2:$B$2505,B43,'Chi tiết từng link'!$F$2:$F$2505,"CẦN SOÁT")</f>
        <v>0</v>
      </c>
      <c r="H43" s="14">
        <f>IFERROR(__xludf.DUMMYFUNCTION("IF(D43=0,0,COUNTUNIQUE(FILTER('Chi tiết từng link'!$E$2:$E$2505,'Chi tiết từng link'!$B$2:$B$2505=B43)))"),2.0)</f>
        <v>2</v>
      </c>
      <c r="I43" s="21" t="str">
        <f>IFERROR(__xludf.DUMMYFUNCTION("IFERROR(TEXTJOIN(CHAR(10),TRUE,BYROW(QUERY('Chi tiết từng link'!$B$2:$E$2505,""select E, count(E) where B = '""&amp;B43&amp;""' group by E order by count(E) desc label count(E) ''"",0),LAMBDA(r,INDEX(r,1,1)&amp;"" – ""&amp;INDEX(r,1,2)&amp;"" link""))),""—"")"),"1 Won bằng bao nhiêu tiền Việt – 3 link
tỷ giá Won – 2 link")</f>
        <v>1 Won bằng bao nhiêu tiền Việt – 3 link
tỷ giá Won – 2 link</v>
      </c>
      <c r="J43" s="21" t="str">
        <f>IFERROR(__xludf.DUMMYFUNCTION("IFERROR(TEXTJOIN(CHAR(10),TRUE,FILTER('Chi tiết từng link'!$D$2:$D$2505,'Chi tiết từng link'!$B$2:$B$2505=B43,'Chi tiết từng link'!$F$2:$F$2505&lt;&gt;""CẦN SOÁT"")),""—"")"),"https://techcombank.com/thong-tin/blog/1-trieu-won-bang-bao-nhieu-tien-viet
https://techcombank.com/thong-tin/blog/1000-won-bang-bao-nhieu-tien-viet
https://techcombank.com/thong-tin/blog/thanh-toan-khi-du-lich-han-quoc
https://techcombank.com/thong-tin/b"&amp;"log/chuyen-tien-tu-han-sang-viet-nam
https://techcombank.com/thong-tin/blog/ty-gia-cac-ngan-hang")</f>
        <v>https://techcombank.com/thong-tin/blog/1-trieu-won-bang-bao-nhieu-tien-viet
https://techcombank.com/thong-tin/blog/1000-won-bang-bao-nhieu-tien-viet
https://techcombank.com/thong-tin/blog/thanh-toan-khi-du-lich-han-quoc
https://techcombank.com/thong-tin/blog/chuyen-tien-tu-han-sang-viet-nam
https://techcombank.com/thong-tin/blog/ty-gia-cac-ngan-hang</v>
      </c>
      <c r="K43" s="21" t="str">
        <f t="shared" si="1"/>
        <v>Có đề xuất dùng được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7">
        <v>43.0</v>
      </c>
      <c r="B44" s="8" t="s">
        <v>255</v>
      </c>
      <c r="C44" s="9" t="s">
        <v>229</v>
      </c>
      <c r="D44" s="12">
        <f>COUNTIF('Chi tiết từng link'!$B$2:$B$2505,B44)</f>
        <v>5</v>
      </c>
      <c r="E44" s="14">
        <f>COUNTIFS('Chi tiết từng link'!$B$2:$B$2505,B44,'Chi tiết từng link'!$F$2:$F$2505,"PHÙ HỢP CAO")</f>
        <v>1</v>
      </c>
      <c r="F44" s="14">
        <f>COUNTIFS('Chi tiết từng link'!$B$2:$B$2505,B44,'Chi tiết từng link'!$F$2:$F$2505,"CÓ THỂ ĐI")</f>
        <v>3</v>
      </c>
      <c r="G44" s="14">
        <f>COUNTIFS('Chi tiết từng link'!$B$2:$B$2505,B44,'Chi tiết từng link'!$F$2:$F$2505,"CẦN SOÁT")</f>
        <v>1</v>
      </c>
      <c r="H44" s="14">
        <f>IFERROR(__xludf.DUMMYFUNCTION("IF(D44=0,0,COUNTUNIQUE(FILTER('Chi tiết từng link'!$E$2:$E$2505,'Chi tiết từng link'!$B$2:$B$2505=B44)))"),3.0)</f>
        <v>3</v>
      </c>
      <c r="I44" s="21" t="str">
        <f>IFERROR(__xludf.DUMMYFUNCTION("IFERROR(TEXTJOIN(CHAR(10),TRUE,BYROW(QUERY('Chi tiết từng link'!$B$2:$E$2505,""select E, count(E) where B = '""&amp;B44&amp;""' group by E order by count(E) desc label count(E) ''"",0),LAMBDA(r,INDEX(r,1,1)&amp;"" – ""&amp;INDEX(r,1,2)&amp;"" link""))),""—"")"),"Tân Đài tệ – 2 link
tiền Đài Loan – 2 link
tỷ giá Đài tệ – 1 link")</f>
        <v>Tân Đài tệ – 2 link
tiền Đài Loan – 2 link
tỷ giá Đài tệ – 1 link</v>
      </c>
      <c r="J44" s="21" t="str">
        <f>IFERROR(__xludf.DUMMYFUNCTION("IFERROR(TEXTJOIN(CHAR(10),TRUE,FILTER('Chi tiết từng link'!$D$2:$D$2505,'Chi tiết từng link'!$B$2:$B$2505=B44,'Chi tiết từng link'!$F$2:$F$2505&lt;&gt;""CẦN SOÁT"")),""—"")"),"https://techcombank.com/thong-tin/blog/1-van-tien-dai-loan-bang-bao-nhieu-tien-viet
https://techcombank.com/thong-tin/blog/ngoai-te-la-gi
https://techcombank.com/thong-tin/blog/ty-gia-cac-ngan-hang
https://techcombank.com/thong-tin/blog/han-muc-mua-ngoai-"&amp;"te-khi-di-du-lich")</f>
        <v>https://techcombank.com/thong-tin/blog/1-van-tien-dai-loan-bang-bao-nhieu-tien-viet
https://techcombank.com/thong-tin/blog/ngoai-te-la-gi
https://techcombank.com/thong-tin/blog/ty-gia-cac-ngan-hang
https://techcombank.com/thong-tin/blog/han-muc-mua-ngoai-te-khi-di-du-lich</v>
      </c>
      <c r="K44" s="21" t="str">
        <f t="shared" si="1"/>
        <v>Có đề xuất dùng được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7">
        <v>44.0</v>
      </c>
      <c r="B45" s="8" t="s">
        <v>261</v>
      </c>
      <c r="C45" s="9" t="s">
        <v>229</v>
      </c>
      <c r="D45" s="12">
        <f>COUNTIF('Chi tiết từng link'!$B$2:$B$2505,B45)</f>
        <v>7</v>
      </c>
      <c r="E45" s="14">
        <f>COUNTIFS('Chi tiết từng link'!$B$2:$B$2505,B45,'Chi tiết từng link'!$F$2:$F$2505,"PHÙ HỢP CAO")</f>
        <v>4</v>
      </c>
      <c r="F45" s="14">
        <f>COUNTIFS('Chi tiết từng link'!$B$2:$B$2505,B45,'Chi tiết từng link'!$F$2:$F$2505,"CÓ THỂ ĐI")</f>
        <v>1</v>
      </c>
      <c r="G45" s="14">
        <f>COUNTIFS('Chi tiết từng link'!$B$2:$B$2505,B45,'Chi tiết từng link'!$F$2:$F$2505,"CẦN SOÁT")</f>
        <v>2</v>
      </c>
      <c r="H45" s="14">
        <f>IFERROR(__xludf.DUMMYFUNCTION("IF(D45=0,0,COUNTUNIQUE(FILTER('Chi tiết từng link'!$E$2:$E$2505,'Chi tiết từng link'!$B$2:$B$2505=B45)))"),2.0)</f>
        <v>2</v>
      </c>
      <c r="I45" s="21" t="str">
        <f>IFERROR(__xludf.DUMMYFUNCTION("IFERROR(TEXTJOIN(CHAR(10),TRUE,BYROW(QUERY('Chi tiết từng link'!$B$2:$E$2505,""select E, count(E) where B = '""&amp;B45&amp;""' group by E order by count(E) desc label count(E) ''"",0),LAMBDA(r,INDEX(r,1,1)&amp;"" – ""&amp;INDEX(r,1,2)&amp;"" link""))),""—"")"),"1 Man bằng bao nhiêu tiền Việt – 4 link
1 Man Nhật – 3 link")</f>
        <v>1 Man bằng bao nhiêu tiền Việt – 4 link
1 Man Nhật – 3 link</v>
      </c>
      <c r="J45" s="21" t="str">
        <f>IFERROR(__xludf.DUMMYFUNCTION("IFERROR(TEXTJOIN(CHAR(10),TRUE,FILTER('Chi tiết từng link'!$D$2:$D$2505,'Chi tiết từng link'!$B$2:$B$2505=B45,'Chi tiết từng link'!$F$2:$F$2505&lt;&gt;""CẦN SOÁT"")),""—"")"),"https://techcombank.com/thong-tin/blog/tien-nhat
https://techcombank.com/thong-tin/blog/1-yen-bang-bao-nhieu-tien-viet-nam
https://techcombank.com/thong-tin/blog/1000-yen-bang-bao-nhieu-tien-viet
https://techcombank.com/thong-tin/blog/chuyen-tien-tu-nhat-"&amp;"ve-viet-nam
https://techcombank.com/thong-tin/blog/thanh-toan-khi-du-lich-nhat-ban")</f>
        <v>https://techcombank.com/thong-tin/blog/tien-nhat
https://techcombank.com/thong-tin/blog/1-yen-bang-bao-nhieu-tien-viet-nam
https://techcombank.com/thong-tin/blog/1000-yen-bang-bao-nhieu-tien-viet
https://techcombank.com/thong-tin/blog/chuyen-tien-tu-nhat-ve-viet-nam
https://techcombank.com/thong-tin/blog/thanh-toan-khi-du-lich-nhat-ban</v>
      </c>
      <c r="K45" s="21" t="str">
        <f t="shared" si="1"/>
        <v>Có đề xuất dùng được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7">
        <v>45.0</v>
      </c>
      <c r="B46" s="8" t="s">
        <v>263</v>
      </c>
      <c r="C46" s="9" t="s">
        <v>229</v>
      </c>
      <c r="D46" s="12">
        <f>COUNTIF('Chi tiết từng link'!$B$2:$B$2505,B46)</f>
        <v>5</v>
      </c>
      <c r="E46" s="14">
        <f>COUNTIFS('Chi tiết từng link'!$B$2:$B$2505,B46,'Chi tiết từng link'!$F$2:$F$2505,"PHÙ HỢP CAO")</f>
        <v>2</v>
      </c>
      <c r="F46" s="14">
        <f>COUNTIFS('Chi tiết từng link'!$B$2:$B$2505,B46,'Chi tiết từng link'!$F$2:$F$2505,"CÓ THỂ ĐI")</f>
        <v>3</v>
      </c>
      <c r="G46" s="14">
        <f>COUNTIFS('Chi tiết từng link'!$B$2:$B$2505,B46,'Chi tiết từng link'!$F$2:$F$2505,"CẦN SOÁT")</f>
        <v>0</v>
      </c>
      <c r="H46" s="14">
        <f>IFERROR(__xludf.DUMMYFUNCTION("IF(D46=0,0,COUNTUNIQUE(FILTER('Chi tiết từng link'!$E$2:$E$2505,'Chi tiết từng link'!$B$2:$B$2505=B46)))"),3.0)</f>
        <v>3</v>
      </c>
      <c r="I46" s="21" t="str">
        <f>IFERROR(__xludf.DUMMYFUNCTION("IFERROR(TEXTJOIN(CHAR(10),TRUE,BYROW(QUERY('Chi tiết từng link'!$B$2:$E$2505,""select E, count(E) where B = '""&amp;B46&amp;""' group by E order by count(E) desc label count(E) ''"",0),LAMBDA(r,INDEX(r,1,1)&amp;"" – ""&amp;INDEX(r,1,2)&amp;"" link""))),""—"")"),"tiền Baht Thái – 2 link
tiền Thái Lan – 2 link
tiền Baht – 1 link")</f>
        <v>tiền Baht Thái – 2 link
tiền Thái Lan – 2 link
tiền Baht – 1 link</v>
      </c>
      <c r="J46" s="21" t="str">
        <f>IFERROR(__xludf.DUMMYFUNCTION("IFERROR(TEXTJOIN(CHAR(10),TRUE,FILTER('Chi tiết từng link'!$D$2:$D$2505,'Chi tiết từng link'!$B$2:$B$2505=B46,'Chi tiết từng link'!$F$2:$F$2505&lt;&gt;""CẦN SOÁT"")),""—"")"),"https://techcombank.com/thong-tin/blog/thanh-toan-khi-du-lich-thai-lan
https://techcombank.com/thong-tin/blog/thanh-toan-qr-thai-lan
https://techcombank.com/thong-tin/blog/han-muc-mua-ngoai-te-khi-di-du-lich
https://techcombank.com/thong-tin/blog/di-du-li"&amp;"ch-nuoc-ngoai-can-chuan-bi-gi
https://techcombank.com/thong-tin/blog/thanh-toan-bang-the-quoc-te")</f>
        <v>https://techcombank.com/thong-tin/blog/thanh-toan-khi-du-lich-thai-lan
https://techcombank.com/thong-tin/blog/thanh-toan-qr-thai-lan
https://techcombank.com/thong-tin/blog/han-muc-mua-ngoai-te-khi-di-du-lich
https://techcombank.com/thong-tin/blog/di-du-lich-nuoc-ngoai-can-chuan-bi-gi
https://techcombank.com/thong-tin/blog/thanh-toan-bang-the-quoc-te</v>
      </c>
      <c r="K46" s="21" t="str">
        <f t="shared" si="1"/>
        <v>Có đề xuất dùng được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7">
        <v>46.0</v>
      </c>
      <c r="B47" s="8" t="s">
        <v>267</v>
      </c>
      <c r="C47" s="9" t="s">
        <v>229</v>
      </c>
      <c r="D47" s="12">
        <f>COUNTIF('Chi tiết từng link'!$B$2:$B$2505,B47)</f>
        <v>13</v>
      </c>
      <c r="E47" s="14">
        <f>COUNTIFS('Chi tiết từng link'!$B$2:$B$2505,B47,'Chi tiết từng link'!$F$2:$F$2505,"PHÙ HỢP CAO")</f>
        <v>1</v>
      </c>
      <c r="F47" s="14">
        <f>COUNTIFS('Chi tiết từng link'!$B$2:$B$2505,B47,'Chi tiết từng link'!$F$2:$F$2505,"CÓ THỂ ĐI")</f>
        <v>3</v>
      </c>
      <c r="G47" s="14">
        <f>COUNTIFS('Chi tiết từng link'!$B$2:$B$2505,B47,'Chi tiết từng link'!$F$2:$F$2505,"CẦN SOÁT")</f>
        <v>9</v>
      </c>
      <c r="H47" s="14">
        <f>IFERROR(__xludf.DUMMYFUNCTION("IF(D47=0,0,COUNTUNIQUE(FILTER('Chi tiết từng link'!$E$2:$E$2505,'Chi tiết từng link'!$B$2:$B$2505=B47)))"),1.0)</f>
        <v>1</v>
      </c>
      <c r="I47" s="21" t="str">
        <f>IFERROR(__xludf.DUMMYFUNCTION("IFERROR(TEXTJOIN(CHAR(10),TRUE,BYROW(QUERY('Chi tiết từng link'!$B$2:$E$2505,""select E, count(E) where B = '""&amp;B47&amp;""' group by E order by count(E) desc label count(E) ''"",0),LAMBDA(r,INDEX(r,1,1)&amp;"" – ""&amp;INDEX(r,1,2)&amp;"" link""))),""—"")"),"1 triệu đô bằng bao nhiêu tiền Việt – 13 link")</f>
        <v>1 triệu đô bằng bao nhiêu tiền Việt – 13 link</v>
      </c>
      <c r="J47" s="21" t="str">
        <f>IFERROR(__xludf.DUMMYFUNCTION("IFERROR(TEXTJOIN(CHAR(10),TRUE,FILTER('Chi tiết từng link'!$D$2:$D$2505,'Chi tiết từng link'!$B$2:$B$2505=B47,'Chi tiết từng link'!$F$2:$F$2505&lt;&gt;""CẦN SOÁT"")),""—"")"),"https://techcombank.com/thong-tin/blog/1-dong-do-la-my-bang-bao-nhieu-tien-viet-nam
https://techcombank.com/thong-tin/blog/high-net-worth-client-va-ultra-high-net-worth-client
https://techcombank.com/thong-tin/blog/xu-huong-ty-gia-usd
https://techcombank."&amp;"com/thong-tin/blog/gia-tri-tai-san-rong")</f>
        <v>https://techcombank.com/thong-tin/blog/1-dong-do-la-my-bang-bao-nhieu-tien-viet-nam
https://techcombank.com/thong-tin/blog/high-net-worth-client-va-ultra-high-net-worth-client
https://techcombank.com/thong-tin/blog/xu-huong-ty-gia-usd
https://techcombank.com/thong-tin/blog/gia-tri-tai-san-rong</v>
      </c>
      <c r="K47" s="21" t="str">
        <f t="shared" si="1"/>
        <v>Có đề xuất dùng được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7">
        <v>47.0</v>
      </c>
      <c r="B48" s="8" t="s">
        <v>270</v>
      </c>
      <c r="C48" s="9" t="s">
        <v>229</v>
      </c>
      <c r="D48" s="12">
        <f>COUNTIF('Chi tiết từng link'!$B$2:$B$2505,B48)</f>
        <v>4</v>
      </c>
      <c r="E48" s="14">
        <f>COUNTIFS('Chi tiết từng link'!$B$2:$B$2505,B48,'Chi tiết từng link'!$F$2:$F$2505,"PHÙ HỢP CAO")</f>
        <v>3</v>
      </c>
      <c r="F48" s="14">
        <f>COUNTIFS('Chi tiết từng link'!$B$2:$B$2505,B48,'Chi tiết từng link'!$F$2:$F$2505,"CÓ THỂ ĐI")</f>
        <v>1</v>
      </c>
      <c r="G48" s="14">
        <f>COUNTIFS('Chi tiết từng link'!$B$2:$B$2505,B48,'Chi tiết từng link'!$F$2:$F$2505,"CẦN SOÁT")</f>
        <v>0</v>
      </c>
      <c r="H48" s="14">
        <f>IFERROR(__xludf.DUMMYFUNCTION("IF(D48=0,0,COUNTUNIQUE(FILTER('Chi tiết từng link'!$E$2:$E$2505,'Chi tiết từng link'!$B$2:$B$2505=B48)))"),2.0)</f>
        <v>2</v>
      </c>
      <c r="I48" s="21" t="str">
        <f>IFERROR(__xludf.DUMMYFUNCTION("IFERROR(TEXTJOIN(CHAR(10),TRUE,BYROW(QUERY('Chi tiết từng link'!$B$2:$E$2505,""select E, count(E) where B = '""&amp;B48&amp;""' group by E order by count(E) desc label count(E) ''"",0),LAMBDA(r,INDEX(r,1,1)&amp;"" – ""&amp;INDEX(r,1,2)&amp;"" link""))),""—"")"),"1,000 won – 2 link
1000 Won bằng bao nhiêu tiền Việt – 2 link")</f>
        <v>1,000 won – 2 link
1000 Won bằng bao nhiêu tiền Việt – 2 link</v>
      </c>
      <c r="J48" s="21" t="str">
        <f>IFERROR(__xludf.DUMMYFUNCTION("IFERROR(TEXTJOIN(CHAR(10),TRUE,FILTER('Chi tiết từng link'!$D$2:$D$2505,'Chi tiết từng link'!$B$2:$B$2505=B48,'Chi tiết từng link'!$F$2:$F$2505&lt;&gt;""CẦN SOÁT"")),""—"")"),"https://techcombank.com/thong-tin/blog/1-won-bang-bao-nhieu-tien-viet
https://techcombank.com/thong-tin/blog/1-trieu-won-bang-bao-nhieu-tien-viet
https://techcombank.com/thong-tin/blog/thanh-toan-khi-du-lich-han-quoc
https://techcombank.com/thong-tin/blog"&amp;"/chuyen-tien-tu-han-sang-viet-nam")</f>
        <v>https://techcombank.com/thong-tin/blog/1-won-bang-bao-nhieu-tien-viet
https://techcombank.com/thong-tin/blog/1-trieu-won-bang-bao-nhieu-tien-viet
https://techcombank.com/thong-tin/blog/thanh-toan-khi-du-lich-han-quoc
https://techcombank.com/thong-tin/blog/chuyen-tien-tu-han-sang-viet-nam</v>
      </c>
      <c r="K48" s="21" t="str">
        <f t="shared" si="1"/>
        <v>Có đề xuất dùng được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7">
        <v>48.0</v>
      </c>
      <c r="B49" s="8" t="s">
        <v>273</v>
      </c>
      <c r="C49" s="9" t="s">
        <v>229</v>
      </c>
      <c r="D49" s="12">
        <f>COUNTIF('Chi tiết từng link'!$B$2:$B$2505,B49)</f>
        <v>35</v>
      </c>
      <c r="E49" s="14">
        <f>COUNTIFS('Chi tiết từng link'!$B$2:$B$2505,B49,'Chi tiết từng link'!$F$2:$F$2505,"PHÙ HỢP CAO")</f>
        <v>5</v>
      </c>
      <c r="F49" s="14">
        <f>COUNTIFS('Chi tiết từng link'!$B$2:$B$2505,B49,'Chi tiết từng link'!$F$2:$F$2505,"CÓ THỂ ĐI")</f>
        <v>0</v>
      </c>
      <c r="G49" s="14">
        <f>COUNTIFS('Chi tiết từng link'!$B$2:$B$2505,B49,'Chi tiết từng link'!$F$2:$F$2505,"CẦN SOÁT")</f>
        <v>30</v>
      </c>
      <c r="H49" s="14">
        <f>IFERROR(__xludf.DUMMYFUNCTION("IF(D49=0,0,COUNTUNIQUE(FILTER('Chi tiết từng link'!$E$2:$E$2505,'Chi tiết từng link'!$B$2:$B$2505=B49)))"),3.0)</f>
        <v>3</v>
      </c>
      <c r="I49" s="21" t="str">
        <f>IFERROR(__xludf.DUMMYFUNCTION("IFERROR(TEXTJOIN(CHAR(10),TRUE,BYROW(QUERY('Chi tiết từng link'!$B$2:$E$2505,""select E, count(E) where B = '""&amp;B49&amp;""' group by E order by count(E) desc label count(E) ''"",0),LAMBDA(r,INDEX(r,1,1)&amp;"" – ""&amp;INDEX(r,1,2)&amp;"" link""))),""—"")"),"cách nhận tiền từ nước ngoài về Việt Nam – 12 link
nhận tiền từ nước ngoài – 12 link
nhận kiều hối – 11 link")</f>
        <v>cách nhận tiền từ nước ngoài về Việt Nam – 12 link
nhận tiền từ nước ngoài – 12 link
nhận kiều hối – 11 link</v>
      </c>
      <c r="J49" s="21" t="str">
        <f>IFERROR(__xludf.DUMMYFUNCTION("IFERROR(TEXTJOIN(CHAR(10),TRUE,FILTER('Chi tiết từng link'!$D$2:$D$2505,'Chi tiết từng link'!$B$2:$B$2505=B49,'Chi tiết từng link'!$F$2:$F$2505&lt;&gt;""CẦN SOÁT"")),""—"")"),"https://techcombank.com/thong-tin/blog/kieu-hoi-la-gi
https://techcombank.com/thong-tin/blog/nhan-tien-western-union
https://techcombank.com/thong-tin/blog/ma-swift-ngan-hang
https://techcombank.com/thong-tin/blog/chuyen-tien-tu-my-ve-viet-nam
https://tec"&amp;"hcombank.com/thong-tin/blog/remittance-la-gi")</f>
        <v>https://techcombank.com/thong-tin/blog/kieu-hoi-la-gi
https://techcombank.com/thong-tin/blog/nhan-tien-western-union
https://techcombank.com/thong-tin/blog/ma-swift-ngan-hang
https://techcombank.com/thong-tin/blog/chuyen-tien-tu-my-ve-viet-nam
https://techcombank.com/thong-tin/blog/remittance-la-gi</v>
      </c>
      <c r="K49" s="21" t="str">
        <f t="shared" si="1"/>
        <v>Có đề xuất dùng được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7">
        <v>49.0</v>
      </c>
      <c r="B50" s="8" t="s">
        <v>277</v>
      </c>
      <c r="C50" s="9" t="s">
        <v>229</v>
      </c>
      <c r="D50" s="12">
        <f>COUNTIF('Chi tiết từng link'!$B$2:$B$2505,B50)</f>
        <v>52</v>
      </c>
      <c r="E50" s="14">
        <f>COUNTIFS('Chi tiết từng link'!$B$2:$B$2505,B50,'Chi tiết từng link'!$F$2:$F$2505,"PHÙ HỢP CAO")</f>
        <v>2</v>
      </c>
      <c r="F50" s="14">
        <f>COUNTIFS('Chi tiết từng link'!$B$2:$B$2505,B50,'Chi tiết từng link'!$F$2:$F$2505,"CÓ THỂ ĐI")</f>
        <v>3</v>
      </c>
      <c r="G50" s="14">
        <f>COUNTIFS('Chi tiết từng link'!$B$2:$B$2505,B50,'Chi tiết từng link'!$F$2:$F$2505,"CẦN SOÁT")</f>
        <v>47</v>
      </c>
      <c r="H50" s="14">
        <f>IFERROR(__xludf.DUMMYFUNCTION("IF(D50=0,0,COUNTUNIQUE(FILTER('Chi tiết từng link'!$E$2:$E$2505,'Chi tiết từng link'!$B$2:$B$2505=B50)))"),2.0)</f>
        <v>2</v>
      </c>
      <c r="I50" s="21" t="str">
        <f>IFERROR(__xludf.DUMMYFUNCTION("IFERROR(TEXTJOIN(CHAR(10),TRUE,BYROW(QUERY('Chi tiết từng link'!$B$2:$E$2505,""select E, count(E) where B = '""&amp;B50&amp;""' group by E order by count(E) desc label count(E) ''"",0),LAMBDA(r,INDEX(r,1,1)&amp;"" – ""&amp;INDEX(r,1,2)&amp;"" link""))),""—"")"),"đổi USD ở đâu – 26 link
đổi tiền đô ở đâu – 26 link")</f>
        <v>đổi USD ở đâu – 26 link
đổi tiền đô ở đâu – 26 link</v>
      </c>
      <c r="J50" s="21" t="str">
        <f>IFERROR(__xludf.DUMMYFUNCTION("IFERROR(TEXTJOIN(CHAR(10),TRUE,FILTER('Chi tiết từng link'!$D$2:$D$2505,'Chi tiết từng link'!$B$2:$B$2505=B50,'Chi tiết từng link'!$F$2:$F$2505&lt;&gt;""CẦN SOÁT"")),""—"")"),"https://techcombank.com/thong-tin/blog/dieu-kien-mua-usd-tu-ngan-hang
https://techcombank.com/thong-tin/blog/han-muc-mua-ngoai-te-khi-di-du-lich
https://techcombank.com/thong-tin/blog/ty-gia-cac-ngan-hang
https://techcombank.com/thong-tin/blog/di-du-lich-"&amp;"nuoc-ngoai-can-chuan-bi-gi
https://techcombank.com/thong-tin/blog/1-trieu-do-bang-bao-nhieu-tien-viet")</f>
        <v>https://techcombank.com/thong-tin/blog/dieu-kien-mua-usd-tu-ngan-hang
https://techcombank.com/thong-tin/blog/han-muc-mua-ngoai-te-khi-di-du-lich
https://techcombank.com/thong-tin/blog/ty-gia-cac-ngan-hang
https://techcombank.com/thong-tin/blog/di-du-lich-nuoc-ngoai-can-chuan-bi-gi
https://techcombank.com/thong-tin/blog/1-trieu-do-bang-bao-nhieu-tien-viet</v>
      </c>
      <c r="K50" s="21" t="str">
        <f t="shared" si="1"/>
        <v>Có đề xuất dùng được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7">
        <v>50.0</v>
      </c>
      <c r="B51" s="8" t="s">
        <v>281</v>
      </c>
      <c r="C51" s="9" t="s">
        <v>282</v>
      </c>
      <c r="D51" s="12">
        <f>COUNTIF('Chi tiết từng link'!$B$2:$B$2505,B51)</f>
        <v>64</v>
      </c>
      <c r="E51" s="14">
        <f>COUNTIFS('Chi tiết từng link'!$B$2:$B$2505,B51,'Chi tiết từng link'!$F$2:$F$2505,"PHÙ HỢP CAO")</f>
        <v>4</v>
      </c>
      <c r="F51" s="14">
        <f>COUNTIFS('Chi tiết từng link'!$B$2:$B$2505,B51,'Chi tiết từng link'!$F$2:$F$2505,"CÓ THỂ ĐI")</f>
        <v>1</v>
      </c>
      <c r="G51" s="14">
        <f>COUNTIFS('Chi tiết từng link'!$B$2:$B$2505,B51,'Chi tiết từng link'!$F$2:$F$2505,"CẦN SOÁT")</f>
        <v>59</v>
      </c>
      <c r="H51" s="14">
        <f>IFERROR(__xludf.DUMMYFUNCTION("IF(D51=0,0,COUNTUNIQUE(FILTER('Chi tiết từng link'!$E$2:$E$2505,'Chi tiết từng link'!$B$2:$B$2505=B51)))"),3.0)</f>
        <v>3</v>
      </c>
      <c r="I51" s="21" t="str">
        <f>IFERROR(__xludf.DUMMYFUNCTION("IFERROR(TEXTJOIN(CHAR(10),TRUE,BYROW(QUERY('Chi tiết từng link'!$B$2:$E$2505,""select E, count(E) where B = '""&amp;B51&amp;""' group by E order by count(E) desc label count(E) ''"",0),LAMBDA(r,INDEX(r,1,1)&amp;"" – ""&amp;INDEX(r,1,2)&amp;"" link""))),""—"")"),"vay ngân hàng 1 tỷ mỗi tháng trả bao nhiêu – 22 link
vay 1 tỷ mỗi tháng trả bao nhiêu – 21 link
vay 1 tỷ trong 20 năm mỗi tháng trả bao nhiêu – 21 link")</f>
        <v>vay ngân hàng 1 tỷ mỗi tháng trả bao nhiêu – 22 link
vay 1 tỷ mỗi tháng trả bao nhiêu – 21 link
vay 1 tỷ trong 20 năm mỗi tháng trả bao nhiêu – 21 link</v>
      </c>
      <c r="J51" s="21" t="str">
        <f>IFERROR(__xludf.DUMMYFUNCTION("IFERROR(TEXTJOIN(CHAR(10),TRUE,FILTER('Chi tiết từng link'!$D$2:$D$2505,'Chi tiết từng link'!$B$2:$B$2505=B51,'Chi tiết từng link'!$F$2:$F$2505&lt;&gt;""CẦN SOÁT"")),""—"")"),"https://techcombank.com/thong-tin/blog/co-nen-vay-ngan-hang-mua-nha
https://techcombank.com/thong-tin/blog/thu-tuc-vay-ngan-hang-mua-nha
https://techcombank.com/thong-tin/blog/kinh-nghiem-vay-tien-mua-nha
https://techcombank.com/thong-tin/blog/vay-mua-chu"&amp;"ng-cu
https://techcombank.com/thong-tin/blog/lai-suat-vay-the-chap")</f>
        <v>https://techcombank.com/thong-tin/blog/co-nen-vay-ngan-hang-mua-nha
https://techcombank.com/thong-tin/blog/thu-tuc-vay-ngan-hang-mua-nha
https://techcombank.com/thong-tin/blog/kinh-nghiem-vay-tien-mua-nha
https://techcombank.com/thong-tin/blog/vay-mua-chung-cu
https://techcombank.com/thong-tin/blog/lai-suat-vay-the-chap</v>
      </c>
      <c r="K51" s="21" t="str">
        <f t="shared" si="1"/>
        <v>Có đề xuất dùng được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7">
        <v>51.0</v>
      </c>
      <c r="B52" s="8" t="s">
        <v>286</v>
      </c>
      <c r="C52" s="9" t="s">
        <v>287</v>
      </c>
      <c r="D52" s="12">
        <f>COUNTIF('Chi tiết từng link'!$B$2:$B$2505,B52)</f>
        <v>63</v>
      </c>
      <c r="E52" s="14">
        <f>COUNTIFS('Chi tiết từng link'!$B$2:$B$2505,B52,'Chi tiết từng link'!$F$2:$F$2505,"PHÙ HỢP CAO")</f>
        <v>3</v>
      </c>
      <c r="F52" s="14">
        <f>COUNTIFS('Chi tiết từng link'!$B$2:$B$2505,B52,'Chi tiết từng link'!$F$2:$F$2505,"CÓ THỂ ĐI")</f>
        <v>2</v>
      </c>
      <c r="G52" s="14">
        <f>COUNTIFS('Chi tiết từng link'!$B$2:$B$2505,B52,'Chi tiết từng link'!$F$2:$F$2505,"CẦN SOÁT")</f>
        <v>58</v>
      </c>
      <c r="H52" s="14">
        <f>IFERROR(__xludf.DUMMYFUNCTION("IF(D52=0,0,COUNTUNIQUE(FILTER('Chi tiết từng link'!$E$2:$E$2505,'Chi tiết từng link'!$B$2:$B$2505=B52)))"),2.0)</f>
        <v>2</v>
      </c>
      <c r="I52" s="21" t="str">
        <f>IFERROR(__xludf.DUMMYFUNCTION("IFERROR(TEXTJOIN(CHAR(10),TRUE,BYROW(QUERY('Chi tiết từng link'!$B$2:$E$2505,""select E, count(E) where B = '""&amp;B52&amp;""' group by E order by count(E) desc label count(E) ''"",0),LAMBDA(r,INDEX(r,1,1)&amp;"" – ""&amp;INDEX(r,1,2)&amp;"" link""))),""—"")"),"voucher Traveloka – 32 link
cách lấy voucher Traveloka – 31 link")</f>
        <v>voucher Traveloka – 32 link
cách lấy voucher Traveloka – 31 link</v>
      </c>
      <c r="J52" s="21" t="str">
        <f>IFERROR(__xludf.DUMMYFUNCTION("IFERROR(TEXTJOIN(CHAR(10),TRUE,FILTER('Chi tiết từng link'!$D$2:$D$2505,'Chi tiết từng link'!$B$2:$B$2505=B52,'Chi tiết từng link'!$F$2:$F$2505&lt;&gt;""CẦN SOÁT"")),""—"")"),"https://techcombank.com/thong-tin/blog/dat-ve-may-bay
https://techcombank.com/thong-tin/blog/mua-ve-may-bay-gia-re
https://techcombank.com/thong-tin/blog/techcombank-oneu
https://techcombank.com/thong-tin/blog/tich-diem-doi-qua
https://techcombank.com/tho"&amp;"ng-tin/blog/tiet-kiem-khi-di-du-lich")</f>
        <v>https://techcombank.com/thong-tin/blog/dat-ve-may-bay
https://techcombank.com/thong-tin/blog/mua-ve-may-bay-gia-re
https://techcombank.com/thong-tin/blog/techcombank-oneu
https://techcombank.com/thong-tin/blog/tich-diem-doi-qua
https://techcombank.com/thong-tin/blog/tiet-kiem-khi-di-du-lich</v>
      </c>
      <c r="K52" s="21" t="str">
        <f t="shared" si="1"/>
        <v>Có đề xuất dùng được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7">
        <v>52.0</v>
      </c>
      <c r="B53" s="8" t="s">
        <v>153</v>
      </c>
      <c r="C53" s="9" t="s">
        <v>294</v>
      </c>
      <c r="D53" s="12">
        <f>COUNTIF('Chi tiết từng link'!$B$2:$B$2505,B53)</f>
        <v>85</v>
      </c>
      <c r="E53" s="14">
        <f>COUNTIFS('Chi tiết từng link'!$B$2:$B$2505,B53,'Chi tiết từng link'!$F$2:$F$2505,"PHÙ HỢP CAO")</f>
        <v>4</v>
      </c>
      <c r="F53" s="14">
        <f>COUNTIFS('Chi tiết từng link'!$B$2:$B$2505,B53,'Chi tiết từng link'!$F$2:$F$2505,"CÓ THỂ ĐI")</f>
        <v>1</v>
      </c>
      <c r="G53" s="14">
        <f>COUNTIFS('Chi tiết từng link'!$B$2:$B$2505,B53,'Chi tiết từng link'!$F$2:$F$2505,"CẦN SOÁT")</f>
        <v>80</v>
      </c>
      <c r="H53" s="14">
        <f>IFERROR(__xludf.DUMMYFUNCTION("IF(D53=0,0,COUNTUNIQUE(FILTER('Chi tiết từng link'!$E$2:$E$2505,'Chi tiết từng link'!$B$2:$B$2505=B53)))"),4.0)</f>
        <v>4</v>
      </c>
      <c r="I53" s="21" t="str">
        <f>IFERROR(__xludf.DUMMYFUNCTION("IFERROR(TEXTJOIN(CHAR(10),TRUE,BYROW(QUERY('Chi tiết từng link'!$B$2:$E$2505,""select E, count(E) where B = '""&amp;B53&amp;""' group by E order by count(E) desc label count(E) ''"",0),LAMBDA(r,INDEX(r,1,1)&amp;"" – ""&amp;INDEX(r,1,2)&amp;"" link""))),""—"")"),"hộ kinh doanh đóng thuế như thế nào – 22 link
hộ kinh doanh đóng thuế – 21 link
nghĩa vụ thuế hộ kinh doanh – 21 link
thuế hộ kinh doanh – 21 link")</f>
        <v>hộ kinh doanh đóng thuế như thế nào – 22 link
hộ kinh doanh đóng thuế – 21 link
nghĩa vụ thuế hộ kinh doanh – 21 link
thuế hộ kinh doanh – 21 link</v>
      </c>
      <c r="J53" s="21" t="str">
        <f>IFERROR(__xludf.DUMMYFUNCTION("IFERROR(TEXTJOIN(CHAR(10),TRUE,FILTER('Chi tiết từng link'!$D$2:$D$2505,'Chi tiết từng link'!$B$2:$B$2505=B53,'Chi tiết từng link'!$F$2:$F$2505&lt;&gt;""CẦN SOÁT"")),""—"")"),"https://techcombank.com/thong-tin/blog/ho-kinh-doanh-la-gi
https://techcombank.com/thong-tin/blog/thue-khoan-ho-kinh-doanh-la-gi
https://techcombank.com/thong-tin/blog/nhung-ho-kinh-doanh-duoc-mien-thue
https://techcombank.com/thong-tin/blog/truy-thu-thue"&amp;"-ho-kinh-doanh
https://techcombank.com/thong-tin/blog/thue-ho-kinh-doanh-2025")</f>
        <v>https://techcombank.com/thong-tin/blog/ho-kinh-doanh-la-gi
https://techcombank.com/thong-tin/blog/thue-khoan-ho-kinh-doanh-la-gi
https://techcombank.com/thong-tin/blog/nhung-ho-kinh-doanh-duoc-mien-thue
https://techcombank.com/thong-tin/blog/truy-thu-thue-ho-kinh-doanh
https://techcombank.com/thong-tin/blog/thue-ho-kinh-doanh-2025</v>
      </c>
      <c r="K53" s="21" t="str">
        <f t="shared" si="1"/>
        <v>Có đề xuất dùng được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7">
        <v>53.0</v>
      </c>
      <c r="B54" s="8" t="s">
        <v>297</v>
      </c>
      <c r="C54" s="9" t="s">
        <v>294</v>
      </c>
      <c r="D54" s="12">
        <f>COUNTIF('Chi tiết từng link'!$B$2:$B$2505,B54)</f>
        <v>19</v>
      </c>
      <c r="E54" s="14">
        <f>COUNTIFS('Chi tiết từng link'!$B$2:$B$2505,B54,'Chi tiết từng link'!$F$2:$F$2505,"PHÙ HỢP CAO")</f>
        <v>2</v>
      </c>
      <c r="F54" s="14">
        <f>COUNTIFS('Chi tiết từng link'!$B$2:$B$2505,B54,'Chi tiết từng link'!$F$2:$F$2505,"CÓ THỂ ĐI")</f>
        <v>3</v>
      </c>
      <c r="G54" s="14">
        <f>COUNTIFS('Chi tiết từng link'!$B$2:$B$2505,B54,'Chi tiết từng link'!$F$2:$F$2505,"CẦN SOÁT")</f>
        <v>14</v>
      </c>
      <c r="H54" s="14">
        <f>IFERROR(__xludf.DUMMYFUNCTION("IF(D54=0,0,COUNTUNIQUE(FILTER('Chi tiết từng link'!$E$2:$E$2505,'Chi tiết từng link'!$B$2:$B$2505=B54)))"),2.0)</f>
        <v>2</v>
      </c>
      <c r="I54" s="21" t="str">
        <f>IFERROR(__xludf.DUMMYFUNCTION("IFERROR(TEXTJOIN(CHAR(10),TRUE,BYROW(QUERY('Chi tiết từng link'!$B$2:$E$2505,""select E, count(E) where B = '""&amp;B54&amp;""' group by E order by count(E) desc label count(E) ''"",0),LAMBDA(r,INDEX(r,1,1)&amp;"" – ""&amp;INDEX(r,1,2)&amp;"" link""))),""—"")"),"mô hình kinh doanh là gì – 10 link
mô hình kinh doanh – 9 link")</f>
        <v>mô hình kinh doanh là gì – 10 link
mô hình kinh doanh – 9 link</v>
      </c>
      <c r="J54" s="21" t="str">
        <f>IFERROR(__xludf.DUMMYFUNCTION("IFERROR(TEXTJOIN(CHAR(10),TRUE,FILTER('Chi tiết từng link'!$D$2:$D$2505,'Chi tiết từng link'!$B$2:$B$2505=B54,'Chi tiết từng link'!$F$2:$F$2505&lt;&gt;""CẦN SOÁT"")),""—"")"),"https://techcombank.com/thong-tin/blog/nhuong-quyen-la-gi
https://techcombank.com/thong-tin/blog/kinh-doanh-online
https://techcombank.com/thong-tin/blog/one-stop-shop
https://techcombank.com/thong-tin/blog/cac-loai-hinh-doanh-nghiep
https://techcombank.c"&amp;"om/thong-tin/blog/merchant-la-gi")</f>
        <v>https://techcombank.com/thong-tin/blog/nhuong-quyen-la-gi
https://techcombank.com/thong-tin/blog/kinh-doanh-online
https://techcombank.com/thong-tin/blog/one-stop-shop
https://techcombank.com/thong-tin/blog/cac-loai-hinh-doanh-nghiep
https://techcombank.com/thong-tin/blog/merchant-la-gi</v>
      </c>
      <c r="K54" s="21" t="str">
        <f t="shared" si="1"/>
        <v>Có đề xuất dùng được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7">
        <v>54.0</v>
      </c>
      <c r="B55" s="8" t="s">
        <v>300</v>
      </c>
      <c r="C55" s="9" t="s">
        <v>294</v>
      </c>
      <c r="D55" s="12">
        <f>COUNTIF('Chi tiết từng link'!$B$2:$B$2505,B55)</f>
        <v>26</v>
      </c>
      <c r="E55" s="14">
        <f>COUNTIFS('Chi tiết từng link'!$B$2:$B$2505,B55,'Chi tiết từng link'!$F$2:$F$2505,"PHÙ HỢP CAO")</f>
        <v>4</v>
      </c>
      <c r="F55" s="14">
        <f>COUNTIFS('Chi tiết từng link'!$B$2:$B$2505,B55,'Chi tiết từng link'!$F$2:$F$2505,"CÓ THỂ ĐI")</f>
        <v>1</v>
      </c>
      <c r="G55" s="14">
        <f>COUNTIFS('Chi tiết từng link'!$B$2:$B$2505,B55,'Chi tiết từng link'!$F$2:$F$2505,"CẦN SOÁT")</f>
        <v>21</v>
      </c>
      <c r="H55" s="14">
        <f>IFERROR(__xludf.DUMMYFUNCTION("IF(D55=0,0,COUNTUNIQUE(FILTER('Chi tiết từng link'!$E$2:$E$2505,'Chi tiết từng link'!$B$2:$B$2505=B55)))"),2.0)</f>
        <v>2</v>
      </c>
      <c r="I55" s="21" t="str">
        <f>IFERROR(__xludf.DUMMYFUNCTION("IFERROR(TEXTJOIN(CHAR(10),TRUE,BYROW(QUERY('Chi tiết từng link'!$B$2:$E$2505,""select E, count(E) where B = '""&amp;B55&amp;""' group by E order by count(E) desc label count(E) ''"",0),LAMBDA(r,INDEX(r,1,1)&amp;"" – ""&amp;INDEX(r,1,2)&amp;"" link""))),""—"")"),"cách gửi mã QR ngân hàng – 13 link
gửi mã QR ngân hàng – 13 link")</f>
        <v>cách gửi mã QR ngân hàng – 13 link
gửi mã QR ngân hàng – 13 link</v>
      </c>
      <c r="J55" s="21" t="str">
        <f>IFERROR(__xludf.DUMMYFUNCTION("IFERROR(TEXTJOIN(CHAR(10),TRUE,FILTER('Chi tiết từng link'!$D$2:$D$2505,'Chi tiết từng link'!$B$2:$B$2505=B55,'Chi tiết từng link'!$F$2:$F$2505&lt;&gt;""CẦN SOÁT"")),""—"")"),"https://techcombank.com/thong-tin/blog/cach-tao-ma-qr
https://techcombank.com/thong-tin/blog/in-ma-qr-ngan-hang
https://techcombank.com/thong-tin/blog/lo-ma-qr-ngan-hang-co-sao-khong
https://techcombank.com/thong-tin/blog/lam-ma-qr-ngan-hang-co-mat-phi-kh"&amp;"ong
https://techcombank.com/thong-tin/blog/ma-qr-ngan-hang-khong-hop-le")</f>
        <v>https://techcombank.com/thong-tin/blog/cach-tao-ma-qr
https://techcombank.com/thong-tin/blog/in-ma-qr-ngan-hang
https://techcombank.com/thong-tin/blog/lo-ma-qr-ngan-hang-co-sao-khong
https://techcombank.com/thong-tin/blog/lam-ma-qr-ngan-hang-co-mat-phi-khong
https://techcombank.com/thong-tin/blog/ma-qr-ngan-hang-khong-hop-le</v>
      </c>
      <c r="K55" s="21" t="str">
        <f t="shared" si="1"/>
        <v>Có đề xuất dùng được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7">
        <v>55.0</v>
      </c>
      <c r="B56" s="8" t="s">
        <v>304</v>
      </c>
      <c r="C56" s="9" t="s">
        <v>294</v>
      </c>
      <c r="D56" s="12">
        <f>COUNTIF('Chi tiết từng link'!$B$2:$B$2505,B56)</f>
        <v>52</v>
      </c>
      <c r="E56" s="14">
        <f>COUNTIFS('Chi tiết từng link'!$B$2:$B$2505,B56,'Chi tiết từng link'!$F$2:$F$2505,"PHÙ HỢP CAO")</f>
        <v>3</v>
      </c>
      <c r="F56" s="14">
        <f>COUNTIFS('Chi tiết từng link'!$B$2:$B$2505,B56,'Chi tiết từng link'!$F$2:$F$2505,"CÓ THỂ ĐI")</f>
        <v>2</v>
      </c>
      <c r="G56" s="14">
        <f>COUNTIFS('Chi tiết từng link'!$B$2:$B$2505,B56,'Chi tiết từng link'!$F$2:$F$2505,"CẦN SOÁT")</f>
        <v>47</v>
      </c>
      <c r="H56" s="14">
        <f>IFERROR(__xludf.DUMMYFUNCTION("IF(D56=0,0,COUNTUNIQUE(FILTER('Chi tiết từng link'!$E$2:$E$2505,'Chi tiết từng link'!$B$2:$B$2505=B56)))"),3.0)</f>
        <v>3</v>
      </c>
      <c r="I56" s="21" t="str">
        <f>IFERROR(__xludf.DUMMYFUNCTION("IFERROR(TEXTJOIN(CHAR(10),TRUE,BYROW(QUERY('Chi tiết từng link'!$B$2:$E$2505,""select E, count(E) where B = '""&amp;B56&amp;""' group by E order by count(E) desc label count(E) ''"",0),LAMBDA(r,INDEX(r,1,1)&amp;"" – ""&amp;INDEX(r,1,2)&amp;"" link""))),""—"")"),"mở tài khoản hộ kinh doanh – 18 link
cách mở tài khoản hộ kinh doanh – 17 link
tài khoản hộ kinh doanh – 17 link")</f>
        <v>mở tài khoản hộ kinh doanh – 18 link
cách mở tài khoản hộ kinh doanh – 17 link
tài khoản hộ kinh doanh – 17 link</v>
      </c>
      <c r="J56" s="21" t="str">
        <f>IFERROR(__xludf.DUMMYFUNCTION("IFERROR(TEXTJOIN(CHAR(10),TRUE,FILTER('Chi tiết từng link'!$D$2:$D$2505,'Chi tiết từng link'!$B$2:$B$2505=B56,'Chi tiết từng link'!$F$2:$F$2505&lt;&gt;""CẦN SOÁT"")),""—"")"),"https://techcombank.com/thong-tin/blog/ho-kinh-doanh-can-gi-o-tai-khoan-ngan-hang
https://techcombank.com/thong-tin/blog/thanh-lap-ho-kinh-doanh-ca-the
https://techcombank.com/thong-tin/blog/khai-bao-tai-khoan-ngan-hang-voi-co-quan-thue
https://techcomban"&amp;"k.com/thong-tin/blog/ho-kinh-doanh-ca-the
https://techcombank.com/thong-tin/blog/cach-dang-ky-ma-so-thue-ho-kinh-doanh-online")</f>
        <v>https://techcombank.com/thong-tin/blog/ho-kinh-doanh-can-gi-o-tai-khoan-ngan-hang
https://techcombank.com/thong-tin/blog/thanh-lap-ho-kinh-doanh-ca-the
https://techcombank.com/thong-tin/blog/khai-bao-tai-khoan-ngan-hang-voi-co-quan-thue
https://techcombank.com/thong-tin/blog/ho-kinh-doanh-ca-the
https://techcombank.com/thong-tin/blog/cach-dang-ky-ma-so-thue-ho-kinh-doanh-online</v>
      </c>
      <c r="K56" s="21" t="str">
        <f t="shared" si="1"/>
        <v>Có đề xuất dùng được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7">
        <v>56.0</v>
      </c>
      <c r="B57" s="8" t="s">
        <v>247</v>
      </c>
      <c r="C57" s="9" t="s">
        <v>294</v>
      </c>
      <c r="D57" s="12">
        <f>COUNTIF('Chi tiết từng link'!$B$2:$B$2505,B57)</f>
        <v>53</v>
      </c>
      <c r="E57" s="14">
        <f>COUNTIFS('Chi tiết từng link'!$B$2:$B$2505,B57,'Chi tiết từng link'!$F$2:$F$2505,"PHÙ HỢP CAO")</f>
        <v>3</v>
      </c>
      <c r="F57" s="14">
        <f>COUNTIFS('Chi tiết từng link'!$B$2:$B$2505,B57,'Chi tiết từng link'!$F$2:$F$2505,"CÓ THỂ ĐI")</f>
        <v>2</v>
      </c>
      <c r="G57" s="14">
        <f>COUNTIFS('Chi tiết từng link'!$B$2:$B$2505,B57,'Chi tiết từng link'!$F$2:$F$2505,"CẦN SOÁT")</f>
        <v>48</v>
      </c>
      <c r="H57" s="14">
        <f>IFERROR(__xludf.DUMMYFUNCTION("IF(D57=0,0,COUNTUNIQUE(FILTER('Chi tiết từng link'!$E$2:$E$2505,'Chi tiết từng link'!$B$2:$B$2505=B57)))"),2.0)</f>
        <v>2</v>
      </c>
      <c r="I57" s="21" t="str">
        <f>IFERROR(__xludf.DUMMYFUNCTION("IFERROR(TEXTJOIN(CHAR(10),TRUE,BYROW(QUERY('Chi tiết từng link'!$B$2:$E$2505,""select E, count(E) where B = '""&amp;B57&amp;""' group by E order by count(E) desc label count(E) ''"",0),LAMBDA(r,INDEX(r,1,1)&amp;"" – ""&amp;INDEX(r,1,2)&amp;"" link""))),""—"")"),"cách tính thuế hộ kinh doanh nhỏ lẻ – 27 link
cách tính thuế hộ kinh doanh – 26 link")</f>
        <v>cách tính thuế hộ kinh doanh nhỏ lẻ – 27 link
cách tính thuế hộ kinh doanh – 26 link</v>
      </c>
      <c r="J57" s="21" t="str">
        <f>IFERROR(__xludf.DUMMYFUNCTION("IFERROR(TEXTJOIN(CHAR(10),TRUE,FILTER('Chi tiết từng link'!$D$2:$D$2505,'Chi tiết từng link'!$B$2:$B$2505=B57,'Chi tiết từng link'!$F$2:$F$2505&lt;&gt;""CẦN SOÁT"")),""—"")"),"https://techcombank.com/thong-tin/blog/ke-khai-thue-ho-kinh-doanh-ca-the-online
https://techcombank.com/thong-tin/blog/kiem-tra-thue-ho-kinh-doanh
https://techcombank.com/thong-tin/blog/thue-thuong-mai-dien-tu
https://techcombank.com/thong-tin/blog/chinh-"&amp;"sach-thue-moi
https://techcombank.com/thong-tin/blog/ho-kinh-doanh-ca-the")</f>
        <v>https://techcombank.com/thong-tin/blog/ke-khai-thue-ho-kinh-doanh-ca-the-online
https://techcombank.com/thong-tin/blog/kiem-tra-thue-ho-kinh-doanh
https://techcombank.com/thong-tin/blog/thue-thuong-mai-dien-tu
https://techcombank.com/thong-tin/blog/chinh-sach-thue-moi
https://techcombank.com/thong-tin/blog/ho-kinh-doanh-ca-the</v>
      </c>
      <c r="K57" s="21" t="str">
        <f t="shared" si="1"/>
        <v>Có đề xuất dùng được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7">
        <v>57.0</v>
      </c>
      <c r="B58" s="8" t="s">
        <v>316</v>
      </c>
      <c r="C58" s="9" t="s">
        <v>318</v>
      </c>
      <c r="D58" s="12">
        <f>COUNTIF('Chi tiết từng link'!$B$2:$B$2505,B58)</f>
        <v>66</v>
      </c>
      <c r="E58" s="14">
        <f>COUNTIFS('Chi tiết từng link'!$B$2:$B$2505,B58,'Chi tiết từng link'!$F$2:$F$2505,"PHÙ HỢP CAO")</f>
        <v>4</v>
      </c>
      <c r="F58" s="14">
        <f>COUNTIFS('Chi tiết từng link'!$B$2:$B$2505,B58,'Chi tiết từng link'!$F$2:$F$2505,"CÓ THỂ ĐI")</f>
        <v>1</v>
      </c>
      <c r="G58" s="14">
        <f>COUNTIFS('Chi tiết từng link'!$B$2:$B$2505,B58,'Chi tiết từng link'!$F$2:$F$2505,"CẦN SOÁT")</f>
        <v>61</v>
      </c>
      <c r="H58" s="14">
        <f>IFERROR(__xludf.DUMMYFUNCTION("IF(D58=0,0,COUNTUNIQUE(FILTER('Chi tiết từng link'!$E$2:$E$2505,'Chi tiết từng link'!$B$2:$B$2505=B58)))"),4.0)</f>
        <v>4</v>
      </c>
      <c r="I58" s="21" t="str">
        <f>IFERROR(__xludf.DUMMYFUNCTION("IFERROR(TEXTJOIN(CHAR(10),TRUE,BYROW(QUERY('Chi tiết từng link'!$B$2:$E$2505,""select E, count(E) where B = '""&amp;B58&amp;""' group by E order by count(E) desc label count(E) ''"",0),LAMBDA(r,INDEX(r,1,1)&amp;"" – ""&amp;INDEX(r,1,2)&amp;"" link""))),""—"")"),"cách tính lãi suất vay ngân hàng – 17 link
cách tính lãi vay ngân hàng – 17 link
công thức tính lãi vay – 16 link
tính lãi vay theo dư nợ giảm dần – 16 link")</f>
        <v>cách tính lãi suất vay ngân hàng – 17 link
cách tính lãi vay ngân hàng – 17 link
công thức tính lãi vay – 16 link
tính lãi vay theo dư nợ giảm dần – 16 link</v>
      </c>
      <c r="J58" s="21" t="str">
        <f>IFERROR(__xludf.DUMMYFUNCTION("IFERROR(TEXTJOIN(CHAR(10),TRUE,FILTER('Chi tiết từng link'!$D$2:$D$2505,'Chi tiết từng link'!$B$2:$B$2505=B58,'Chi tiết từng link'!$F$2:$F$2505&lt;&gt;""CẦN SOÁT"")),""—"")"),"https://techcombank.com/thong-tin/blog/du-no-la-gi
https://techcombank.com/thong-tin/blog/an-han-no-goc-la-gi
https://techcombank.com/thong-tin/blog/lai-suat-tha-noi
https://techcombank.com/thong-tin/blog/cong-thuc-tinh-lai-suat-thuc
https://techcombank.c"&amp;"om/thong-tin/blog/vay-tra-gop")</f>
        <v>https://techcombank.com/thong-tin/blog/du-no-la-gi
https://techcombank.com/thong-tin/blog/an-han-no-goc-la-gi
https://techcombank.com/thong-tin/blog/lai-suat-tha-noi
https://techcombank.com/thong-tin/blog/cong-thuc-tinh-lai-suat-thuc
https://techcombank.com/thong-tin/blog/vay-tra-gop</v>
      </c>
      <c r="K58" s="21" t="str">
        <f t="shared" si="1"/>
        <v>Có đề xuất dùng được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7">
        <v>58.0</v>
      </c>
      <c r="B59" s="8" t="s">
        <v>128</v>
      </c>
      <c r="C59" s="9" t="s">
        <v>318</v>
      </c>
      <c r="D59" s="12">
        <f>COUNTIF('Chi tiết từng link'!$B$2:$B$2505,B59)</f>
        <v>32</v>
      </c>
      <c r="E59" s="14">
        <f>COUNTIFS('Chi tiết từng link'!$B$2:$B$2505,B59,'Chi tiết từng link'!$F$2:$F$2505,"PHÙ HỢP CAO")</f>
        <v>4</v>
      </c>
      <c r="F59" s="14">
        <f>COUNTIFS('Chi tiết từng link'!$B$2:$B$2505,B59,'Chi tiết từng link'!$F$2:$F$2505,"CÓ THỂ ĐI")</f>
        <v>1</v>
      </c>
      <c r="G59" s="14">
        <f>COUNTIFS('Chi tiết từng link'!$B$2:$B$2505,B59,'Chi tiết từng link'!$F$2:$F$2505,"CẦN SOÁT")</f>
        <v>27</v>
      </c>
      <c r="H59" s="14">
        <f>IFERROR(__xludf.DUMMYFUNCTION("IF(D59=0,0,COUNTUNIQUE(FILTER('Chi tiết từng link'!$E$2:$E$2505,'Chi tiết từng link'!$B$2:$B$2505=B59)))"),4.0)</f>
        <v>4</v>
      </c>
      <c r="I59" s="21" t="str">
        <f>IFERROR(__xludf.DUMMYFUNCTION("IFERROR(TEXTJOIN(CHAR(10),TRUE,BYROW(QUERY('Chi tiết từng link'!$B$2:$E$2505,""select E, count(E) where B = '""&amp;B59&amp;""' group by E order by count(E) desc label count(E) ''"",0),LAMBDA(r,INDEX(r,1,1)&amp;"" – ""&amp;INDEX(r,1,2)&amp;"" link""))),""—"")"),"lãi suất vay thế chấp sổ hồng – 8 link
lãi suất vay thế chấp sổ đỏ – 8 link
vay thế chấp sổ đỏ – 8 link
vay thế chấp sổ đỏ ngân hàng – 8 link")</f>
        <v>lãi suất vay thế chấp sổ hồng – 8 link
lãi suất vay thế chấp sổ đỏ – 8 link
vay thế chấp sổ đỏ – 8 link
vay thế chấp sổ đỏ ngân hàng – 8 link</v>
      </c>
      <c r="J59" s="21" t="str">
        <f>IFERROR(__xludf.DUMMYFUNCTION("IFERROR(TEXTJOIN(CHAR(10),TRUE,FILTER('Chi tiết từng link'!$D$2:$D$2505,'Chi tiết từng link'!$B$2:$B$2505=B59,'Chi tiết từng link'!$F$2:$F$2505&lt;&gt;""CẦN SOÁT"")),""—"")"),"https://techcombank.com/thong-tin/blog/han-muc-vay-the-chap-so-do
https://techcombank.com/thong-tin/blog/vay-the-chap-so-hong
https://techcombank.com/thong-tin/blog/kinh-nghiem-vay-the-chap-ngan-hang
https://techcombank.com/thong-tin/blog/nen-vay-the-chap"&amp;"-ngan-hang-nao
https://techcombank.com/thong-tin/blog/vay-the-chap-la-gi")</f>
        <v>https://techcombank.com/thong-tin/blog/han-muc-vay-the-chap-so-do
https://techcombank.com/thong-tin/blog/vay-the-chap-so-hong
https://techcombank.com/thong-tin/blog/kinh-nghiem-vay-the-chap-ngan-hang
https://techcombank.com/thong-tin/blog/nen-vay-the-chap-ngan-hang-nao
https://techcombank.com/thong-tin/blog/vay-the-chap-la-gi</v>
      </c>
      <c r="K59" s="21" t="str">
        <f t="shared" si="1"/>
        <v>Có đề xuất dùng được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7">
        <v>59.0</v>
      </c>
      <c r="B60" s="8" t="s">
        <v>90</v>
      </c>
      <c r="C60" s="9" t="s">
        <v>318</v>
      </c>
      <c r="D60" s="12">
        <f>COUNTIF('Chi tiết từng link'!$B$2:$B$2505,B60)</f>
        <v>38</v>
      </c>
      <c r="E60" s="14">
        <f>COUNTIFS('Chi tiết từng link'!$B$2:$B$2505,B60,'Chi tiết từng link'!$F$2:$F$2505,"PHÙ HỢP CAO")</f>
        <v>2</v>
      </c>
      <c r="F60" s="14">
        <f>COUNTIFS('Chi tiết từng link'!$B$2:$B$2505,B60,'Chi tiết từng link'!$F$2:$F$2505,"CÓ THỂ ĐI")</f>
        <v>3</v>
      </c>
      <c r="G60" s="14">
        <f>COUNTIFS('Chi tiết từng link'!$B$2:$B$2505,B60,'Chi tiết từng link'!$F$2:$F$2505,"CẦN SOÁT")</f>
        <v>33</v>
      </c>
      <c r="H60" s="14">
        <f>IFERROR(__xludf.DUMMYFUNCTION("IF(D60=0,0,COUNTUNIQUE(FILTER('Chi tiết từng link'!$E$2:$E$2505,'Chi tiết từng link'!$B$2:$B$2505=B60)))"),4.0)</f>
        <v>4</v>
      </c>
      <c r="I60" s="21" t="str">
        <f>IFERROR(__xludf.DUMMYFUNCTION("IFERROR(TEXTJOIN(CHAR(10),TRUE,BYROW(QUERY('Chi tiết từng link'!$B$2:$E$2505,""select E, count(E) where B = '""&amp;B60&amp;""' group by E order by count(E) desc label count(E) ''"",0),LAMBDA(r,INDEX(r,1,1)&amp;"" – ""&amp;INDEX(r,1,2)&amp;"" link""))),""—"")"),"hồ sơ thủ tục xóa thế chấp – 10 link
thủ tục xóa thế chấp – 10 link
thủ tục giải chấp sổ đỏ – 9 link
xóa thế chấp sổ đỏ – 9 link")</f>
        <v>hồ sơ thủ tục xóa thế chấp – 10 link
thủ tục xóa thế chấp – 10 link
thủ tục giải chấp sổ đỏ – 9 link
xóa thế chấp sổ đỏ – 9 link</v>
      </c>
      <c r="J60" s="21" t="str">
        <f>IFERROR(__xludf.DUMMYFUNCTION("IFERROR(TEXTJOIN(CHAR(10),TRUE,FILTER('Chi tiết từng link'!$D$2:$D$2505,'Chi tiết từng link'!$B$2:$B$2505=B60,'Chi tiết từng link'!$F$2:$F$2505&lt;&gt;""CẦN SOÁT"")),""—"")"),"https://techcombank.com/thong-tin/blog/quy-trinh-tat-toan-khoan-vay-the-chap
https://techcombank.com/thong-tin/blog/tat-toan
https://techcombank.com/thong-tin/blog/the-chap-la-gi
https://techcombank.com/thong-tin/blog/vay-the-chap-khong-tra-duoc
https://t"&amp;"echcombank.com/thong-tin/blog/giai-ngan-vay-the-chap")</f>
        <v>https://techcombank.com/thong-tin/blog/quy-trinh-tat-toan-khoan-vay-the-chap
https://techcombank.com/thong-tin/blog/tat-toan
https://techcombank.com/thong-tin/blog/the-chap-la-gi
https://techcombank.com/thong-tin/blog/vay-the-chap-khong-tra-duoc
https://techcombank.com/thong-tin/blog/giai-ngan-vay-the-chap</v>
      </c>
      <c r="K60" s="21" t="str">
        <f t="shared" si="1"/>
        <v>Có đề xuất dùng được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7">
        <v>60.0</v>
      </c>
      <c r="B61" s="8" t="s">
        <v>212</v>
      </c>
      <c r="C61" s="9" t="s">
        <v>327</v>
      </c>
      <c r="D61" s="12">
        <f>COUNTIF('Chi tiết từng link'!$B$2:$B$2505,B61)</f>
        <v>42</v>
      </c>
      <c r="E61" s="14">
        <f>COUNTIFS('Chi tiết từng link'!$B$2:$B$2505,B61,'Chi tiết từng link'!$F$2:$F$2505,"PHÙ HỢP CAO")</f>
        <v>4</v>
      </c>
      <c r="F61" s="14">
        <f>COUNTIFS('Chi tiết từng link'!$B$2:$B$2505,B61,'Chi tiết từng link'!$F$2:$F$2505,"CÓ THỂ ĐI")</f>
        <v>1</v>
      </c>
      <c r="G61" s="14">
        <f>COUNTIFS('Chi tiết từng link'!$B$2:$B$2505,B61,'Chi tiết từng link'!$F$2:$F$2505,"CẦN SOÁT")</f>
        <v>37</v>
      </c>
      <c r="H61" s="14">
        <f>IFERROR(__xludf.DUMMYFUNCTION("IF(D61=0,0,COUNTUNIQUE(FILTER('Chi tiết từng link'!$E$2:$E$2505,'Chi tiết từng link'!$B$2:$B$2505=B61)))"),3.0)</f>
        <v>3</v>
      </c>
      <c r="I61" s="21" t="str">
        <f>IFERROR(__xludf.DUMMYFUNCTION("IFERROR(TEXTJOIN(CHAR(10),TRUE,BYROW(QUERY('Chi tiết từng link'!$B$2:$E$2505,""select E, count(E) where B = '""&amp;B61&amp;""' group by E order by count(E) desc label count(E) ''"",0),LAMBDA(r,INDEX(r,1,1)&amp;"" – ""&amp;INDEX(r,1,2)&amp;"" link""))),""—"")"),"lãi suất gửi tiết kiệm – 14 link
lãi suất tiết kiệm – 14 link
lãi suất tiết kiệm các ngân hàng – 14 link")</f>
        <v>lãi suất gửi tiết kiệm – 14 link
lãi suất tiết kiệm – 14 link
lãi suất tiết kiệm các ngân hàng – 14 link</v>
      </c>
      <c r="J61" s="21" t="str">
        <f>IFERROR(__xludf.DUMMYFUNCTION("IFERROR(TEXTJOIN(CHAR(10),TRUE,FILTER('Chi tiết từng link'!$D$2:$D$2505,'Chi tiết từng link'!$B$2:$B$2505=B61,'Chi tiết từng link'!$F$2:$F$2505&lt;&gt;""CẦN SOÁT"")),""—"")"),"https://techcombank.com/thong-tin/blog/nen-gui-tiet-kiem-6-thang-hay-1-nam
https://techcombank.com/thong-tin/blog/tai-sao-gui-tiet-kiem-online-lai-suat-cao-hon
https://techcombank.com/thong-tin/blog/co-nen-gui-tiet-kiem-ngan-hang
https://techcombank.com/t"&amp;"hong-tin/blog/tien-gui-co-ky-han
https://techcombank.com/thong-tin/blog/so-sanh-gui-tiet-kiem-online-va-tai-quay")</f>
        <v>https://techcombank.com/thong-tin/blog/nen-gui-tiet-kiem-6-thang-hay-1-nam
https://techcombank.com/thong-tin/blog/tai-sao-gui-tiet-kiem-online-lai-suat-cao-hon
https://techcombank.com/thong-tin/blog/co-nen-gui-tiet-kiem-ngan-hang
https://techcombank.com/thong-tin/blog/tien-gui-co-ky-han
https://techcombank.com/thong-tin/blog/so-sanh-gui-tiet-kiem-online-va-tai-quay</v>
      </c>
      <c r="K61" s="21" t="str">
        <f t="shared" si="1"/>
        <v>Có đề xuất dùng được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7">
        <v>61.0</v>
      </c>
      <c r="B62" s="8" t="s">
        <v>331</v>
      </c>
      <c r="C62" s="9" t="s">
        <v>327</v>
      </c>
      <c r="D62" s="12">
        <f>COUNTIF('Chi tiết từng link'!$B$2:$B$2505,B62)</f>
        <v>53</v>
      </c>
      <c r="E62" s="14">
        <f>COUNTIFS('Chi tiết từng link'!$B$2:$B$2505,B62,'Chi tiết từng link'!$F$2:$F$2505,"PHÙ HỢP CAO")</f>
        <v>3</v>
      </c>
      <c r="F62" s="14">
        <f>COUNTIFS('Chi tiết từng link'!$B$2:$B$2505,B62,'Chi tiết từng link'!$F$2:$F$2505,"CÓ THỂ ĐI")</f>
        <v>2</v>
      </c>
      <c r="G62" s="14">
        <f>COUNTIFS('Chi tiết từng link'!$B$2:$B$2505,B62,'Chi tiết từng link'!$F$2:$F$2505,"CẦN SOÁT")</f>
        <v>48</v>
      </c>
      <c r="H62" s="14">
        <f>IFERROR(__xludf.DUMMYFUNCTION("IF(D62=0,0,COUNTUNIQUE(FILTER('Chi tiết từng link'!$E$2:$E$2505,'Chi tiết từng link'!$B$2:$B$2505=B62)))"),2.0)</f>
        <v>2</v>
      </c>
      <c r="I62" s="21" t="str">
        <f>IFERROR(__xludf.DUMMYFUNCTION("IFERROR(TEXTJOIN(CHAR(10),TRUE,BYROW(QUERY('Chi tiết từng link'!$B$2:$E$2505,""select E, count(E) where B = '""&amp;B62&amp;""' group by E order by count(E) desc label count(E) ''"",0),LAMBDA(r,INDEX(r,1,1)&amp;"" – ""&amp;INDEX(r,1,2)&amp;"" link""))),""—"")"),"cách tính lãi suất tiền gửi tiết kiệm – 27 link
công thức tính lãi tiết kiệm – 26 link")</f>
        <v>cách tính lãi suất tiền gửi tiết kiệm – 27 link
công thức tính lãi tiết kiệm – 26 link</v>
      </c>
      <c r="J62" s="21" t="str">
        <f>IFERROR(__xludf.DUMMYFUNCTION("IFERROR(TEXTJOIN(CHAR(10),TRUE,FILTER('Chi tiết từng link'!$D$2:$D$2505,'Chi tiết từng link'!$B$2:$B$2505=B62,'Chi tiết từng link'!$F$2:$F$2505&lt;&gt;""CẦN SOÁT"")),""—"")"),"https://techcombank.com/thong-tin/blog/lai-kep-ngan-hang
https://techcombank.com/thong-tin/blog/gui-tiet-kiem-lay-lai-hang-thang
https://techcombank.com/thong-tin/blog/gui-tiet-kiem-hang-thang
https://techcombank.com/thong-tin/blog/tien-gui-khong-ky-han
h"&amp;"ttps://techcombank.com/thong-tin/blog/dao-han-la-gi")</f>
        <v>https://techcombank.com/thong-tin/blog/lai-kep-ngan-hang
https://techcombank.com/thong-tin/blog/gui-tiet-kiem-lay-lai-hang-thang
https://techcombank.com/thong-tin/blog/gui-tiet-kiem-hang-thang
https://techcombank.com/thong-tin/blog/tien-gui-khong-ky-han
https://techcombank.com/thong-tin/blog/dao-han-la-gi</v>
      </c>
      <c r="K62" s="21" t="str">
        <f t="shared" si="1"/>
        <v>Có đề xuất dùng được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7">
        <v>62.0</v>
      </c>
      <c r="B63" s="8" t="s">
        <v>334</v>
      </c>
      <c r="C63" s="9" t="s">
        <v>327</v>
      </c>
      <c r="D63" s="12">
        <f>COUNTIF('Chi tiết từng link'!$B$2:$B$2505,B63)</f>
        <v>19</v>
      </c>
      <c r="E63" s="14">
        <f>COUNTIFS('Chi tiết từng link'!$B$2:$B$2505,B63,'Chi tiết từng link'!$F$2:$F$2505,"PHÙ HỢP CAO")</f>
        <v>3</v>
      </c>
      <c r="F63" s="14">
        <f>COUNTIFS('Chi tiết từng link'!$B$2:$B$2505,B63,'Chi tiết từng link'!$F$2:$F$2505,"CÓ THỂ ĐI")</f>
        <v>2</v>
      </c>
      <c r="G63" s="14">
        <f>COUNTIFS('Chi tiết từng link'!$B$2:$B$2505,B63,'Chi tiết từng link'!$F$2:$F$2505,"CẦN SOÁT")</f>
        <v>14</v>
      </c>
      <c r="H63" s="14">
        <f>IFERROR(__xludf.DUMMYFUNCTION("IF(D63=0,0,COUNTUNIQUE(FILTER('Chi tiết từng link'!$E$2:$E$2505,'Chi tiết từng link'!$B$2:$B$2505=B63)))"),2.0)</f>
        <v>2</v>
      </c>
      <c r="I63" s="21" t="str">
        <f>IFERROR(__xludf.DUMMYFUNCTION("IFERROR(TEXTJOIN(CHAR(10),TRUE,BYROW(QUERY('Chi tiết từng link'!$B$2:$E$2505,""select E, count(E) where B = '""&amp;B63&amp;""' group by E order by count(E) desc label count(E) ''"",0),LAMBDA(r,INDEX(r,1,1)&amp;"" – ""&amp;INDEX(r,1,2)&amp;"" link""))),""—"")"),"rút tiền tiết kiệm trước thời hạn – 10 link
rút tiết kiệm trước hạn – 9 link")</f>
        <v>rút tiền tiết kiệm trước thời hạn – 10 link
rút tiết kiệm trước hạn – 9 link</v>
      </c>
      <c r="J63" s="21" t="str">
        <f>IFERROR(__xludf.DUMMYFUNCTION("IFERROR(TEXTJOIN(CHAR(10),TRUE,FILTER('Chi tiết từng link'!$D$2:$D$2505,'Chi tiết từng link'!$B$2:$B$2505=B63,'Chi tiết từng link'!$F$2:$F$2505&lt;&gt;""CẦN SOÁT"")),""—"")"),"https://techcombank.com/thong-tin/blog/tat-toan-so-tiet-kiem
https://techcombank.com/thong-tin/blog/gui-tiet-kiem-online-co-rut-truoc-han-duoc-khong
https://techcombank.com/thong-tin/blog/vay-thau-chi-bang-so-tiet-kiem
https://techcombank.com/thong-tin/bl"&amp;"og/mat-so-tiet-kiem
https://techcombank.com/thong-tin/blog/gui-them-tien-vao-so-tiet-kiem")</f>
        <v>https://techcombank.com/thong-tin/blog/tat-toan-so-tiet-kiem
https://techcombank.com/thong-tin/blog/gui-tiet-kiem-online-co-rut-truoc-han-duoc-khong
https://techcombank.com/thong-tin/blog/vay-thau-chi-bang-so-tiet-kiem
https://techcombank.com/thong-tin/blog/mat-so-tiet-kiem
https://techcombank.com/thong-tin/blog/gui-them-tien-vao-so-tiet-kiem</v>
      </c>
      <c r="K63" s="21" t="str">
        <f t="shared" si="1"/>
        <v>Có đề xuất dùng được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7">
        <v>63.0</v>
      </c>
      <c r="B64" s="8" t="s">
        <v>337</v>
      </c>
      <c r="C64" s="9" t="s">
        <v>327</v>
      </c>
      <c r="D64" s="12">
        <f>COUNTIF('Chi tiết từng link'!$B$2:$B$2505,B64)</f>
        <v>41</v>
      </c>
      <c r="E64" s="14">
        <f>COUNTIFS('Chi tiết từng link'!$B$2:$B$2505,B64,'Chi tiết từng link'!$F$2:$F$2505,"PHÙ HỢP CAO")</f>
        <v>4</v>
      </c>
      <c r="F64" s="14">
        <f>COUNTIFS('Chi tiết từng link'!$B$2:$B$2505,B64,'Chi tiết từng link'!$F$2:$F$2505,"CÓ THỂ ĐI")</f>
        <v>1</v>
      </c>
      <c r="G64" s="14">
        <f>COUNTIFS('Chi tiết từng link'!$B$2:$B$2505,B64,'Chi tiết từng link'!$F$2:$F$2505,"CẦN SOÁT")</f>
        <v>36</v>
      </c>
      <c r="H64" s="14">
        <f>IFERROR(__xludf.DUMMYFUNCTION("IF(D64=0,0,COUNTUNIQUE(FILTER('Chi tiết từng link'!$E$2:$E$2505,'Chi tiết từng link'!$B$2:$B$2505=B64)))"),2.0)</f>
        <v>2</v>
      </c>
      <c r="I64" s="21" t="str">
        <f>IFERROR(__xludf.DUMMYFUNCTION("IFERROR(TEXTJOIN(CHAR(10),TRUE,BYROW(QUERY('Chi tiết từng link'!$B$2:$E$2505,""select E, count(E) where B = '""&amp;B64&amp;""' group by E order by count(E) desc label count(E) ''"",0),LAMBDA(r,INDEX(r,1,1)&amp;"" – ""&amp;INDEX(r,1,2)&amp;"" link""))),""—"")"),"sổ tiết kiệm ngân hàng – 21 link
sổ tiết kiệm – 20 link")</f>
        <v>sổ tiết kiệm ngân hàng – 21 link
sổ tiết kiệm – 20 link</v>
      </c>
      <c r="J64" s="21" t="str">
        <f>IFERROR(__xludf.DUMMYFUNCTION("IFERROR(TEXTJOIN(CHAR(10),TRUE,FILTER('Chi tiết từng link'!$D$2:$D$2505,'Chi tiết từng link'!$B$2:$B$2505=B64,'Chi tiết từng link'!$F$2:$F$2505&lt;&gt;""CẦN SOÁT"")),""—"")"),"https://techcombank.com/thong-tin/blog/mo-so-tiet-kiem-can-bao-nhieu-tien
https://techcombank.com/thong-tin/blog/tai-khoan-tiet-kiem
https://techcombank.com/thong-tin/blog/mat-so-tiet-kiem
https://techcombank.com/thong-tin/blog/gui-them-tien-vao-so-tiet-k"&amp;"iem
https://techcombank.com/thong-tin/blog/quy-trinh-gui-tien-tiet-kiem")</f>
        <v>https://techcombank.com/thong-tin/blog/mo-so-tiet-kiem-can-bao-nhieu-tien
https://techcombank.com/thong-tin/blog/tai-khoan-tiet-kiem
https://techcombank.com/thong-tin/blog/mat-so-tiet-kiem
https://techcombank.com/thong-tin/blog/gui-them-tien-vao-so-tiet-kiem
https://techcombank.com/thong-tin/blog/quy-trinh-gui-tien-tiet-kiem</v>
      </c>
      <c r="K64" s="21" t="str">
        <f t="shared" si="1"/>
        <v>Có đề xuất dùng được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7">
        <v>64.0</v>
      </c>
      <c r="B65" s="8" t="s">
        <v>344</v>
      </c>
      <c r="C65" s="9" t="s">
        <v>327</v>
      </c>
      <c r="D65" s="12">
        <f>COUNTIF('Chi tiết từng link'!$B$2:$B$2505,B65)</f>
        <v>73</v>
      </c>
      <c r="E65" s="14">
        <f>COUNTIFS('Chi tiết từng link'!$B$2:$B$2505,B65,'Chi tiết từng link'!$F$2:$F$2505,"PHÙ HỢP CAO")</f>
        <v>5</v>
      </c>
      <c r="F65" s="14">
        <f>COUNTIFS('Chi tiết từng link'!$B$2:$B$2505,B65,'Chi tiết từng link'!$F$2:$F$2505,"CÓ THỂ ĐI")</f>
        <v>0</v>
      </c>
      <c r="G65" s="14">
        <f>COUNTIFS('Chi tiết từng link'!$B$2:$B$2505,B65,'Chi tiết từng link'!$F$2:$F$2505,"CẦN SOÁT")</f>
        <v>68</v>
      </c>
      <c r="H65" s="14">
        <f>IFERROR(__xludf.DUMMYFUNCTION("IF(D65=0,0,COUNTUNIQUE(FILTER('Chi tiết từng link'!$E$2:$E$2505,'Chi tiết từng link'!$B$2:$B$2505=B65)))"),2.0)</f>
        <v>2</v>
      </c>
      <c r="I65" s="21" t="str">
        <f>IFERROR(__xludf.DUMMYFUNCTION("IFERROR(TEXTJOIN(CHAR(10),TRUE,BYROW(QUERY('Chi tiết từng link'!$B$2:$E$2505,""select E, count(E) where B = '""&amp;B65&amp;""' group by E order by count(E) desc label count(E) ''"",0),LAMBDA(r,INDEX(r,1,1)&amp;"" – ""&amp;INDEX(r,1,2)&amp;"" link""))),""—"")"),"cách tiết kiệm tiền – 37 link
cách tiết kiệm tiền hiệu quả – 36 link")</f>
        <v>cách tiết kiệm tiền – 37 link
cách tiết kiệm tiền hiệu quả – 36 link</v>
      </c>
      <c r="J65" s="21" t="str">
        <f>IFERROR(__xludf.DUMMYFUNCTION("IFERROR(TEXTJOIN(CHAR(10),TRUE,FILTER('Chi tiết từng link'!$D$2:$D$2505,'Chi tiết từng link'!$B$2:$B$2505=B65,'Chi tiết từng link'!$F$2:$F$2505&lt;&gt;""CẦN SOÁT"")),""—"")"),"https://techcombank.com/thong-tin/blog/cach-tiet-kiem-tien-theo-tuan
https://techcombank.com/thong-tin/blog/tiet-kiem-tien-moi-ngay
https://techcombank.com/thong-tin/blog/hoc-cach-tiet-kiem-tien-luong
https://techcombank.com/thong-tin/blog/loi-ich-cua-vie"&amp;"c-tiet-kiem-tien
https://techcombank.com/thong-tin/blog/the-nao-la-tiet-kiem")</f>
        <v>https://techcombank.com/thong-tin/blog/cach-tiet-kiem-tien-theo-tuan
https://techcombank.com/thong-tin/blog/tiet-kiem-tien-moi-ngay
https://techcombank.com/thong-tin/blog/hoc-cach-tiet-kiem-tien-luong
https://techcombank.com/thong-tin/blog/loi-ich-cua-viec-tiet-kiem-tien
https://techcombank.com/thong-tin/blog/the-nao-la-tiet-kiem</v>
      </c>
      <c r="K65" s="21" t="str">
        <f t="shared" si="1"/>
        <v>Có đề xuất dùng được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7">
        <v>65.0</v>
      </c>
      <c r="B66" s="8" t="s">
        <v>349</v>
      </c>
      <c r="C66" s="9" t="s">
        <v>327</v>
      </c>
      <c r="D66" s="12">
        <f>COUNTIF('Chi tiết từng link'!$B$2:$B$2505,B66)</f>
        <v>42</v>
      </c>
      <c r="E66" s="14">
        <f>COUNTIFS('Chi tiết từng link'!$B$2:$B$2505,B66,'Chi tiết từng link'!$F$2:$F$2505,"PHÙ HỢP CAO")</f>
        <v>5</v>
      </c>
      <c r="F66" s="14">
        <f>COUNTIFS('Chi tiết từng link'!$B$2:$B$2505,B66,'Chi tiết từng link'!$F$2:$F$2505,"CÓ THỂ ĐI")</f>
        <v>0</v>
      </c>
      <c r="G66" s="14">
        <f>COUNTIFS('Chi tiết từng link'!$B$2:$B$2505,B66,'Chi tiết từng link'!$F$2:$F$2505,"CẦN SOÁT")</f>
        <v>37</v>
      </c>
      <c r="H66" s="14">
        <f>IFERROR(__xludf.DUMMYFUNCTION("IF(D66=0,0,COUNTUNIQUE(FILTER('Chi tiết từng link'!$E$2:$E$2505,'Chi tiết từng link'!$B$2:$B$2505=B66)))"),2.0)</f>
        <v>2</v>
      </c>
      <c r="I66" s="21" t="str">
        <f>IFERROR(__xludf.DUMMYFUNCTION("IFERROR(TEXTJOIN(CHAR(10),TRUE,BYROW(QUERY('Chi tiết từng link'!$B$2:$E$2505,""select E, count(E) where B = '""&amp;B66&amp;""' group by E order by count(E) desc label count(E) ''"",0),LAMBDA(r,INDEX(r,1,1)&amp;"" – ""&amp;INDEX(r,1,2)&amp;"" link""))),""—"")"),"gửi tiết kiệm online có an toàn không – 21 link
rủi ro khi gửi tiết kiệm online – 21 link")</f>
        <v>gửi tiết kiệm online có an toàn không – 21 link
rủi ro khi gửi tiết kiệm online – 21 link</v>
      </c>
      <c r="J66" s="21" t="str">
        <f>IFERROR(__xludf.DUMMYFUNCTION("IFERROR(TEXTJOIN(CHAR(10),TRUE,FILTER('Chi tiết từng link'!$D$2:$D$2505,'Chi tiết từng link'!$B$2:$B$2505=B66,'Chi tiết từng link'!$F$2:$F$2505&lt;&gt;""CẦN SOÁT"")),""—"")"),"https://techcombank.com/thong-tin/blog/co-nen-gui-tiet-kiem-online
https://techcombank.com/thong-tin/blog/gui-tiet-kiem-online-bi-mat-tien
https://techcombank.com/thong-tin/blog/kinh-nghiem-gui-tiet-kiem-online
https://techcombank.com/thong-tin/blog/cach-"&amp;"gui-tiet-kiem-online
https://techcombank.com/thong-tin/blog/rui-ro-khi-gui-tiet-kiem-ngan-hang")</f>
        <v>https://techcombank.com/thong-tin/blog/co-nen-gui-tiet-kiem-online
https://techcombank.com/thong-tin/blog/gui-tiet-kiem-online-bi-mat-tien
https://techcombank.com/thong-tin/blog/kinh-nghiem-gui-tiet-kiem-online
https://techcombank.com/thong-tin/blog/cach-gui-tiet-kiem-online
https://techcombank.com/thong-tin/blog/rui-ro-khi-gui-tiet-kiem-ngan-hang</v>
      </c>
      <c r="K66" s="21" t="str">
        <f t="shared" si="1"/>
        <v>Có đề xuất dùng được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7">
        <v>66.0</v>
      </c>
      <c r="B67" s="8" t="s">
        <v>355</v>
      </c>
      <c r="C67" s="9" t="s">
        <v>357</v>
      </c>
      <c r="D67" s="12">
        <f>COUNTIF('Chi tiết từng link'!$B$2:$B$2505,B67)</f>
        <v>60</v>
      </c>
      <c r="E67" s="14">
        <f>COUNTIFS('Chi tiết từng link'!$B$2:$B$2505,B67,'Chi tiết từng link'!$F$2:$F$2505,"PHÙ HỢP CAO")</f>
        <v>3</v>
      </c>
      <c r="F67" s="14">
        <f>COUNTIFS('Chi tiết từng link'!$B$2:$B$2505,B67,'Chi tiết từng link'!$F$2:$F$2505,"CÓ THỂ ĐI")</f>
        <v>2</v>
      </c>
      <c r="G67" s="14">
        <f>COUNTIFS('Chi tiết từng link'!$B$2:$B$2505,B67,'Chi tiết từng link'!$F$2:$F$2505,"CẦN SOÁT")</f>
        <v>55</v>
      </c>
      <c r="H67" s="14">
        <f>IFERROR(__xludf.DUMMYFUNCTION("IF(D67=0,0,COUNTUNIQUE(FILTER('Chi tiết từng link'!$E$2:$E$2505,'Chi tiết từng link'!$B$2:$B$2505=B67)))"),3.0)</f>
        <v>3</v>
      </c>
      <c r="I67" s="21" t="str">
        <f>IFERROR(__xludf.DUMMYFUNCTION("IFERROR(TEXTJOIN(CHAR(10),TRUE,BYROW(QUERY('Chi tiết từng link'!$B$2:$E$2505,""select E, count(E) where B = '""&amp;B67&amp;""' group by E order by count(E) desc label count(E) ''"",0),LAMBDA(r,INDEX(r,1,1)&amp;"" – ""&amp;INDEX(r,1,2)&amp;"" link""))),""—"")"),"bảng tính lãi suất vay – 20 link
công cụ tính lãi suất vay ngân hàng – 20 link
công cụ tính lãi vay – 20 link")</f>
        <v>bảng tính lãi suất vay – 20 link
công cụ tính lãi suất vay ngân hàng – 20 link
công cụ tính lãi vay – 20 link</v>
      </c>
      <c r="J67" s="21" t="str">
        <f>IFERROR(__xludf.DUMMYFUNCTION("IFERROR(TEXTJOIN(CHAR(10),TRUE,FILTER('Chi tiết từng link'!$D$2:$D$2505,'Chi tiết từng link'!$B$2:$B$2505=B67,'Chi tiết từng link'!$F$2:$F$2505&lt;&gt;""CẦN SOÁT"")),""—"")"),"https://techcombank.com/thong-tin/blog/vay-100-trieu
https://techcombank.com/thong-tin/blog/vay-200-trieu
https://techcombank.com/thong-tin/blog/vay-300-trieu
https://techcombank.com/thong-tin/blog/vay-tra-gop
https://techcombank.com/thong-tin/blog/dang-v"&amp;"ay-tra-gop-co-vay-them-duoc-khong")</f>
        <v>https://techcombank.com/thong-tin/blog/vay-100-trieu
https://techcombank.com/thong-tin/blog/vay-200-trieu
https://techcombank.com/thong-tin/blog/vay-300-trieu
https://techcombank.com/thong-tin/blog/vay-tra-gop
https://techcombank.com/thong-tin/blog/dang-vay-tra-gop-co-vay-them-duoc-khong</v>
      </c>
      <c r="K67" s="21" t="str">
        <f t="shared" si="1"/>
        <v>Có đề xuất dùng được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7">
        <v>67.0</v>
      </c>
      <c r="B68" s="8" t="s">
        <v>361</v>
      </c>
      <c r="C68" s="9" t="s">
        <v>357</v>
      </c>
      <c r="D68" s="12">
        <f>COUNTIF('Chi tiết từng link'!$B$2:$B$2505,B68)</f>
        <v>62</v>
      </c>
      <c r="E68" s="14">
        <f>COUNTIFS('Chi tiết từng link'!$B$2:$B$2505,B68,'Chi tiết từng link'!$F$2:$F$2505,"PHÙ HỢP CAO")</f>
        <v>2</v>
      </c>
      <c r="F68" s="14">
        <f>COUNTIFS('Chi tiết từng link'!$B$2:$B$2505,B68,'Chi tiết từng link'!$F$2:$F$2505,"CÓ THỂ ĐI")</f>
        <v>3</v>
      </c>
      <c r="G68" s="14">
        <f>COUNTIFS('Chi tiết từng link'!$B$2:$B$2505,B68,'Chi tiết từng link'!$F$2:$F$2505,"CẦN SOÁT")</f>
        <v>57</v>
      </c>
      <c r="H68" s="14">
        <f>IFERROR(__xludf.DUMMYFUNCTION("IF(D68=0,0,COUNTUNIQUE(FILTER('Chi tiết từng link'!$E$2:$E$2505,'Chi tiết từng link'!$B$2:$B$2505=B68)))"),2.0)</f>
        <v>2</v>
      </c>
      <c r="I68" s="21" t="str">
        <f>IFERROR(__xludf.DUMMYFUNCTION("IFERROR(TEXTJOIN(CHAR(10),TRUE,BYROW(QUERY('Chi tiết từng link'!$B$2:$E$2505,""select E, count(E) where B = '""&amp;B68&amp;""' group by E order by count(E) desc label count(E) ''"",0),LAMBDA(r,INDEX(r,1,1)&amp;"" – ""&amp;INDEX(r,1,2)&amp;"" link""))),""—"")"),"bảng tính lãi suất tiết kiệm – 31 link
công cụ tính lãi tiết kiệm – 31 link")</f>
        <v>bảng tính lãi suất tiết kiệm – 31 link
công cụ tính lãi tiết kiệm – 31 link</v>
      </c>
      <c r="J68" s="21" t="str">
        <f>IFERROR(__xludf.DUMMYFUNCTION("IFERROR(TEXTJOIN(CHAR(10),TRUE,FILTER('Chi tiết từng link'!$D$2:$D$2505,'Chi tiết từng link'!$B$2:$B$2505=B68,'Chi tiết từng link'!$F$2:$F$2505&lt;&gt;""CẦN SOÁT"")),""—"")"),"https://techcombank.com/thong-tin/blog/cach-tiet-kiem-100-trieu-1-nam
https://techcombank.com/thong-tin/blog/co-50-trieu-nen-mua-vang-hay-gui-tiet-kiem
https://techcombank.com/thong-tin/blog/gui-tiet-kiem-tich-luy-la-gi
https://techcombank.com/thong-tin/b"&amp;"log/quy-trinh-gui-tien-tiet-kiem
https://techcombank.com/thong-tin/blog/nen-de-tien-trong-the-hay-gui-tiet-kiem")</f>
        <v>https://techcombank.com/thong-tin/blog/cach-tiet-kiem-100-trieu-1-nam
https://techcombank.com/thong-tin/blog/co-50-trieu-nen-mua-vang-hay-gui-tiet-kiem
https://techcombank.com/thong-tin/blog/gui-tiet-kiem-tich-luy-la-gi
https://techcombank.com/thong-tin/blog/quy-trinh-gui-tien-tiet-kiem
https://techcombank.com/thong-tin/blog/nen-de-tien-trong-the-hay-gui-tiet-kiem</v>
      </c>
      <c r="K68" s="21" t="str">
        <f t="shared" si="1"/>
        <v>Có đề xuất dùng được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7">
        <v>68.0</v>
      </c>
      <c r="B69" s="8" t="s">
        <v>366</v>
      </c>
      <c r="C69" s="9" t="s">
        <v>367</v>
      </c>
      <c r="D69" s="12">
        <f>COUNTIF('Chi tiết từng link'!$B$2:$B$2505,B69)</f>
        <v>17</v>
      </c>
      <c r="E69" s="14">
        <f>COUNTIFS('Chi tiết từng link'!$B$2:$B$2505,B69,'Chi tiết từng link'!$F$2:$F$2505,"PHÙ HỢP CAO")</f>
        <v>4</v>
      </c>
      <c r="F69" s="14">
        <f>COUNTIFS('Chi tiết từng link'!$B$2:$B$2505,B69,'Chi tiết từng link'!$F$2:$F$2505,"CÓ THỂ ĐI")</f>
        <v>1</v>
      </c>
      <c r="G69" s="14">
        <f>COUNTIFS('Chi tiết từng link'!$B$2:$B$2505,B69,'Chi tiết từng link'!$F$2:$F$2505,"CẦN SOÁT")</f>
        <v>12</v>
      </c>
      <c r="H69" s="14">
        <f>IFERROR(__xludf.DUMMYFUNCTION("IF(D69=0,0,COUNTUNIQUE(FILTER('Chi tiết từng link'!$E$2:$E$2505,'Chi tiết từng link'!$B$2:$B$2505=B69)))"),3.0)</f>
        <v>3</v>
      </c>
      <c r="I69" s="21" t="str">
        <f>IFERROR(__xludf.DUMMYFUNCTION("IFERROR(TEXTJOIN(CHAR(10),TRUE,BYROW(QUERY('Chi tiết từng link'!$B$2:$E$2505,""select E, count(E) where B = '""&amp;B69&amp;""' group by E order by count(E) desc label count(E) ''"",0),LAMBDA(r,INDEX(r,1,1)&amp;"" – ""&amp;INDEX(r,1,2)&amp;"" link""))),""—"")"),"app vay tiền chỉ cần CCCD – 6 link
app vay tiền nhanh – 6 link
vay tiền online – 5 link")</f>
        <v>app vay tiền chỉ cần CCCD – 6 link
app vay tiền nhanh – 6 link
vay tiền online – 5 link</v>
      </c>
      <c r="J69" s="21" t="str">
        <f>IFERROR(__xludf.DUMMYFUNCTION("IFERROR(TEXTJOIN(CHAR(10),TRUE,FILTER('Chi tiết từng link'!$D$2:$D$2505,'Chi tiết từng link'!$B$2:$B$2505=B69,'Chi tiết từng link'!$F$2:$F$2505&lt;&gt;""CẦN SOÁT"")),""—"")"),"https://techcombank.com/thong-tin/blog/vay-tien-online
https://techcombank.com/thong-tin/blog/vay-ngan-hang-chi-can-cccd
https://techcombank.com/thong-tin/blog/vay-30-trieu
https://techcombank.com/thong-tin/blog/vay-50-trieu
https://techcombank.com/thong-"&amp;"tin/blog/vay-sieu-toc")</f>
        <v>https://techcombank.com/thong-tin/blog/vay-tien-online
https://techcombank.com/thong-tin/blog/vay-ngan-hang-chi-can-cccd
https://techcombank.com/thong-tin/blog/vay-30-trieu
https://techcombank.com/thong-tin/blog/vay-50-trieu
https://techcombank.com/thong-tin/blog/vay-sieu-toc</v>
      </c>
      <c r="K69" s="21" t="str">
        <f t="shared" si="1"/>
        <v>Có đề xuất dùng được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7">
        <v>69.0</v>
      </c>
      <c r="B70" s="8" t="s">
        <v>370</v>
      </c>
      <c r="C70" s="9" t="s">
        <v>367</v>
      </c>
      <c r="D70" s="12">
        <f>COUNTIF('Chi tiết từng link'!$B$2:$B$2505,B70)</f>
        <v>16</v>
      </c>
      <c r="E70" s="14">
        <f>COUNTIFS('Chi tiết từng link'!$B$2:$B$2505,B70,'Chi tiết từng link'!$F$2:$F$2505,"PHÙ HỢP CAO")</f>
        <v>3</v>
      </c>
      <c r="F70" s="14">
        <f>COUNTIFS('Chi tiết từng link'!$B$2:$B$2505,B70,'Chi tiết từng link'!$F$2:$F$2505,"CÓ THỂ ĐI")</f>
        <v>2</v>
      </c>
      <c r="G70" s="14">
        <f>COUNTIFS('Chi tiết từng link'!$B$2:$B$2505,B70,'Chi tiết từng link'!$F$2:$F$2505,"CẦN SOÁT")</f>
        <v>11</v>
      </c>
      <c r="H70" s="14">
        <f>IFERROR(__xludf.DUMMYFUNCTION("IF(D70=0,0,COUNTUNIQUE(FILTER('Chi tiết từng link'!$E$2:$E$2505,'Chi tiết từng link'!$B$2:$B$2505=B70)))"),2.0)</f>
        <v>2</v>
      </c>
      <c r="I70" s="21" t="str">
        <f>IFERROR(__xludf.DUMMYFUNCTION("IFERROR(TEXTJOIN(CHAR(10),TRUE,BYROW(QUERY('Chi tiết từng link'!$B$2:$E$2505,""select E, count(E) where B = '""&amp;B70&amp;""' group by E order by count(E) desc label count(E) ''"",0),LAMBDA(r,INDEX(r,1,1)&amp;"" – ""&amp;INDEX(r,1,2)&amp;"" link""))),""—"")"),"lãi suất vay ngân hàng – 8 link
lãi suất vay ngân hàng mới nhất – 8 link")</f>
        <v>lãi suất vay ngân hàng – 8 link
lãi suất vay ngân hàng mới nhất – 8 link</v>
      </c>
      <c r="J70" s="21" t="str">
        <f>IFERROR(__xludf.DUMMYFUNCTION("IFERROR(TEXTJOIN(CHAR(10),TRUE,FILTER('Chi tiết từng link'!$D$2:$D$2505,'Chi tiết từng link'!$B$2:$B$2505=B70,'Chi tiết từng link'!$F$2:$F$2505&lt;&gt;""CẦN SOÁT"")),""—"")"),"https://techcombank.com/thong-tin/blog/lai-suat-la-gi
https://techcombank.com/thong-tin/blog/lai-suat-vay-tieu-dung
https://techcombank.com/thong-tin/blog/lai-suat-vay-tin-chap
https://techcombank.com/thong-tin/blog/dieu-kien-vay-von-ngan-hang
https://tec"&amp;"hcombank.com/thong-tin/blog/lai-suat-qua-han")</f>
        <v>https://techcombank.com/thong-tin/blog/lai-suat-la-gi
https://techcombank.com/thong-tin/blog/lai-suat-vay-tieu-dung
https://techcombank.com/thong-tin/blog/lai-suat-vay-tin-chap
https://techcombank.com/thong-tin/blog/dieu-kien-vay-von-ngan-hang
https://techcombank.com/thong-tin/blog/lai-suat-qua-han</v>
      </c>
      <c r="K70" s="21" t="str">
        <f t="shared" si="1"/>
        <v>Có đề xuất dùng được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7">
        <v>70.0</v>
      </c>
      <c r="B71" s="8" t="s">
        <v>374</v>
      </c>
      <c r="C71" s="9" t="s">
        <v>367</v>
      </c>
      <c r="D71" s="12">
        <f>COUNTIF('Chi tiết từng link'!$B$2:$B$2505,B71)</f>
        <v>9</v>
      </c>
      <c r="E71" s="14">
        <f>COUNTIFS('Chi tiết từng link'!$B$2:$B$2505,B71,'Chi tiết từng link'!$F$2:$F$2505,"PHÙ HỢP CAO")</f>
        <v>4</v>
      </c>
      <c r="F71" s="14">
        <f>COUNTIFS('Chi tiết từng link'!$B$2:$B$2505,B71,'Chi tiết từng link'!$F$2:$F$2505,"CÓ THỂ ĐI")</f>
        <v>1</v>
      </c>
      <c r="G71" s="14">
        <f>COUNTIFS('Chi tiết từng link'!$B$2:$B$2505,B71,'Chi tiết từng link'!$F$2:$F$2505,"CẦN SOÁT")</f>
        <v>4</v>
      </c>
      <c r="H71" s="14">
        <f>IFERROR(__xludf.DUMMYFUNCTION("IF(D71=0,0,COUNTUNIQUE(FILTER('Chi tiết từng link'!$E$2:$E$2505,'Chi tiết từng link'!$B$2:$B$2505=B71)))"),2.0)</f>
        <v>2</v>
      </c>
      <c r="I71" s="21" t="str">
        <f>IFERROR(__xludf.DUMMYFUNCTION("IFERROR(TEXTJOIN(CHAR(10),TRUE,BYROW(QUERY('Chi tiết từng link'!$B$2:$E$2505,""select E, count(E) where B = '""&amp;B71&amp;""' group by E order by count(E) desc label count(E) ''"",0),LAMBDA(r,INDEX(r,1,1)&amp;"" – ""&amp;INDEX(r,1,2)&amp;"" link""))),""—"")"),"vay thấu chi là gì – 5 link
vay thấu chi – 4 link")</f>
        <v>vay thấu chi là gì – 5 link
vay thấu chi – 4 link</v>
      </c>
      <c r="J71" s="21" t="str">
        <f>IFERROR(__xludf.DUMMYFUNCTION("IFERROR(TEXTJOIN(CHAR(10),TRUE,FILTER('Chi tiết từng link'!$D$2:$D$2505,'Chi tiết từng link'!$B$2:$B$2505=B71,'Chi tiết từng link'!$F$2:$F$2505&lt;&gt;""CẦN SOÁT"")),""—"")"),"https://techcombank.com/thong-tin/blog/han-muc-thau-chi-la-gi
https://techcombank.com/thong-tin/blog/lai-suat-vay-thau-chi
https://techcombank.com/thong-tin/blog/thoi-han-vay-thau-chi
https://techcombank.com/thong-tin/blog/tra-no-vay-thau-chi-nhu-the-nao
"&amp;"https://techcombank.com/thong-tin/blog/vay-han-muc-la-gi")</f>
        <v>https://techcombank.com/thong-tin/blog/han-muc-thau-chi-la-gi
https://techcombank.com/thong-tin/blog/lai-suat-vay-thau-chi
https://techcombank.com/thong-tin/blog/thoi-han-vay-thau-chi
https://techcombank.com/thong-tin/blog/tra-no-vay-thau-chi-nhu-the-nao
https://techcombank.com/thong-tin/blog/vay-han-muc-la-gi</v>
      </c>
      <c r="K71" s="21" t="str">
        <f t="shared" si="1"/>
        <v>Có đề xuất dùng được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7">
        <v>71.0</v>
      </c>
      <c r="B72" s="8" t="s">
        <v>382</v>
      </c>
      <c r="C72" s="9" t="s">
        <v>367</v>
      </c>
      <c r="D72" s="12">
        <f>COUNTIF('Chi tiết từng link'!$B$2:$B$2505,B72)</f>
        <v>16</v>
      </c>
      <c r="E72" s="14">
        <f>COUNTIFS('Chi tiết từng link'!$B$2:$B$2505,B72,'Chi tiết từng link'!$F$2:$F$2505,"PHÙ HỢP CAO")</f>
        <v>4</v>
      </c>
      <c r="F72" s="14">
        <f>COUNTIFS('Chi tiết từng link'!$B$2:$B$2505,B72,'Chi tiết từng link'!$F$2:$F$2505,"CÓ THỂ ĐI")</f>
        <v>1</v>
      </c>
      <c r="G72" s="14">
        <f>COUNTIFS('Chi tiết từng link'!$B$2:$B$2505,B72,'Chi tiết từng link'!$F$2:$F$2505,"CẦN SOÁT")</f>
        <v>11</v>
      </c>
      <c r="H72" s="14">
        <f>IFERROR(__xludf.DUMMYFUNCTION("IF(D72=0,0,COUNTUNIQUE(FILTER('Chi tiết từng link'!$E$2:$E$2505,'Chi tiết từng link'!$B$2:$B$2505=B72)))"),2.0)</f>
        <v>2</v>
      </c>
      <c r="I72" s="21" t="str">
        <f>IFERROR(__xludf.DUMMYFUNCTION("IFERROR(TEXTJOIN(CHAR(10),TRUE,BYROW(QUERY('Chi tiết từng link'!$B$2:$E$2505,""select E, count(E) where B = '""&amp;B72&amp;""' group by E order by count(E) desc label count(E) ''"",0),LAMBDA(r,INDEX(r,1,1)&amp;"" – ""&amp;INDEX(r,1,2)&amp;"" link""))),""—"")"),"kiểm tra nợ xấu – 8 link
tra cứu nợ xấu – 8 link")</f>
        <v>kiểm tra nợ xấu – 8 link
tra cứu nợ xấu – 8 link</v>
      </c>
      <c r="J72" s="21" t="str">
        <f>IFERROR(__xludf.DUMMYFUNCTION("IFERROR(TEXTJOIN(CHAR(10),TRUE,FILTER('Chi tiết từng link'!$D$2:$D$2505,'Chi tiết từng link'!$B$2:$B$2505=B72,'Chi tiết từng link'!$F$2:$F$2505&lt;&gt;""CẦN SOÁT"")),""—"")"),"https://techcombank.com/thong-tin/blog/no-xau-co-lam-the-visa-duoc-khong
https://techcombank.com/thong-tin/blog/no-xau-mo-the-tin-dung-duoc-khong
https://techcombank.com/thong-tin/blog/vay-tin-chap-no-xau
https://techcombank.com/thong-tin/blog/no-xau-co-v"&amp;"ay-the-chap-duoc-khong
https://techcombank.com/thong-tin/blog/no-xau-nhom-2")</f>
        <v>https://techcombank.com/thong-tin/blog/no-xau-co-lam-the-visa-duoc-khong
https://techcombank.com/thong-tin/blog/no-xau-mo-the-tin-dung-duoc-khong
https://techcombank.com/thong-tin/blog/vay-tin-chap-no-xau
https://techcombank.com/thong-tin/blog/no-xau-co-vay-the-chap-duoc-khong
https://techcombank.com/thong-tin/blog/no-xau-nhom-2</v>
      </c>
      <c r="K72" s="21" t="str">
        <f t="shared" si="1"/>
        <v>Có đề xuất dùng được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7">
        <v>72.0</v>
      </c>
      <c r="B73" s="8" t="s">
        <v>387</v>
      </c>
      <c r="C73" s="9" t="s">
        <v>367</v>
      </c>
      <c r="D73" s="12">
        <f>COUNTIF('Chi tiết từng link'!$B$2:$B$2505,B73)</f>
        <v>31</v>
      </c>
      <c r="E73" s="14">
        <f>COUNTIFS('Chi tiết từng link'!$B$2:$B$2505,B73,'Chi tiết từng link'!$F$2:$F$2505,"PHÙ HỢP CAO")</f>
        <v>5</v>
      </c>
      <c r="F73" s="14">
        <f>COUNTIFS('Chi tiết từng link'!$B$2:$B$2505,B73,'Chi tiết từng link'!$F$2:$F$2505,"CÓ THỂ ĐI")</f>
        <v>0</v>
      </c>
      <c r="G73" s="14">
        <f>COUNTIFS('Chi tiết từng link'!$B$2:$B$2505,B73,'Chi tiết từng link'!$F$2:$F$2505,"CẦN SOÁT")</f>
        <v>26</v>
      </c>
      <c r="H73" s="14">
        <f>IFERROR(__xludf.DUMMYFUNCTION("IF(D73=0,0,COUNTUNIQUE(FILTER('Chi tiết từng link'!$E$2:$E$2505,'Chi tiết từng link'!$B$2:$B$2505=B73)))"),1.0)</f>
        <v>1</v>
      </c>
      <c r="I73" s="21" t="str">
        <f>IFERROR(__xludf.DUMMYFUNCTION("IFERROR(TEXTJOIN(CHAR(10),TRUE,BYROW(QUERY('Chi tiết từng link'!$B$2:$E$2505,""select E, count(E) where B = '""&amp;B73&amp;""' group by E order by count(E) desc label count(E) ''"",0),LAMBDA(r,INDEX(r,1,1)&amp;"" – ""&amp;INDEX(r,1,2)&amp;"" link""))),""—"")"),"nên vay tín chấp ở đâu – 31 link")</f>
        <v>nên vay tín chấp ở đâu – 31 link</v>
      </c>
      <c r="J73" s="21" t="str">
        <f>IFERROR(__xludf.DUMMYFUNCTION("IFERROR(TEXTJOIN(CHAR(10),TRUE,FILTER('Chi tiết từng link'!$D$2:$D$2505,'Chi tiết từng link'!$B$2:$B$2505=B73,'Chi tiết từng link'!$F$2:$F$2505&lt;&gt;""CẦN SOÁT"")),""—"")"),"https://techcombank.com/thong-tin/blog/vay-tin-chap-la-gi
https://techcombank.com/thong-tin/blog/ho-so-vay-tin-chap
https://techcombank.com/thong-tin/blog/vay-tin-chap-toi-da-duoc-bao-nhieu
https://techcombank.com/thong-tin/blog/vay-tin-chap-va-vay-the-ch"&amp;"ap
https://techcombank.com/thong-tin/blog/lai-suat-vay-tin-chap")</f>
        <v>https://techcombank.com/thong-tin/blog/vay-tin-chap-la-gi
https://techcombank.com/thong-tin/blog/ho-so-vay-tin-chap
https://techcombank.com/thong-tin/blog/vay-tin-chap-toi-da-duoc-bao-nhieu
https://techcombank.com/thong-tin/blog/vay-tin-chap-va-vay-the-chap
https://techcombank.com/thong-tin/blog/lai-suat-vay-tin-chap</v>
      </c>
      <c r="K73" s="21" t="str">
        <f t="shared" si="1"/>
        <v>Có đề xuất dùng được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7">
        <v>73.0</v>
      </c>
      <c r="B74" s="8" t="s">
        <v>391</v>
      </c>
      <c r="C74" s="9" t="s">
        <v>367</v>
      </c>
      <c r="D74" s="12">
        <f>COUNTIF('Chi tiết từng link'!$B$2:$B$2505,B74)</f>
        <v>16</v>
      </c>
      <c r="E74" s="14">
        <f>COUNTIFS('Chi tiết từng link'!$B$2:$B$2505,B74,'Chi tiết từng link'!$F$2:$F$2505,"PHÙ HỢP CAO")</f>
        <v>2</v>
      </c>
      <c r="F74" s="14">
        <f>COUNTIFS('Chi tiết từng link'!$B$2:$B$2505,B74,'Chi tiết từng link'!$F$2:$F$2505,"CÓ THỂ ĐI")</f>
        <v>3</v>
      </c>
      <c r="G74" s="14">
        <f>COUNTIFS('Chi tiết từng link'!$B$2:$B$2505,B74,'Chi tiết từng link'!$F$2:$F$2505,"CẦN SOÁT")</f>
        <v>11</v>
      </c>
      <c r="H74" s="14">
        <f>IFERROR(__xludf.DUMMYFUNCTION("IF(D74=0,0,COUNTUNIQUE(FILTER('Chi tiết từng link'!$E$2:$E$2505,'Chi tiết từng link'!$B$2:$B$2505=B74)))"),2.0)</f>
        <v>2</v>
      </c>
      <c r="I74" s="21" t="str">
        <f>IFERROR(__xludf.DUMMYFUNCTION("IFERROR(TEXTJOIN(CHAR(10),TRUE,BYROW(QUERY('Chi tiết từng link'!$B$2:$E$2505,""select E, count(E) where B = '""&amp;B74&amp;""' group by E order by count(E) desc label count(E) ''"",0),LAMBDA(r,INDEX(r,1,1)&amp;"" – ""&amp;INDEX(r,1,2)&amp;"" link""))),""—"")"),"nợ xấu – 8 link
nợ xấu là gì – 8 link")</f>
        <v>nợ xấu – 8 link
nợ xấu là gì – 8 link</v>
      </c>
      <c r="J74" s="21" t="str">
        <f>IFERROR(__xludf.DUMMYFUNCTION("IFERROR(TEXTJOIN(CHAR(10),TRUE,FILTER('Chi tiết từng link'!$D$2:$D$2505,'Chi tiết từng link'!$B$2:$B$2505=B74,'Chi tiết từng link'!$F$2:$F$2505&lt;&gt;""CẦN SOÁT"")),""—"")"),"https://techcombank.com/thong-tin/blog/no-chu-y-la-gi
https://techcombank.com/thong-tin/blog/no-nhom-3
https://techcombank.com/thong-tin/blog/du-no-tin-dung-la-gi
https://techcombank.com/thong-tin/blog/no-the-tin-dung-qua-han
https://techcombank.com/thong"&amp;"-tin/blog/no-xau")</f>
        <v>https://techcombank.com/thong-tin/blog/no-chu-y-la-gi
https://techcombank.com/thong-tin/blog/no-nhom-3
https://techcombank.com/thong-tin/blog/du-no-tin-dung-la-gi
https://techcombank.com/thong-tin/blog/no-the-tin-dung-qua-han
https://techcombank.com/thong-tin/blog/no-xau</v>
      </c>
      <c r="K74" s="21" t="str">
        <f t="shared" si="1"/>
        <v>Có đề xuất dùng được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7">
        <v>74.0</v>
      </c>
      <c r="B75" s="8" t="s">
        <v>393</v>
      </c>
      <c r="C75" s="9" t="s">
        <v>367</v>
      </c>
      <c r="D75" s="12">
        <f>COUNTIF('Chi tiết từng link'!$B$2:$B$2505,B75)</f>
        <v>34</v>
      </c>
      <c r="E75" s="14">
        <f>COUNTIFS('Chi tiết từng link'!$B$2:$B$2505,B75,'Chi tiết từng link'!$F$2:$F$2505,"PHÙ HỢP CAO")</f>
        <v>2</v>
      </c>
      <c r="F75" s="14">
        <f>COUNTIFS('Chi tiết từng link'!$B$2:$B$2505,B75,'Chi tiết từng link'!$F$2:$F$2505,"CÓ THỂ ĐI")</f>
        <v>3</v>
      </c>
      <c r="G75" s="14">
        <f>COUNTIFS('Chi tiết từng link'!$B$2:$B$2505,B75,'Chi tiết từng link'!$F$2:$F$2505,"CẦN SOÁT")</f>
        <v>29</v>
      </c>
      <c r="H75" s="14">
        <f>IFERROR(__xludf.DUMMYFUNCTION("IF(D75=0,0,COUNTUNIQUE(FILTER('Chi tiết từng link'!$E$2:$E$2505,'Chi tiết từng link'!$B$2:$B$2505=B75)))"),1.0)</f>
        <v>1</v>
      </c>
      <c r="I75" s="21" t="str">
        <f>IFERROR(__xludf.DUMMYFUNCTION("IFERROR(TEXTJOIN(CHAR(10),TRUE,BYROW(QUERY('Chi tiết từng link'!$B$2:$E$2505,""select E, count(E) where B = '""&amp;B75&amp;""' group by E order by count(E) desc label count(E) ''"",0),LAMBDA(r,INDEX(r,1,1)&amp;"" – ""&amp;INDEX(r,1,2)&amp;"" link""))),""—"")"),"vay tín chấp không trả được có sao không – 34 link")</f>
        <v>vay tín chấp không trả được có sao không – 34 link</v>
      </c>
      <c r="J75" s="21" t="str">
        <f>IFERROR(__xludf.DUMMYFUNCTION("IFERROR(TEXTJOIN(CHAR(10),TRUE,FILTER('Chi tiết từng link'!$D$2:$D$2505,'Chi tiết từng link'!$B$2:$B$2505=B75,'Chi tiết từng link'!$F$2:$F$2505&lt;&gt;""CẦN SOÁT"")),""—"")"),"https://techcombank.com/thong-tin/blog/vay-the-chap-khong-tra-duoc
https://techcombank.com/thong-tin/blog/lai-suat-qua-han
https://techcombank.com/thong-tin/blog/no-the-tin-dung-qua-han
https://techcombank.com/thong-tin/blog/vay-tin-chap-la-gi
https://tec"&amp;"hcombank.com/thong-tin/blog/tat-toan")</f>
        <v>https://techcombank.com/thong-tin/blog/vay-the-chap-khong-tra-duoc
https://techcombank.com/thong-tin/blog/lai-suat-qua-han
https://techcombank.com/thong-tin/blog/no-the-tin-dung-qua-han
https://techcombank.com/thong-tin/blog/vay-tin-chap-la-gi
https://techcombank.com/thong-tin/blog/tat-toan</v>
      </c>
      <c r="K75" s="21" t="str">
        <f t="shared" si="1"/>
        <v>Có đề xuất dùng được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75.0</v>
      </c>
      <c r="B76" s="8" t="s">
        <v>395</v>
      </c>
      <c r="C76" s="9" t="s">
        <v>396</v>
      </c>
      <c r="D76" s="12">
        <f>COUNTIF('Chi tiết từng link'!$B$2:$B$2505,B76)</f>
        <v>61</v>
      </c>
      <c r="E76" s="14">
        <f>COUNTIFS('Chi tiết từng link'!$B$2:$B$2505,B76,'Chi tiết từng link'!$F$2:$F$2505,"PHÙ HỢP CAO")</f>
        <v>5</v>
      </c>
      <c r="F76" s="14">
        <f>COUNTIFS('Chi tiết từng link'!$B$2:$B$2505,B76,'Chi tiết từng link'!$F$2:$F$2505,"CÓ THỂ ĐI")</f>
        <v>0</v>
      </c>
      <c r="G76" s="14">
        <f>COUNTIFS('Chi tiết từng link'!$B$2:$B$2505,B76,'Chi tiết từng link'!$F$2:$F$2505,"CẦN SOÁT")</f>
        <v>56</v>
      </c>
      <c r="H76" s="14">
        <f>IFERROR(__xludf.DUMMYFUNCTION("IF(D76=0,0,COUNTUNIQUE(FILTER('Chi tiết từng link'!$E$2:$E$2505,'Chi tiết từng link'!$B$2:$B$2505=B76)))"),3.0)</f>
        <v>3</v>
      </c>
      <c r="I76" s="21" t="str">
        <f>IFERROR(__xludf.DUMMYFUNCTION("IFERROR(TEXTJOIN(CHAR(10),TRUE,BYROW(QUERY('Chi tiết từng link'!$B$2:$E$2505,""select E, count(E) where B = '""&amp;B76&amp;""' group by E order by count(E) desc label count(E) ''"",0),LAMBDA(r,INDEX(r,1,1)&amp;"" – ""&amp;INDEX(r,1,2)&amp;"" link""))),""—"")"),"phương pháp đầu tư chứng chỉ quỹ – 21 link
cách đầu tư chứng chỉ quỹ – 20 link
đầu tư chứng chỉ quỹ cho người mới – 20 link")</f>
        <v>phương pháp đầu tư chứng chỉ quỹ – 21 link
cách đầu tư chứng chỉ quỹ – 20 link
đầu tư chứng chỉ quỹ cho người mới – 20 link</v>
      </c>
      <c r="J76" s="21" t="str">
        <f>IFERROR(__xludf.DUMMYFUNCTION("IFERROR(TEXTJOIN(CHAR(10),TRUE,FILTER('Chi tiết từng link'!$D$2:$D$2505,'Chi tiết từng link'!$B$2:$B$2505=B76,'Chi tiết từng link'!$F$2:$F$2505&lt;&gt;""CẦN SOÁT"")),""—"")"),"https://techcombank.com/thong-tin/blog/chung-chi-quy
https://techcombank.com/thong-tin/blog/mua-chung-chi-quy
https://techcombank.com/thong-tin/blog/dau-tu-quy-mo
https://techcombank.com/thong-tin/blog/app-theo-doi-chung-chi-quy
https://techcombank.com/th"&amp;"ong-tin/blog/chung-chi-quy-va-co-phieu")</f>
        <v>https://techcombank.com/thong-tin/blog/chung-chi-quy
https://techcombank.com/thong-tin/blog/mua-chung-chi-quy
https://techcombank.com/thong-tin/blog/dau-tu-quy-mo
https://techcombank.com/thong-tin/blog/app-theo-doi-chung-chi-quy
https://techcombank.com/thong-tin/blog/chung-chi-quy-va-co-phieu</v>
      </c>
      <c r="K76" s="21" t="str">
        <f t="shared" si="1"/>
        <v>Có đề xuất dùng được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26"/>
      <c r="B77" s="27" t="s">
        <v>398</v>
      </c>
      <c r="C77" s="28"/>
      <c r="D77" s="26">
        <f t="shared" ref="D77:G77" si="2">SUM(D2:D76)</f>
        <v>2504</v>
      </c>
      <c r="E77" s="26">
        <f t="shared" si="2"/>
        <v>224</v>
      </c>
      <c r="F77" s="26">
        <f t="shared" si="2"/>
        <v>143</v>
      </c>
      <c r="G77" s="26">
        <f t="shared" si="2"/>
        <v>2137</v>
      </c>
      <c r="H77" s="29" t="s">
        <v>399</v>
      </c>
      <c r="I77" s="30" t="s">
        <v>399</v>
      </c>
      <c r="J77" s="30" t="s">
        <v>399</v>
      </c>
      <c r="K77" s="28" t="str">
        <f>COUNTIF(K2:K76,"Có đề xuất dùng được")&amp;"/75 trang có đề xuất dùng được"</f>
        <v>75/75 trang có đề xuất dùng được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25"/>
      <c r="B78" s="5"/>
      <c r="C78" s="5"/>
      <c r="D78" s="5"/>
      <c r="E78" s="25"/>
      <c r="F78" s="25"/>
      <c r="G78" s="2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25"/>
      <c r="B79" s="5"/>
      <c r="C79" s="5"/>
      <c r="D79" s="5"/>
      <c r="E79" s="25"/>
      <c r="F79" s="25"/>
      <c r="G79" s="2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25"/>
      <c r="B80" s="5"/>
      <c r="C80" s="5"/>
      <c r="D80" s="5"/>
      <c r="E80" s="25"/>
      <c r="F80" s="25"/>
      <c r="G80" s="2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25"/>
      <c r="B81" s="5"/>
      <c r="C81" s="5"/>
      <c r="D81" s="5"/>
      <c r="E81" s="25"/>
      <c r="F81" s="25"/>
      <c r="G81" s="2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25"/>
      <c r="B82" s="5"/>
      <c r="C82" s="5"/>
      <c r="D82" s="5"/>
      <c r="E82" s="25"/>
      <c r="F82" s="25"/>
      <c r="G82" s="2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25"/>
      <c r="B83" s="5"/>
      <c r="C83" s="5"/>
      <c r="D83" s="5"/>
      <c r="E83" s="25"/>
      <c r="F83" s="25"/>
      <c r="G83" s="2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25"/>
      <c r="B84" s="5"/>
      <c r="C84" s="5"/>
      <c r="D84" s="5"/>
      <c r="E84" s="25"/>
      <c r="F84" s="25"/>
      <c r="G84" s="2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25"/>
      <c r="B85" s="5"/>
      <c r="C85" s="5"/>
      <c r="D85" s="5"/>
      <c r="E85" s="25"/>
      <c r="F85" s="25"/>
      <c r="G85" s="2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25"/>
      <c r="B86" s="5"/>
      <c r="C86" s="5"/>
      <c r="D86" s="5"/>
      <c r="E86" s="25"/>
      <c r="F86" s="25"/>
      <c r="G86" s="2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25"/>
      <c r="B87" s="5"/>
      <c r="C87" s="5"/>
      <c r="D87" s="5"/>
      <c r="E87" s="25"/>
      <c r="F87" s="25"/>
      <c r="G87" s="2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25"/>
      <c r="B88" s="5"/>
      <c r="C88" s="5"/>
      <c r="D88" s="5"/>
      <c r="E88" s="25"/>
      <c r="F88" s="25"/>
      <c r="G88" s="2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25"/>
      <c r="B89" s="5"/>
      <c r="C89" s="5"/>
      <c r="D89" s="5"/>
      <c r="E89" s="25"/>
      <c r="F89" s="25"/>
      <c r="G89" s="2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25"/>
      <c r="B90" s="5"/>
      <c r="C90" s="5"/>
      <c r="D90" s="5"/>
      <c r="E90" s="25"/>
      <c r="F90" s="25"/>
      <c r="G90" s="2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25"/>
      <c r="B91" s="5"/>
      <c r="C91" s="5"/>
      <c r="D91" s="5"/>
      <c r="E91" s="25"/>
      <c r="F91" s="25"/>
      <c r="G91" s="2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25"/>
      <c r="B92" s="5"/>
      <c r="C92" s="5"/>
      <c r="D92" s="5"/>
      <c r="E92" s="25"/>
      <c r="F92" s="25"/>
      <c r="G92" s="2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25"/>
      <c r="B93" s="5"/>
      <c r="C93" s="5"/>
      <c r="D93" s="5"/>
      <c r="E93" s="25"/>
      <c r="F93" s="25"/>
      <c r="G93" s="2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25"/>
      <c r="B94" s="5"/>
      <c r="C94" s="5"/>
      <c r="D94" s="5"/>
      <c r="E94" s="25"/>
      <c r="F94" s="25"/>
      <c r="G94" s="2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25"/>
      <c r="B95" s="5"/>
      <c r="C95" s="5"/>
      <c r="D95" s="5"/>
      <c r="E95" s="25"/>
      <c r="F95" s="25"/>
      <c r="G95" s="2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25"/>
      <c r="B96" s="5"/>
      <c r="C96" s="5"/>
      <c r="D96" s="5"/>
      <c r="E96" s="25"/>
      <c r="F96" s="25"/>
      <c r="G96" s="2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25"/>
      <c r="B97" s="5"/>
      <c r="C97" s="5"/>
      <c r="D97" s="5"/>
      <c r="E97" s="25"/>
      <c r="F97" s="25"/>
      <c r="G97" s="2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25"/>
      <c r="B98" s="5"/>
      <c r="C98" s="5"/>
      <c r="D98" s="5"/>
      <c r="E98" s="25"/>
      <c r="F98" s="25"/>
      <c r="G98" s="2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25"/>
      <c r="B99" s="5"/>
      <c r="C99" s="5"/>
      <c r="D99" s="5"/>
      <c r="E99" s="25"/>
      <c r="F99" s="25"/>
      <c r="G99" s="2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25"/>
      <c r="B100" s="5"/>
      <c r="C100" s="5"/>
      <c r="D100" s="5"/>
      <c r="E100" s="25"/>
      <c r="F100" s="25"/>
      <c r="G100" s="2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25"/>
      <c r="B101" s="5"/>
      <c r="C101" s="5"/>
      <c r="D101" s="5"/>
      <c r="E101" s="25"/>
      <c r="F101" s="25"/>
      <c r="G101" s="2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25"/>
      <c r="B102" s="5"/>
      <c r="C102" s="5"/>
      <c r="D102" s="5"/>
      <c r="E102" s="25"/>
      <c r="F102" s="25"/>
      <c r="G102" s="2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25"/>
      <c r="B103" s="5"/>
      <c r="C103" s="5"/>
      <c r="D103" s="5"/>
      <c r="E103" s="25"/>
      <c r="F103" s="25"/>
      <c r="G103" s="2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25"/>
      <c r="B104" s="5"/>
      <c r="C104" s="5"/>
      <c r="D104" s="5"/>
      <c r="E104" s="25"/>
      <c r="F104" s="25"/>
      <c r="G104" s="2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25"/>
      <c r="B105" s="5"/>
      <c r="C105" s="5"/>
      <c r="D105" s="5"/>
      <c r="E105" s="25"/>
      <c r="F105" s="25"/>
      <c r="G105" s="2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25"/>
      <c r="B106" s="5"/>
      <c r="C106" s="5"/>
      <c r="D106" s="5"/>
      <c r="E106" s="25"/>
      <c r="F106" s="25"/>
      <c r="G106" s="2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25"/>
      <c r="B107" s="5"/>
      <c r="C107" s="5"/>
      <c r="D107" s="5"/>
      <c r="E107" s="25"/>
      <c r="F107" s="25"/>
      <c r="G107" s="2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25"/>
      <c r="B108" s="5"/>
      <c r="C108" s="5"/>
      <c r="D108" s="5"/>
      <c r="E108" s="25"/>
      <c r="F108" s="25"/>
      <c r="G108" s="2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25"/>
      <c r="B109" s="5"/>
      <c r="C109" s="5"/>
      <c r="D109" s="5"/>
      <c r="E109" s="25"/>
      <c r="F109" s="25"/>
      <c r="G109" s="2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25"/>
      <c r="B110" s="5"/>
      <c r="C110" s="5"/>
      <c r="D110" s="5"/>
      <c r="E110" s="25"/>
      <c r="F110" s="25"/>
      <c r="G110" s="2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25"/>
      <c r="B111" s="5"/>
      <c r="C111" s="5"/>
      <c r="D111" s="5"/>
      <c r="E111" s="25"/>
      <c r="F111" s="25"/>
      <c r="G111" s="2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25"/>
      <c r="B112" s="5"/>
      <c r="C112" s="5"/>
      <c r="D112" s="5"/>
      <c r="E112" s="25"/>
      <c r="F112" s="25"/>
      <c r="G112" s="2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25"/>
      <c r="B113" s="5"/>
      <c r="C113" s="5"/>
      <c r="D113" s="5"/>
      <c r="E113" s="25"/>
      <c r="F113" s="25"/>
      <c r="G113" s="2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25"/>
      <c r="B114" s="5"/>
      <c r="C114" s="5"/>
      <c r="D114" s="5"/>
      <c r="E114" s="25"/>
      <c r="F114" s="25"/>
      <c r="G114" s="2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25"/>
      <c r="B115" s="5"/>
      <c r="C115" s="5"/>
      <c r="D115" s="5"/>
      <c r="E115" s="25"/>
      <c r="F115" s="25"/>
      <c r="G115" s="2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25"/>
      <c r="B116" s="5"/>
      <c r="C116" s="5"/>
      <c r="D116" s="5"/>
      <c r="E116" s="25"/>
      <c r="F116" s="25"/>
      <c r="G116" s="2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25"/>
      <c r="B117" s="5"/>
      <c r="C117" s="5"/>
      <c r="D117" s="5"/>
      <c r="E117" s="25"/>
      <c r="F117" s="25"/>
      <c r="G117" s="2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25"/>
      <c r="B118" s="5"/>
      <c r="C118" s="5"/>
      <c r="D118" s="5"/>
      <c r="E118" s="25"/>
      <c r="F118" s="25"/>
      <c r="G118" s="2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25"/>
      <c r="B119" s="5"/>
      <c r="C119" s="5"/>
      <c r="D119" s="5"/>
      <c r="E119" s="25"/>
      <c r="F119" s="25"/>
      <c r="G119" s="2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25"/>
      <c r="B120" s="5"/>
      <c r="C120" s="5"/>
      <c r="D120" s="5"/>
      <c r="E120" s="25"/>
      <c r="F120" s="25"/>
      <c r="G120" s="2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25"/>
      <c r="B121" s="5"/>
      <c r="C121" s="5"/>
      <c r="D121" s="5"/>
      <c r="E121" s="25"/>
      <c r="F121" s="25"/>
      <c r="G121" s="2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25"/>
      <c r="B122" s="5"/>
      <c r="C122" s="5"/>
      <c r="D122" s="5"/>
      <c r="E122" s="25"/>
      <c r="F122" s="25"/>
      <c r="G122" s="2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25"/>
      <c r="B123" s="5"/>
      <c r="C123" s="5"/>
      <c r="D123" s="5"/>
      <c r="E123" s="25"/>
      <c r="F123" s="25"/>
      <c r="G123" s="2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25"/>
      <c r="B124" s="5"/>
      <c r="C124" s="5"/>
      <c r="D124" s="5"/>
      <c r="E124" s="25"/>
      <c r="F124" s="25"/>
      <c r="G124" s="2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25"/>
      <c r="B125" s="5"/>
      <c r="C125" s="5"/>
      <c r="D125" s="5"/>
      <c r="E125" s="25"/>
      <c r="F125" s="25"/>
      <c r="G125" s="2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25"/>
      <c r="B126" s="5"/>
      <c r="C126" s="5"/>
      <c r="D126" s="5"/>
      <c r="E126" s="25"/>
      <c r="F126" s="25"/>
      <c r="G126" s="2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25"/>
      <c r="B127" s="5"/>
      <c r="C127" s="5"/>
      <c r="D127" s="5"/>
      <c r="E127" s="25"/>
      <c r="F127" s="25"/>
      <c r="G127" s="2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25"/>
      <c r="B128" s="5"/>
      <c r="C128" s="5"/>
      <c r="D128" s="5"/>
      <c r="E128" s="25"/>
      <c r="F128" s="25"/>
      <c r="G128" s="2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25"/>
      <c r="B129" s="5"/>
      <c r="C129" s="5"/>
      <c r="D129" s="5"/>
      <c r="E129" s="25"/>
      <c r="F129" s="25"/>
      <c r="G129" s="2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25"/>
      <c r="B130" s="5"/>
      <c r="C130" s="5"/>
      <c r="D130" s="5"/>
      <c r="E130" s="25"/>
      <c r="F130" s="25"/>
      <c r="G130" s="2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25"/>
      <c r="B131" s="5"/>
      <c r="C131" s="5"/>
      <c r="D131" s="5"/>
      <c r="E131" s="25"/>
      <c r="F131" s="25"/>
      <c r="G131" s="2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25"/>
      <c r="B132" s="5"/>
      <c r="C132" s="5"/>
      <c r="D132" s="5"/>
      <c r="E132" s="25"/>
      <c r="F132" s="25"/>
      <c r="G132" s="2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25"/>
      <c r="B133" s="5"/>
      <c r="C133" s="5"/>
      <c r="D133" s="5"/>
      <c r="E133" s="25"/>
      <c r="F133" s="25"/>
      <c r="G133" s="2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25"/>
      <c r="B134" s="5"/>
      <c r="C134" s="5"/>
      <c r="D134" s="5"/>
      <c r="E134" s="25"/>
      <c r="F134" s="25"/>
      <c r="G134" s="2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25"/>
      <c r="B135" s="5"/>
      <c r="C135" s="5"/>
      <c r="D135" s="5"/>
      <c r="E135" s="25"/>
      <c r="F135" s="25"/>
      <c r="G135" s="2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25"/>
      <c r="B136" s="5"/>
      <c r="C136" s="5"/>
      <c r="D136" s="5"/>
      <c r="E136" s="25"/>
      <c r="F136" s="25"/>
      <c r="G136" s="2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25"/>
      <c r="B137" s="5"/>
      <c r="C137" s="5"/>
      <c r="D137" s="5"/>
      <c r="E137" s="25"/>
      <c r="F137" s="25"/>
      <c r="G137" s="2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25"/>
      <c r="B138" s="5"/>
      <c r="C138" s="5"/>
      <c r="D138" s="5"/>
      <c r="E138" s="25"/>
      <c r="F138" s="25"/>
      <c r="G138" s="2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25"/>
      <c r="B139" s="5"/>
      <c r="C139" s="5"/>
      <c r="D139" s="5"/>
      <c r="E139" s="25"/>
      <c r="F139" s="25"/>
      <c r="G139" s="2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25"/>
      <c r="B140" s="5"/>
      <c r="C140" s="5"/>
      <c r="D140" s="5"/>
      <c r="E140" s="25"/>
      <c r="F140" s="25"/>
      <c r="G140" s="2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25"/>
      <c r="B141" s="5"/>
      <c r="C141" s="5"/>
      <c r="D141" s="5"/>
      <c r="E141" s="25"/>
      <c r="F141" s="25"/>
      <c r="G141" s="2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25"/>
      <c r="B142" s="5"/>
      <c r="C142" s="5"/>
      <c r="D142" s="5"/>
      <c r="E142" s="25"/>
      <c r="F142" s="25"/>
      <c r="G142" s="2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25"/>
      <c r="B143" s="5"/>
      <c r="C143" s="5"/>
      <c r="D143" s="5"/>
      <c r="E143" s="25"/>
      <c r="F143" s="25"/>
      <c r="G143" s="2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25"/>
      <c r="B144" s="5"/>
      <c r="C144" s="5"/>
      <c r="D144" s="5"/>
      <c r="E144" s="25"/>
      <c r="F144" s="25"/>
      <c r="G144" s="2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25"/>
      <c r="B145" s="5"/>
      <c r="C145" s="5"/>
      <c r="D145" s="5"/>
      <c r="E145" s="25"/>
      <c r="F145" s="25"/>
      <c r="G145" s="2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25"/>
      <c r="B146" s="5"/>
      <c r="C146" s="5"/>
      <c r="D146" s="5"/>
      <c r="E146" s="25"/>
      <c r="F146" s="25"/>
      <c r="G146" s="2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25"/>
      <c r="B147" s="5"/>
      <c r="C147" s="5"/>
      <c r="D147" s="5"/>
      <c r="E147" s="25"/>
      <c r="F147" s="25"/>
      <c r="G147" s="2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25"/>
      <c r="B148" s="5"/>
      <c r="C148" s="5"/>
      <c r="D148" s="5"/>
      <c r="E148" s="25"/>
      <c r="F148" s="25"/>
      <c r="G148" s="2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25"/>
      <c r="B149" s="5"/>
      <c r="C149" s="5"/>
      <c r="D149" s="5"/>
      <c r="E149" s="25"/>
      <c r="F149" s="25"/>
      <c r="G149" s="2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25"/>
      <c r="B150" s="5"/>
      <c r="C150" s="5"/>
      <c r="D150" s="5"/>
      <c r="E150" s="25"/>
      <c r="F150" s="25"/>
      <c r="G150" s="2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25"/>
      <c r="B151" s="5"/>
      <c r="C151" s="5"/>
      <c r="D151" s="5"/>
      <c r="E151" s="25"/>
      <c r="F151" s="25"/>
      <c r="G151" s="2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25"/>
      <c r="B152" s="5"/>
      <c r="C152" s="5"/>
      <c r="D152" s="5"/>
      <c r="E152" s="25"/>
      <c r="F152" s="25"/>
      <c r="G152" s="2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25"/>
      <c r="B153" s="5"/>
      <c r="C153" s="5"/>
      <c r="D153" s="5"/>
      <c r="E153" s="25"/>
      <c r="F153" s="25"/>
      <c r="G153" s="2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25"/>
      <c r="B154" s="5"/>
      <c r="C154" s="5"/>
      <c r="D154" s="5"/>
      <c r="E154" s="25"/>
      <c r="F154" s="25"/>
      <c r="G154" s="2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25"/>
      <c r="B155" s="5"/>
      <c r="C155" s="5"/>
      <c r="D155" s="5"/>
      <c r="E155" s="25"/>
      <c r="F155" s="25"/>
      <c r="G155" s="2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25"/>
      <c r="B156" s="5"/>
      <c r="C156" s="5"/>
      <c r="D156" s="5"/>
      <c r="E156" s="25"/>
      <c r="F156" s="25"/>
      <c r="G156" s="2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25"/>
      <c r="B157" s="5"/>
      <c r="C157" s="5"/>
      <c r="D157" s="5"/>
      <c r="E157" s="25"/>
      <c r="F157" s="25"/>
      <c r="G157" s="2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25"/>
      <c r="B158" s="5"/>
      <c r="C158" s="5"/>
      <c r="D158" s="5"/>
      <c r="E158" s="25"/>
      <c r="F158" s="25"/>
      <c r="G158" s="2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25"/>
      <c r="B159" s="5"/>
      <c r="C159" s="5"/>
      <c r="D159" s="5"/>
      <c r="E159" s="25"/>
      <c r="F159" s="25"/>
      <c r="G159" s="2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25"/>
      <c r="B160" s="5"/>
      <c r="C160" s="5"/>
      <c r="D160" s="5"/>
      <c r="E160" s="25"/>
      <c r="F160" s="25"/>
      <c r="G160" s="2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25"/>
      <c r="B161" s="5"/>
      <c r="C161" s="5"/>
      <c r="D161" s="5"/>
      <c r="E161" s="25"/>
      <c r="F161" s="25"/>
      <c r="G161" s="2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25"/>
      <c r="B162" s="5"/>
      <c r="C162" s="5"/>
      <c r="D162" s="5"/>
      <c r="E162" s="25"/>
      <c r="F162" s="25"/>
      <c r="G162" s="2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25"/>
      <c r="B163" s="5"/>
      <c r="C163" s="5"/>
      <c r="D163" s="5"/>
      <c r="E163" s="25"/>
      <c r="F163" s="25"/>
      <c r="G163" s="2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25"/>
      <c r="B164" s="5"/>
      <c r="C164" s="5"/>
      <c r="D164" s="5"/>
      <c r="E164" s="25"/>
      <c r="F164" s="25"/>
      <c r="G164" s="2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25"/>
      <c r="B165" s="5"/>
      <c r="C165" s="5"/>
      <c r="D165" s="5"/>
      <c r="E165" s="25"/>
      <c r="F165" s="25"/>
      <c r="G165" s="2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25"/>
      <c r="B166" s="5"/>
      <c r="C166" s="5"/>
      <c r="D166" s="5"/>
      <c r="E166" s="25"/>
      <c r="F166" s="25"/>
      <c r="G166" s="2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25"/>
      <c r="B167" s="5"/>
      <c r="C167" s="5"/>
      <c r="D167" s="5"/>
      <c r="E167" s="25"/>
      <c r="F167" s="25"/>
      <c r="G167" s="2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25"/>
      <c r="B168" s="5"/>
      <c r="C168" s="5"/>
      <c r="D168" s="5"/>
      <c r="E168" s="25"/>
      <c r="F168" s="25"/>
      <c r="G168" s="2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25"/>
      <c r="B169" s="5"/>
      <c r="C169" s="5"/>
      <c r="D169" s="5"/>
      <c r="E169" s="25"/>
      <c r="F169" s="25"/>
      <c r="G169" s="2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25"/>
      <c r="B170" s="5"/>
      <c r="C170" s="5"/>
      <c r="D170" s="5"/>
      <c r="E170" s="25"/>
      <c r="F170" s="25"/>
      <c r="G170" s="2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25"/>
      <c r="B171" s="5"/>
      <c r="C171" s="5"/>
      <c r="D171" s="5"/>
      <c r="E171" s="25"/>
      <c r="F171" s="25"/>
      <c r="G171" s="2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25"/>
      <c r="B172" s="5"/>
      <c r="C172" s="5"/>
      <c r="D172" s="5"/>
      <c r="E172" s="25"/>
      <c r="F172" s="25"/>
      <c r="G172" s="2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25"/>
      <c r="B173" s="5"/>
      <c r="C173" s="5"/>
      <c r="D173" s="5"/>
      <c r="E173" s="25"/>
      <c r="F173" s="25"/>
      <c r="G173" s="2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25"/>
      <c r="B174" s="5"/>
      <c r="C174" s="5"/>
      <c r="D174" s="5"/>
      <c r="E174" s="25"/>
      <c r="F174" s="25"/>
      <c r="G174" s="2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25"/>
      <c r="B175" s="5"/>
      <c r="C175" s="5"/>
      <c r="D175" s="5"/>
      <c r="E175" s="25"/>
      <c r="F175" s="25"/>
      <c r="G175" s="2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25"/>
      <c r="B176" s="5"/>
      <c r="C176" s="5"/>
      <c r="D176" s="5"/>
      <c r="E176" s="25"/>
      <c r="F176" s="25"/>
      <c r="G176" s="2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25"/>
      <c r="B177" s="5"/>
      <c r="C177" s="5"/>
      <c r="D177" s="5"/>
      <c r="E177" s="25"/>
      <c r="F177" s="25"/>
      <c r="G177" s="2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25"/>
      <c r="B178" s="5"/>
      <c r="C178" s="5"/>
      <c r="D178" s="5"/>
      <c r="E178" s="25"/>
      <c r="F178" s="25"/>
      <c r="G178" s="2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25"/>
      <c r="B179" s="5"/>
      <c r="C179" s="5"/>
      <c r="D179" s="5"/>
      <c r="E179" s="25"/>
      <c r="F179" s="25"/>
      <c r="G179" s="2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25"/>
      <c r="B180" s="5"/>
      <c r="C180" s="5"/>
      <c r="D180" s="5"/>
      <c r="E180" s="25"/>
      <c r="F180" s="25"/>
      <c r="G180" s="2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25"/>
      <c r="B181" s="5"/>
      <c r="C181" s="5"/>
      <c r="D181" s="5"/>
      <c r="E181" s="25"/>
      <c r="F181" s="25"/>
      <c r="G181" s="2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25"/>
      <c r="B182" s="5"/>
      <c r="C182" s="5"/>
      <c r="D182" s="5"/>
      <c r="E182" s="25"/>
      <c r="F182" s="25"/>
      <c r="G182" s="2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25"/>
      <c r="B183" s="5"/>
      <c r="C183" s="5"/>
      <c r="D183" s="5"/>
      <c r="E183" s="25"/>
      <c r="F183" s="25"/>
      <c r="G183" s="2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25"/>
      <c r="B184" s="5"/>
      <c r="C184" s="5"/>
      <c r="D184" s="5"/>
      <c r="E184" s="25"/>
      <c r="F184" s="25"/>
      <c r="G184" s="2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25"/>
      <c r="B185" s="5"/>
      <c r="C185" s="5"/>
      <c r="D185" s="5"/>
      <c r="E185" s="25"/>
      <c r="F185" s="25"/>
      <c r="G185" s="2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25"/>
      <c r="B186" s="5"/>
      <c r="C186" s="5"/>
      <c r="D186" s="5"/>
      <c r="E186" s="25"/>
      <c r="F186" s="25"/>
      <c r="G186" s="2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25"/>
      <c r="B187" s="5"/>
      <c r="C187" s="5"/>
      <c r="D187" s="5"/>
      <c r="E187" s="25"/>
      <c r="F187" s="25"/>
      <c r="G187" s="2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25"/>
      <c r="B188" s="5"/>
      <c r="C188" s="5"/>
      <c r="D188" s="5"/>
      <c r="E188" s="25"/>
      <c r="F188" s="25"/>
      <c r="G188" s="2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25"/>
      <c r="B189" s="5"/>
      <c r="C189" s="5"/>
      <c r="D189" s="5"/>
      <c r="E189" s="25"/>
      <c r="F189" s="25"/>
      <c r="G189" s="2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25"/>
      <c r="B190" s="5"/>
      <c r="C190" s="5"/>
      <c r="D190" s="5"/>
      <c r="E190" s="25"/>
      <c r="F190" s="25"/>
      <c r="G190" s="2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25"/>
      <c r="B191" s="5"/>
      <c r="C191" s="5"/>
      <c r="D191" s="5"/>
      <c r="E191" s="25"/>
      <c r="F191" s="25"/>
      <c r="G191" s="2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25"/>
      <c r="B192" s="5"/>
      <c r="C192" s="5"/>
      <c r="D192" s="5"/>
      <c r="E192" s="25"/>
      <c r="F192" s="25"/>
      <c r="G192" s="2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25"/>
      <c r="B193" s="5"/>
      <c r="C193" s="5"/>
      <c r="D193" s="5"/>
      <c r="E193" s="25"/>
      <c r="F193" s="25"/>
      <c r="G193" s="2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25"/>
      <c r="B194" s="5"/>
      <c r="C194" s="5"/>
      <c r="D194" s="5"/>
      <c r="E194" s="25"/>
      <c r="F194" s="25"/>
      <c r="G194" s="2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25"/>
      <c r="B195" s="5"/>
      <c r="C195" s="5"/>
      <c r="D195" s="5"/>
      <c r="E195" s="25"/>
      <c r="F195" s="25"/>
      <c r="G195" s="2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25"/>
      <c r="B196" s="5"/>
      <c r="C196" s="5"/>
      <c r="D196" s="5"/>
      <c r="E196" s="25"/>
      <c r="F196" s="25"/>
      <c r="G196" s="2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25"/>
      <c r="B197" s="5"/>
      <c r="C197" s="5"/>
      <c r="D197" s="5"/>
      <c r="E197" s="25"/>
      <c r="F197" s="25"/>
      <c r="G197" s="2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25"/>
      <c r="B198" s="5"/>
      <c r="C198" s="5"/>
      <c r="D198" s="5"/>
      <c r="E198" s="25"/>
      <c r="F198" s="25"/>
      <c r="G198" s="2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25"/>
      <c r="B199" s="5"/>
      <c r="C199" s="5"/>
      <c r="D199" s="5"/>
      <c r="E199" s="25"/>
      <c r="F199" s="25"/>
      <c r="G199" s="2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25"/>
      <c r="B200" s="5"/>
      <c r="C200" s="5"/>
      <c r="D200" s="5"/>
      <c r="E200" s="25"/>
      <c r="F200" s="25"/>
      <c r="G200" s="2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25"/>
      <c r="B201" s="5"/>
      <c r="C201" s="5"/>
      <c r="D201" s="5"/>
      <c r="E201" s="25"/>
      <c r="F201" s="25"/>
      <c r="G201" s="2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25"/>
      <c r="B202" s="5"/>
      <c r="C202" s="5"/>
      <c r="D202" s="5"/>
      <c r="E202" s="25"/>
      <c r="F202" s="25"/>
      <c r="G202" s="2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25"/>
      <c r="B203" s="5"/>
      <c r="C203" s="5"/>
      <c r="D203" s="5"/>
      <c r="E203" s="25"/>
      <c r="F203" s="25"/>
      <c r="G203" s="2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25"/>
      <c r="B204" s="5"/>
      <c r="C204" s="5"/>
      <c r="D204" s="5"/>
      <c r="E204" s="25"/>
      <c r="F204" s="25"/>
      <c r="G204" s="2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25"/>
      <c r="B205" s="5"/>
      <c r="C205" s="5"/>
      <c r="D205" s="5"/>
      <c r="E205" s="25"/>
      <c r="F205" s="25"/>
      <c r="G205" s="2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25"/>
      <c r="B206" s="5"/>
      <c r="C206" s="5"/>
      <c r="D206" s="5"/>
      <c r="E206" s="25"/>
      <c r="F206" s="25"/>
      <c r="G206" s="2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25"/>
      <c r="B207" s="5"/>
      <c r="C207" s="5"/>
      <c r="D207" s="5"/>
      <c r="E207" s="25"/>
      <c r="F207" s="25"/>
      <c r="G207" s="2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25"/>
      <c r="B208" s="5"/>
      <c r="C208" s="5"/>
      <c r="D208" s="5"/>
      <c r="E208" s="25"/>
      <c r="F208" s="25"/>
      <c r="G208" s="2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25"/>
      <c r="B209" s="5"/>
      <c r="C209" s="5"/>
      <c r="D209" s="5"/>
      <c r="E209" s="25"/>
      <c r="F209" s="25"/>
      <c r="G209" s="2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25"/>
      <c r="B210" s="5"/>
      <c r="C210" s="5"/>
      <c r="D210" s="5"/>
      <c r="E210" s="25"/>
      <c r="F210" s="25"/>
      <c r="G210" s="2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25"/>
      <c r="B211" s="5"/>
      <c r="C211" s="5"/>
      <c r="D211" s="5"/>
      <c r="E211" s="25"/>
      <c r="F211" s="25"/>
      <c r="G211" s="2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25"/>
      <c r="B212" s="5"/>
      <c r="C212" s="5"/>
      <c r="D212" s="5"/>
      <c r="E212" s="25"/>
      <c r="F212" s="25"/>
      <c r="G212" s="2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25"/>
      <c r="B213" s="5"/>
      <c r="C213" s="5"/>
      <c r="D213" s="5"/>
      <c r="E213" s="25"/>
      <c r="F213" s="25"/>
      <c r="G213" s="2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25"/>
      <c r="B214" s="5"/>
      <c r="C214" s="5"/>
      <c r="D214" s="5"/>
      <c r="E214" s="25"/>
      <c r="F214" s="25"/>
      <c r="G214" s="2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25"/>
      <c r="B215" s="5"/>
      <c r="C215" s="5"/>
      <c r="D215" s="5"/>
      <c r="E215" s="25"/>
      <c r="F215" s="25"/>
      <c r="G215" s="2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25"/>
      <c r="B216" s="5"/>
      <c r="C216" s="5"/>
      <c r="D216" s="5"/>
      <c r="E216" s="25"/>
      <c r="F216" s="25"/>
      <c r="G216" s="2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25"/>
      <c r="B217" s="5"/>
      <c r="C217" s="5"/>
      <c r="D217" s="5"/>
      <c r="E217" s="25"/>
      <c r="F217" s="25"/>
      <c r="G217" s="2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25"/>
      <c r="B218" s="5"/>
      <c r="C218" s="5"/>
      <c r="D218" s="5"/>
      <c r="E218" s="25"/>
      <c r="F218" s="25"/>
      <c r="G218" s="2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25"/>
      <c r="B219" s="5"/>
      <c r="C219" s="5"/>
      <c r="D219" s="5"/>
      <c r="E219" s="25"/>
      <c r="F219" s="25"/>
      <c r="G219" s="2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25"/>
      <c r="B220" s="5"/>
      <c r="C220" s="5"/>
      <c r="D220" s="5"/>
      <c r="E220" s="25"/>
      <c r="F220" s="25"/>
      <c r="G220" s="2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25"/>
      <c r="B221" s="5"/>
      <c r="C221" s="5"/>
      <c r="D221" s="5"/>
      <c r="E221" s="25"/>
      <c r="F221" s="25"/>
      <c r="G221" s="2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25"/>
      <c r="B222" s="5"/>
      <c r="C222" s="5"/>
      <c r="D222" s="5"/>
      <c r="E222" s="25"/>
      <c r="F222" s="25"/>
      <c r="G222" s="2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25"/>
      <c r="B223" s="5"/>
      <c r="C223" s="5"/>
      <c r="D223" s="5"/>
      <c r="E223" s="25"/>
      <c r="F223" s="25"/>
      <c r="G223" s="2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25"/>
      <c r="B224" s="5"/>
      <c r="C224" s="5"/>
      <c r="D224" s="5"/>
      <c r="E224" s="25"/>
      <c r="F224" s="25"/>
      <c r="G224" s="2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25"/>
      <c r="B225" s="5"/>
      <c r="C225" s="5"/>
      <c r="D225" s="5"/>
      <c r="E225" s="25"/>
      <c r="F225" s="25"/>
      <c r="G225" s="2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25"/>
      <c r="B226" s="5"/>
      <c r="C226" s="5"/>
      <c r="D226" s="5"/>
      <c r="E226" s="25"/>
      <c r="F226" s="25"/>
      <c r="G226" s="2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25"/>
      <c r="B227" s="5"/>
      <c r="C227" s="5"/>
      <c r="D227" s="5"/>
      <c r="E227" s="25"/>
      <c r="F227" s="25"/>
      <c r="G227" s="2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25"/>
      <c r="B228" s="5"/>
      <c r="C228" s="5"/>
      <c r="D228" s="5"/>
      <c r="E228" s="25"/>
      <c r="F228" s="25"/>
      <c r="G228" s="2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25"/>
      <c r="B229" s="5"/>
      <c r="C229" s="5"/>
      <c r="D229" s="5"/>
      <c r="E229" s="25"/>
      <c r="F229" s="25"/>
      <c r="G229" s="2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25"/>
      <c r="B230" s="5"/>
      <c r="C230" s="5"/>
      <c r="D230" s="5"/>
      <c r="E230" s="25"/>
      <c r="F230" s="25"/>
      <c r="G230" s="2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25"/>
      <c r="B231" s="5"/>
      <c r="C231" s="5"/>
      <c r="D231" s="5"/>
      <c r="E231" s="25"/>
      <c r="F231" s="25"/>
      <c r="G231" s="2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25"/>
      <c r="B232" s="5"/>
      <c r="C232" s="5"/>
      <c r="D232" s="5"/>
      <c r="E232" s="25"/>
      <c r="F232" s="25"/>
      <c r="G232" s="2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25"/>
      <c r="B233" s="5"/>
      <c r="C233" s="5"/>
      <c r="D233" s="5"/>
      <c r="E233" s="25"/>
      <c r="F233" s="25"/>
      <c r="G233" s="2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25"/>
      <c r="B234" s="5"/>
      <c r="C234" s="5"/>
      <c r="D234" s="5"/>
      <c r="E234" s="25"/>
      <c r="F234" s="25"/>
      <c r="G234" s="2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25"/>
      <c r="B235" s="5"/>
      <c r="C235" s="5"/>
      <c r="D235" s="5"/>
      <c r="E235" s="25"/>
      <c r="F235" s="25"/>
      <c r="G235" s="2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25"/>
      <c r="B236" s="5"/>
      <c r="C236" s="5"/>
      <c r="D236" s="5"/>
      <c r="E236" s="25"/>
      <c r="F236" s="25"/>
      <c r="G236" s="2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25"/>
      <c r="B237" s="5"/>
      <c r="C237" s="5"/>
      <c r="D237" s="5"/>
      <c r="E237" s="25"/>
      <c r="F237" s="25"/>
      <c r="G237" s="2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25"/>
      <c r="B238" s="5"/>
      <c r="C238" s="5"/>
      <c r="D238" s="5"/>
      <c r="E238" s="25"/>
      <c r="F238" s="25"/>
      <c r="G238" s="2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25"/>
      <c r="B239" s="5"/>
      <c r="C239" s="5"/>
      <c r="D239" s="5"/>
      <c r="E239" s="25"/>
      <c r="F239" s="25"/>
      <c r="G239" s="2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25"/>
      <c r="B240" s="5"/>
      <c r="C240" s="5"/>
      <c r="D240" s="5"/>
      <c r="E240" s="25"/>
      <c r="F240" s="25"/>
      <c r="G240" s="2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25"/>
      <c r="B241" s="5"/>
      <c r="C241" s="5"/>
      <c r="D241" s="5"/>
      <c r="E241" s="25"/>
      <c r="F241" s="25"/>
      <c r="G241" s="2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25"/>
      <c r="B242" s="5"/>
      <c r="C242" s="5"/>
      <c r="D242" s="5"/>
      <c r="E242" s="25"/>
      <c r="F242" s="25"/>
      <c r="G242" s="2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25"/>
      <c r="B243" s="5"/>
      <c r="C243" s="5"/>
      <c r="D243" s="5"/>
      <c r="E243" s="25"/>
      <c r="F243" s="25"/>
      <c r="G243" s="2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25"/>
      <c r="B244" s="5"/>
      <c r="C244" s="5"/>
      <c r="D244" s="5"/>
      <c r="E244" s="25"/>
      <c r="F244" s="25"/>
      <c r="G244" s="2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25"/>
      <c r="B245" s="5"/>
      <c r="C245" s="5"/>
      <c r="D245" s="5"/>
      <c r="E245" s="25"/>
      <c r="F245" s="25"/>
      <c r="G245" s="2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25"/>
      <c r="B246" s="5"/>
      <c r="C246" s="5"/>
      <c r="D246" s="5"/>
      <c r="E246" s="25"/>
      <c r="F246" s="25"/>
      <c r="G246" s="2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25"/>
      <c r="B247" s="5"/>
      <c r="C247" s="5"/>
      <c r="D247" s="5"/>
      <c r="E247" s="25"/>
      <c r="F247" s="25"/>
      <c r="G247" s="2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25"/>
      <c r="B248" s="5"/>
      <c r="C248" s="5"/>
      <c r="D248" s="5"/>
      <c r="E248" s="25"/>
      <c r="F248" s="25"/>
      <c r="G248" s="2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25"/>
      <c r="B249" s="5"/>
      <c r="C249" s="5"/>
      <c r="D249" s="5"/>
      <c r="E249" s="25"/>
      <c r="F249" s="25"/>
      <c r="G249" s="2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25"/>
      <c r="B250" s="5"/>
      <c r="C250" s="5"/>
      <c r="D250" s="5"/>
      <c r="E250" s="25"/>
      <c r="F250" s="25"/>
      <c r="G250" s="2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5"/>
      <c r="B251" s="5"/>
      <c r="C251" s="5"/>
      <c r="D251" s="5"/>
      <c r="E251" s="25"/>
      <c r="F251" s="25"/>
      <c r="G251" s="2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5"/>
      <c r="B252" s="5"/>
      <c r="C252" s="5"/>
      <c r="D252" s="5"/>
      <c r="E252" s="25"/>
      <c r="F252" s="25"/>
      <c r="G252" s="2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5"/>
      <c r="B253" s="5"/>
      <c r="C253" s="5"/>
      <c r="D253" s="5"/>
      <c r="E253" s="25"/>
      <c r="F253" s="25"/>
      <c r="G253" s="2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5"/>
      <c r="B254" s="5"/>
      <c r="C254" s="5"/>
      <c r="D254" s="5"/>
      <c r="E254" s="25"/>
      <c r="F254" s="25"/>
      <c r="G254" s="2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5"/>
      <c r="B255" s="5"/>
      <c r="C255" s="5"/>
      <c r="D255" s="5"/>
      <c r="E255" s="25"/>
      <c r="F255" s="25"/>
      <c r="G255" s="2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5"/>
      <c r="B256" s="5"/>
      <c r="C256" s="5"/>
      <c r="D256" s="5"/>
      <c r="E256" s="25"/>
      <c r="F256" s="25"/>
      <c r="G256" s="2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5"/>
      <c r="B257" s="5"/>
      <c r="C257" s="5"/>
      <c r="D257" s="5"/>
      <c r="E257" s="25"/>
      <c r="F257" s="25"/>
      <c r="G257" s="2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5"/>
      <c r="B258" s="5"/>
      <c r="C258" s="5"/>
      <c r="D258" s="5"/>
      <c r="E258" s="25"/>
      <c r="F258" s="25"/>
      <c r="G258" s="2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5"/>
      <c r="B259" s="5"/>
      <c r="C259" s="5"/>
      <c r="D259" s="5"/>
      <c r="E259" s="25"/>
      <c r="F259" s="25"/>
      <c r="G259" s="2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5"/>
      <c r="B260" s="5"/>
      <c r="C260" s="5"/>
      <c r="D260" s="5"/>
      <c r="E260" s="25"/>
      <c r="F260" s="25"/>
      <c r="G260" s="2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5"/>
      <c r="B261" s="5"/>
      <c r="C261" s="5"/>
      <c r="D261" s="5"/>
      <c r="E261" s="25"/>
      <c r="F261" s="25"/>
      <c r="G261" s="2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5"/>
      <c r="B262" s="5"/>
      <c r="C262" s="5"/>
      <c r="D262" s="5"/>
      <c r="E262" s="25"/>
      <c r="F262" s="25"/>
      <c r="G262" s="2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5"/>
      <c r="B263" s="5"/>
      <c r="C263" s="5"/>
      <c r="D263" s="5"/>
      <c r="E263" s="25"/>
      <c r="F263" s="25"/>
      <c r="G263" s="2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5"/>
      <c r="B264" s="5"/>
      <c r="C264" s="5"/>
      <c r="D264" s="5"/>
      <c r="E264" s="25"/>
      <c r="F264" s="25"/>
      <c r="G264" s="2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5"/>
      <c r="B265" s="5"/>
      <c r="C265" s="5"/>
      <c r="D265" s="5"/>
      <c r="E265" s="25"/>
      <c r="F265" s="25"/>
      <c r="G265" s="2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5"/>
      <c r="B266" s="5"/>
      <c r="C266" s="5"/>
      <c r="D266" s="5"/>
      <c r="E266" s="25"/>
      <c r="F266" s="25"/>
      <c r="G266" s="2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5"/>
      <c r="B267" s="5"/>
      <c r="C267" s="5"/>
      <c r="D267" s="5"/>
      <c r="E267" s="25"/>
      <c r="F267" s="25"/>
      <c r="G267" s="2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5"/>
      <c r="B268" s="5"/>
      <c r="C268" s="5"/>
      <c r="D268" s="5"/>
      <c r="E268" s="25"/>
      <c r="F268" s="25"/>
      <c r="G268" s="2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25"/>
      <c r="B269" s="5"/>
      <c r="C269" s="5"/>
      <c r="D269" s="5"/>
      <c r="E269" s="25"/>
      <c r="F269" s="25"/>
      <c r="G269" s="2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25"/>
      <c r="B270" s="5"/>
      <c r="C270" s="5"/>
      <c r="D270" s="5"/>
      <c r="E270" s="25"/>
      <c r="F270" s="25"/>
      <c r="G270" s="2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25"/>
      <c r="B271" s="5"/>
      <c r="C271" s="5"/>
      <c r="D271" s="5"/>
      <c r="E271" s="25"/>
      <c r="F271" s="25"/>
      <c r="G271" s="2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25"/>
      <c r="B272" s="5"/>
      <c r="C272" s="5"/>
      <c r="D272" s="5"/>
      <c r="E272" s="25"/>
      <c r="F272" s="25"/>
      <c r="G272" s="2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25"/>
      <c r="B273" s="5"/>
      <c r="C273" s="5"/>
      <c r="D273" s="5"/>
      <c r="E273" s="25"/>
      <c r="F273" s="25"/>
      <c r="G273" s="2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25"/>
      <c r="B274" s="5"/>
      <c r="C274" s="5"/>
      <c r="D274" s="5"/>
      <c r="E274" s="25"/>
      <c r="F274" s="25"/>
      <c r="G274" s="2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25"/>
      <c r="B275" s="5"/>
      <c r="C275" s="5"/>
      <c r="D275" s="5"/>
      <c r="E275" s="25"/>
      <c r="F275" s="25"/>
      <c r="G275" s="2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25"/>
      <c r="B276" s="5"/>
      <c r="C276" s="5"/>
      <c r="D276" s="5"/>
      <c r="E276" s="25"/>
      <c r="F276" s="25"/>
      <c r="G276" s="2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25"/>
      <c r="B277" s="5"/>
      <c r="C277" s="5"/>
      <c r="D277" s="5"/>
      <c r="E277" s="25"/>
      <c r="F277" s="25"/>
      <c r="G277" s="2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25"/>
      <c r="B278" s="5"/>
      <c r="C278" s="5"/>
      <c r="D278" s="5"/>
      <c r="E278" s="25"/>
      <c r="F278" s="25"/>
      <c r="G278" s="2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25"/>
      <c r="B279" s="5"/>
      <c r="C279" s="5"/>
      <c r="D279" s="5"/>
      <c r="E279" s="25"/>
      <c r="F279" s="25"/>
      <c r="G279" s="2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25"/>
      <c r="B280" s="5"/>
      <c r="C280" s="5"/>
      <c r="D280" s="5"/>
      <c r="E280" s="25"/>
      <c r="F280" s="25"/>
      <c r="G280" s="2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25"/>
      <c r="B281" s="5"/>
      <c r="C281" s="5"/>
      <c r="D281" s="5"/>
      <c r="E281" s="25"/>
      <c r="F281" s="25"/>
      <c r="G281" s="2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25"/>
      <c r="B282" s="5"/>
      <c r="C282" s="5"/>
      <c r="D282" s="5"/>
      <c r="E282" s="25"/>
      <c r="F282" s="25"/>
      <c r="G282" s="2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25"/>
      <c r="B283" s="5"/>
      <c r="C283" s="5"/>
      <c r="D283" s="5"/>
      <c r="E283" s="25"/>
      <c r="F283" s="25"/>
      <c r="G283" s="2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25"/>
      <c r="B284" s="5"/>
      <c r="C284" s="5"/>
      <c r="D284" s="5"/>
      <c r="E284" s="25"/>
      <c r="F284" s="25"/>
      <c r="G284" s="2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25"/>
      <c r="B285" s="5"/>
      <c r="C285" s="5"/>
      <c r="D285" s="5"/>
      <c r="E285" s="25"/>
      <c r="F285" s="25"/>
      <c r="G285" s="2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25"/>
      <c r="B286" s="5"/>
      <c r="C286" s="5"/>
      <c r="D286" s="5"/>
      <c r="E286" s="25"/>
      <c r="F286" s="25"/>
      <c r="G286" s="2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25"/>
      <c r="B287" s="5"/>
      <c r="C287" s="5"/>
      <c r="D287" s="5"/>
      <c r="E287" s="25"/>
      <c r="F287" s="25"/>
      <c r="G287" s="2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25"/>
      <c r="B288" s="5"/>
      <c r="C288" s="5"/>
      <c r="D288" s="5"/>
      <c r="E288" s="25"/>
      <c r="F288" s="25"/>
      <c r="G288" s="2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25"/>
      <c r="B289" s="5"/>
      <c r="C289" s="5"/>
      <c r="D289" s="5"/>
      <c r="E289" s="25"/>
      <c r="F289" s="25"/>
      <c r="G289" s="2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25"/>
      <c r="B290" s="5"/>
      <c r="C290" s="5"/>
      <c r="D290" s="5"/>
      <c r="E290" s="25"/>
      <c r="F290" s="25"/>
      <c r="G290" s="2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25"/>
      <c r="B291" s="5"/>
      <c r="C291" s="5"/>
      <c r="D291" s="5"/>
      <c r="E291" s="25"/>
      <c r="F291" s="25"/>
      <c r="G291" s="2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25"/>
      <c r="B292" s="5"/>
      <c r="C292" s="5"/>
      <c r="D292" s="5"/>
      <c r="E292" s="25"/>
      <c r="F292" s="25"/>
      <c r="G292" s="2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25"/>
      <c r="B293" s="5"/>
      <c r="C293" s="5"/>
      <c r="D293" s="5"/>
      <c r="E293" s="25"/>
      <c r="F293" s="25"/>
      <c r="G293" s="2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25"/>
      <c r="B294" s="5"/>
      <c r="C294" s="5"/>
      <c r="D294" s="5"/>
      <c r="E294" s="25"/>
      <c r="F294" s="25"/>
      <c r="G294" s="2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25"/>
      <c r="B295" s="5"/>
      <c r="C295" s="5"/>
      <c r="D295" s="5"/>
      <c r="E295" s="25"/>
      <c r="F295" s="25"/>
      <c r="G295" s="2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25"/>
      <c r="B296" s="5"/>
      <c r="C296" s="5"/>
      <c r="D296" s="5"/>
      <c r="E296" s="25"/>
      <c r="F296" s="25"/>
      <c r="G296" s="2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25"/>
      <c r="B297" s="5"/>
      <c r="C297" s="5"/>
      <c r="D297" s="5"/>
      <c r="E297" s="25"/>
      <c r="F297" s="25"/>
      <c r="G297" s="2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25"/>
      <c r="B298" s="5"/>
      <c r="C298" s="5"/>
      <c r="D298" s="5"/>
      <c r="E298" s="25"/>
      <c r="F298" s="25"/>
      <c r="G298" s="2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25"/>
      <c r="B299" s="5"/>
      <c r="C299" s="5"/>
      <c r="D299" s="5"/>
      <c r="E299" s="25"/>
      <c r="F299" s="25"/>
      <c r="G299" s="2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25"/>
      <c r="B300" s="5"/>
      <c r="C300" s="5"/>
      <c r="D300" s="5"/>
      <c r="E300" s="25"/>
      <c r="F300" s="25"/>
      <c r="G300" s="2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25"/>
      <c r="B301" s="5"/>
      <c r="C301" s="5"/>
      <c r="D301" s="5"/>
      <c r="E301" s="25"/>
      <c r="F301" s="25"/>
      <c r="G301" s="2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25"/>
      <c r="B302" s="5"/>
      <c r="C302" s="5"/>
      <c r="D302" s="5"/>
      <c r="E302" s="25"/>
      <c r="F302" s="25"/>
      <c r="G302" s="2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25"/>
      <c r="B303" s="5"/>
      <c r="C303" s="5"/>
      <c r="D303" s="5"/>
      <c r="E303" s="25"/>
      <c r="F303" s="25"/>
      <c r="G303" s="2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25"/>
      <c r="B304" s="5"/>
      <c r="C304" s="5"/>
      <c r="D304" s="5"/>
      <c r="E304" s="25"/>
      <c r="F304" s="25"/>
      <c r="G304" s="2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25"/>
      <c r="B305" s="5"/>
      <c r="C305" s="5"/>
      <c r="D305" s="5"/>
      <c r="E305" s="25"/>
      <c r="F305" s="25"/>
      <c r="G305" s="2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25"/>
      <c r="B306" s="5"/>
      <c r="C306" s="5"/>
      <c r="D306" s="5"/>
      <c r="E306" s="25"/>
      <c r="F306" s="25"/>
      <c r="G306" s="2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25"/>
      <c r="B307" s="5"/>
      <c r="C307" s="5"/>
      <c r="D307" s="5"/>
      <c r="E307" s="25"/>
      <c r="F307" s="25"/>
      <c r="G307" s="2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25"/>
      <c r="B308" s="5"/>
      <c r="C308" s="5"/>
      <c r="D308" s="5"/>
      <c r="E308" s="25"/>
      <c r="F308" s="25"/>
      <c r="G308" s="2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25"/>
      <c r="B309" s="5"/>
      <c r="C309" s="5"/>
      <c r="D309" s="5"/>
      <c r="E309" s="25"/>
      <c r="F309" s="25"/>
      <c r="G309" s="2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25"/>
      <c r="B310" s="5"/>
      <c r="C310" s="5"/>
      <c r="D310" s="5"/>
      <c r="E310" s="25"/>
      <c r="F310" s="25"/>
      <c r="G310" s="2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25"/>
      <c r="B311" s="5"/>
      <c r="C311" s="5"/>
      <c r="D311" s="5"/>
      <c r="E311" s="25"/>
      <c r="F311" s="25"/>
      <c r="G311" s="2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25"/>
      <c r="B312" s="5"/>
      <c r="C312" s="5"/>
      <c r="D312" s="5"/>
      <c r="E312" s="25"/>
      <c r="F312" s="25"/>
      <c r="G312" s="2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25"/>
      <c r="B313" s="5"/>
      <c r="C313" s="5"/>
      <c r="D313" s="5"/>
      <c r="E313" s="25"/>
      <c r="F313" s="25"/>
      <c r="G313" s="2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25"/>
      <c r="B314" s="5"/>
      <c r="C314" s="5"/>
      <c r="D314" s="5"/>
      <c r="E314" s="25"/>
      <c r="F314" s="25"/>
      <c r="G314" s="2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25"/>
      <c r="B315" s="5"/>
      <c r="C315" s="5"/>
      <c r="D315" s="5"/>
      <c r="E315" s="25"/>
      <c r="F315" s="25"/>
      <c r="G315" s="2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25"/>
      <c r="B316" s="5"/>
      <c r="C316" s="5"/>
      <c r="D316" s="5"/>
      <c r="E316" s="25"/>
      <c r="F316" s="25"/>
      <c r="G316" s="2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25"/>
      <c r="B317" s="5"/>
      <c r="C317" s="5"/>
      <c r="D317" s="5"/>
      <c r="E317" s="25"/>
      <c r="F317" s="25"/>
      <c r="G317" s="2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25"/>
      <c r="B318" s="5"/>
      <c r="C318" s="5"/>
      <c r="D318" s="5"/>
      <c r="E318" s="25"/>
      <c r="F318" s="25"/>
      <c r="G318" s="2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25"/>
      <c r="B319" s="5"/>
      <c r="C319" s="5"/>
      <c r="D319" s="5"/>
      <c r="E319" s="25"/>
      <c r="F319" s="25"/>
      <c r="G319" s="2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25"/>
      <c r="B320" s="5"/>
      <c r="C320" s="5"/>
      <c r="D320" s="5"/>
      <c r="E320" s="25"/>
      <c r="F320" s="25"/>
      <c r="G320" s="2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25"/>
      <c r="B321" s="5"/>
      <c r="C321" s="5"/>
      <c r="D321" s="5"/>
      <c r="E321" s="25"/>
      <c r="F321" s="25"/>
      <c r="G321" s="2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25"/>
      <c r="B322" s="5"/>
      <c r="C322" s="5"/>
      <c r="D322" s="5"/>
      <c r="E322" s="25"/>
      <c r="F322" s="25"/>
      <c r="G322" s="2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25"/>
      <c r="B323" s="5"/>
      <c r="C323" s="5"/>
      <c r="D323" s="5"/>
      <c r="E323" s="25"/>
      <c r="F323" s="25"/>
      <c r="G323" s="2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25"/>
      <c r="B324" s="5"/>
      <c r="C324" s="5"/>
      <c r="D324" s="5"/>
      <c r="E324" s="25"/>
      <c r="F324" s="25"/>
      <c r="G324" s="2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25"/>
      <c r="B325" s="5"/>
      <c r="C325" s="5"/>
      <c r="D325" s="5"/>
      <c r="E325" s="25"/>
      <c r="F325" s="25"/>
      <c r="G325" s="2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25"/>
      <c r="B326" s="5"/>
      <c r="C326" s="5"/>
      <c r="D326" s="5"/>
      <c r="E326" s="25"/>
      <c r="F326" s="25"/>
      <c r="G326" s="2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25"/>
      <c r="B327" s="5"/>
      <c r="C327" s="5"/>
      <c r="D327" s="5"/>
      <c r="E327" s="25"/>
      <c r="F327" s="25"/>
      <c r="G327" s="2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25"/>
      <c r="B328" s="5"/>
      <c r="C328" s="5"/>
      <c r="D328" s="5"/>
      <c r="E328" s="25"/>
      <c r="F328" s="25"/>
      <c r="G328" s="2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25"/>
      <c r="B329" s="5"/>
      <c r="C329" s="5"/>
      <c r="D329" s="5"/>
      <c r="E329" s="25"/>
      <c r="F329" s="25"/>
      <c r="G329" s="2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25"/>
      <c r="B330" s="5"/>
      <c r="C330" s="5"/>
      <c r="D330" s="5"/>
      <c r="E330" s="25"/>
      <c r="F330" s="25"/>
      <c r="G330" s="2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25"/>
      <c r="B331" s="5"/>
      <c r="C331" s="5"/>
      <c r="D331" s="5"/>
      <c r="E331" s="25"/>
      <c r="F331" s="25"/>
      <c r="G331" s="2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25"/>
      <c r="B332" s="5"/>
      <c r="C332" s="5"/>
      <c r="D332" s="5"/>
      <c r="E332" s="25"/>
      <c r="F332" s="25"/>
      <c r="G332" s="2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25"/>
      <c r="B333" s="5"/>
      <c r="C333" s="5"/>
      <c r="D333" s="5"/>
      <c r="E333" s="25"/>
      <c r="F333" s="25"/>
      <c r="G333" s="2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25"/>
      <c r="B334" s="5"/>
      <c r="C334" s="5"/>
      <c r="D334" s="5"/>
      <c r="E334" s="25"/>
      <c r="F334" s="25"/>
      <c r="G334" s="2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25"/>
      <c r="B335" s="5"/>
      <c r="C335" s="5"/>
      <c r="D335" s="5"/>
      <c r="E335" s="25"/>
      <c r="F335" s="25"/>
      <c r="G335" s="2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25"/>
      <c r="B336" s="5"/>
      <c r="C336" s="5"/>
      <c r="D336" s="5"/>
      <c r="E336" s="25"/>
      <c r="F336" s="25"/>
      <c r="G336" s="2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25"/>
      <c r="B337" s="5"/>
      <c r="C337" s="5"/>
      <c r="D337" s="5"/>
      <c r="E337" s="25"/>
      <c r="F337" s="25"/>
      <c r="G337" s="2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25"/>
      <c r="B338" s="5"/>
      <c r="C338" s="5"/>
      <c r="D338" s="5"/>
      <c r="E338" s="25"/>
      <c r="F338" s="25"/>
      <c r="G338" s="2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25"/>
      <c r="B339" s="5"/>
      <c r="C339" s="5"/>
      <c r="D339" s="5"/>
      <c r="E339" s="25"/>
      <c r="F339" s="25"/>
      <c r="G339" s="2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25"/>
      <c r="B340" s="5"/>
      <c r="C340" s="5"/>
      <c r="D340" s="5"/>
      <c r="E340" s="25"/>
      <c r="F340" s="25"/>
      <c r="G340" s="2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25"/>
      <c r="B341" s="5"/>
      <c r="C341" s="5"/>
      <c r="D341" s="5"/>
      <c r="E341" s="25"/>
      <c r="F341" s="25"/>
      <c r="G341" s="2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25"/>
      <c r="B342" s="5"/>
      <c r="C342" s="5"/>
      <c r="D342" s="5"/>
      <c r="E342" s="25"/>
      <c r="F342" s="25"/>
      <c r="G342" s="2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25"/>
      <c r="B343" s="5"/>
      <c r="C343" s="5"/>
      <c r="D343" s="5"/>
      <c r="E343" s="25"/>
      <c r="F343" s="25"/>
      <c r="G343" s="2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25"/>
      <c r="B344" s="5"/>
      <c r="C344" s="5"/>
      <c r="D344" s="5"/>
      <c r="E344" s="25"/>
      <c r="F344" s="25"/>
      <c r="G344" s="2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25"/>
      <c r="B345" s="5"/>
      <c r="C345" s="5"/>
      <c r="D345" s="5"/>
      <c r="E345" s="25"/>
      <c r="F345" s="25"/>
      <c r="G345" s="2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25"/>
      <c r="B346" s="5"/>
      <c r="C346" s="5"/>
      <c r="D346" s="5"/>
      <c r="E346" s="25"/>
      <c r="F346" s="25"/>
      <c r="G346" s="2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25"/>
      <c r="B347" s="5"/>
      <c r="C347" s="5"/>
      <c r="D347" s="5"/>
      <c r="E347" s="25"/>
      <c r="F347" s="25"/>
      <c r="G347" s="2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25"/>
      <c r="B348" s="5"/>
      <c r="C348" s="5"/>
      <c r="D348" s="5"/>
      <c r="E348" s="25"/>
      <c r="F348" s="25"/>
      <c r="G348" s="2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25"/>
      <c r="B349" s="5"/>
      <c r="C349" s="5"/>
      <c r="D349" s="5"/>
      <c r="E349" s="25"/>
      <c r="F349" s="25"/>
      <c r="G349" s="2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25"/>
      <c r="B350" s="5"/>
      <c r="C350" s="5"/>
      <c r="D350" s="5"/>
      <c r="E350" s="25"/>
      <c r="F350" s="25"/>
      <c r="G350" s="2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25"/>
      <c r="B351" s="5"/>
      <c r="C351" s="5"/>
      <c r="D351" s="5"/>
      <c r="E351" s="25"/>
      <c r="F351" s="25"/>
      <c r="G351" s="2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25"/>
      <c r="B352" s="5"/>
      <c r="C352" s="5"/>
      <c r="D352" s="5"/>
      <c r="E352" s="25"/>
      <c r="F352" s="25"/>
      <c r="G352" s="2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25"/>
      <c r="B353" s="5"/>
      <c r="C353" s="5"/>
      <c r="D353" s="5"/>
      <c r="E353" s="25"/>
      <c r="F353" s="25"/>
      <c r="G353" s="2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25"/>
      <c r="B354" s="5"/>
      <c r="C354" s="5"/>
      <c r="D354" s="5"/>
      <c r="E354" s="25"/>
      <c r="F354" s="25"/>
      <c r="G354" s="2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25"/>
      <c r="B355" s="5"/>
      <c r="C355" s="5"/>
      <c r="D355" s="5"/>
      <c r="E355" s="25"/>
      <c r="F355" s="25"/>
      <c r="G355" s="2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25"/>
      <c r="B356" s="5"/>
      <c r="C356" s="5"/>
      <c r="D356" s="5"/>
      <c r="E356" s="25"/>
      <c r="F356" s="25"/>
      <c r="G356" s="2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25"/>
      <c r="B357" s="5"/>
      <c r="C357" s="5"/>
      <c r="D357" s="5"/>
      <c r="E357" s="25"/>
      <c r="F357" s="25"/>
      <c r="G357" s="2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25"/>
      <c r="B358" s="5"/>
      <c r="C358" s="5"/>
      <c r="D358" s="5"/>
      <c r="E358" s="25"/>
      <c r="F358" s="25"/>
      <c r="G358" s="2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25"/>
      <c r="B359" s="5"/>
      <c r="C359" s="5"/>
      <c r="D359" s="5"/>
      <c r="E359" s="25"/>
      <c r="F359" s="25"/>
      <c r="G359" s="2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25"/>
      <c r="B360" s="5"/>
      <c r="C360" s="5"/>
      <c r="D360" s="5"/>
      <c r="E360" s="25"/>
      <c r="F360" s="25"/>
      <c r="G360" s="2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25"/>
      <c r="B361" s="5"/>
      <c r="C361" s="5"/>
      <c r="D361" s="5"/>
      <c r="E361" s="25"/>
      <c r="F361" s="25"/>
      <c r="G361" s="2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25"/>
      <c r="B362" s="5"/>
      <c r="C362" s="5"/>
      <c r="D362" s="5"/>
      <c r="E362" s="25"/>
      <c r="F362" s="25"/>
      <c r="G362" s="2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25"/>
      <c r="B363" s="5"/>
      <c r="C363" s="5"/>
      <c r="D363" s="5"/>
      <c r="E363" s="25"/>
      <c r="F363" s="25"/>
      <c r="G363" s="2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25"/>
      <c r="B364" s="5"/>
      <c r="C364" s="5"/>
      <c r="D364" s="5"/>
      <c r="E364" s="25"/>
      <c r="F364" s="25"/>
      <c r="G364" s="2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25"/>
      <c r="B365" s="5"/>
      <c r="C365" s="5"/>
      <c r="D365" s="5"/>
      <c r="E365" s="25"/>
      <c r="F365" s="25"/>
      <c r="G365" s="2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25"/>
      <c r="B366" s="5"/>
      <c r="C366" s="5"/>
      <c r="D366" s="5"/>
      <c r="E366" s="25"/>
      <c r="F366" s="25"/>
      <c r="G366" s="2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25"/>
      <c r="B367" s="5"/>
      <c r="C367" s="5"/>
      <c r="D367" s="5"/>
      <c r="E367" s="25"/>
      <c r="F367" s="25"/>
      <c r="G367" s="2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25"/>
      <c r="B368" s="5"/>
      <c r="C368" s="5"/>
      <c r="D368" s="5"/>
      <c r="E368" s="25"/>
      <c r="F368" s="25"/>
      <c r="G368" s="2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25"/>
      <c r="B369" s="5"/>
      <c r="C369" s="5"/>
      <c r="D369" s="5"/>
      <c r="E369" s="25"/>
      <c r="F369" s="25"/>
      <c r="G369" s="2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25"/>
      <c r="B370" s="5"/>
      <c r="C370" s="5"/>
      <c r="D370" s="5"/>
      <c r="E370" s="25"/>
      <c r="F370" s="25"/>
      <c r="G370" s="2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25"/>
      <c r="B371" s="5"/>
      <c r="C371" s="5"/>
      <c r="D371" s="5"/>
      <c r="E371" s="25"/>
      <c r="F371" s="25"/>
      <c r="G371" s="2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25"/>
      <c r="B372" s="5"/>
      <c r="C372" s="5"/>
      <c r="D372" s="5"/>
      <c r="E372" s="25"/>
      <c r="F372" s="25"/>
      <c r="G372" s="2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25"/>
      <c r="B373" s="5"/>
      <c r="C373" s="5"/>
      <c r="D373" s="5"/>
      <c r="E373" s="25"/>
      <c r="F373" s="25"/>
      <c r="G373" s="2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25"/>
      <c r="B374" s="5"/>
      <c r="C374" s="5"/>
      <c r="D374" s="5"/>
      <c r="E374" s="25"/>
      <c r="F374" s="25"/>
      <c r="G374" s="2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25"/>
      <c r="B375" s="5"/>
      <c r="C375" s="5"/>
      <c r="D375" s="5"/>
      <c r="E375" s="25"/>
      <c r="F375" s="25"/>
      <c r="G375" s="2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25"/>
      <c r="B376" s="5"/>
      <c r="C376" s="5"/>
      <c r="D376" s="5"/>
      <c r="E376" s="25"/>
      <c r="F376" s="25"/>
      <c r="G376" s="2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25"/>
      <c r="B377" s="5"/>
      <c r="C377" s="5"/>
      <c r="D377" s="5"/>
      <c r="E377" s="25"/>
      <c r="F377" s="25"/>
      <c r="G377" s="2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25"/>
      <c r="B378" s="5"/>
      <c r="C378" s="5"/>
      <c r="D378" s="5"/>
      <c r="E378" s="25"/>
      <c r="F378" s="25"/>
      <c r="G378" s="2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25"/>
      <c r="B379" s="5"/>
      <c r="C379" s="5"/>
      <c r="D379" s="5"/>
      <c r="E379" s="25"/>
      <c r="F379" s="25"/>
      <c r="G379" s="2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25"/>
      <c r="B380" s="5"/>
      <c r="C380" s="5"/>
      <c r="D380" s="5"/>
      <c r="E380" s="25"/>
      <c r="F380" s="25"/>
      <c r="G380" s="2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25"/>
      <c r="B381" s="5"/>
      <c r="C381" s="5"/>
      <c r="D381" s="5"/>
      <c r="E381" s="25"/>
      <c r="F381" s="25"/>
      <c r="G381" s="2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25"/>
      <c r="B382" s="5"/>
      <c r="C382" s="5"/>
      <c r="D382" s="5"/>
      <c r="E382" s="25"/>
      <c r="F382" s="25"/>
      <c r="G382" s="2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25"/>
      <c r="B383" s="5"/>
      <c r="C383" s="5"/>
      <c r="D383" s="5"/>
      <c r="E383" s="25"/>
      <c r="F383" s="25"/>
      <c r="G383" s="2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25"/>
      <c r="B384" s="5"/>
      <c r="C384" s="5"/>
      <c r="D384" s="5"/>
      <c r="E384" s="25"/>
      <c r="F384" s="25"/>
      <c r="G384" s="2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25"/>
      <c r="B385" s="5"/>
      <c r="C385" s="5"/>
      <c r="D385" s="5"/>
      <c r="E385" s="25"/>
      <c r="F385" s="25"/>
      <c r="G385" s="2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25"/>
      <c r="B386" s="5"/>
      <c r="C386" s="5"/>
      <c r="D386" s="5"/>
      <c r="E386" s="25"/>
      <c r="F386" s="25"/>
      <c r="G386" s="2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25"/>
      <c r="B387" s="5"/>
      <c r="C387" s="5"/>
      <c r="D387" s="5"/>
      <c r="E387" s="25"/>
      <c r="F387" s="25"/>
      <c r="G387" s="2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25"/>
      <c r="B388" s="5"/>
      <c r="C388" s="5"/>
      <c r="D388" s="5"/>
      <c r="E388" s="25"/>
      <c r="F388" s="25"/>
      <c r="G388" s="2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25"/>
      <c r="B389" s="5"/>
      <c r="C389" s="5"/>
      <c r="D389" s="5"/>
      <c r="E389" s="25"/>
      <c r="F389" s="25"/>
      <c r="G389" s="2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25"/>
      <c r="B390" s="5"/>
      <c r="C390" s="5"/>
      <c r="D390" s="5"/>
      <c r="E390" s="25"/>
      <c r="F390" s="25"/>
      <c r="G390" s="2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25"/>
      <c r="B391" s="5"/>
      <c r="C391" s="5"/>
      <c r="D391" s="5"/>
      <c r="E391" s="25"/>
      <c r="F391" s="25"/>
      <c r="G391" s="2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25"/>
      <c r="B392" s="5"/>
      <c r="C392" s="5"/>
      <c r="D392" s="5"/>
      <c r="E392" s="25"/>
      <c r="F392" s="25"/>
      <c r="G392" s="2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25"/>
      <c r="B393" s="5"/>
      <c r="C393" s="5"/>
      <c r="D393" s="5"/>
      <c r="E393" s="25"/>
      <c r="F393" s="25"/>
      <c r="G393" s="2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25"/>
      <c r="B394" s="5"/>
      <c r="C394" s="5"/>
      <c r="D394" s="5"/>
      <c r="E394" s="25"/>
      <c r="F394" s="25"/>
      <c r="G394" s="2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25"/>
      <c r="B395" s="5"/>
      <c r="C395" s="5"/>
      <c r="D395" s="5"/>
      <c r="E395" s="25"/>
      <c r="F395" s="25"/>
      <c r="G395" s="2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25"/>
      <c r="B396" s="5"/>
      <c r="C396" s="5"/>
      <c r="D396" s="5"/>
      <c r="E396" s="25"/>
      <c r="F396" s="25"/>
      <c r="G396" s="2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25"/>
      <c r="B397" s="5"/>
      <c r="C397" s="5"/>
      <c r="D397" s="5"/>
      <c r="E397" s="25"/>
      <c r="F397" s="25"/>
      <c r="G397" s="2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25"/>
      <c r="B398" s="5"/>
      <c r="C398" s="5"/>
      <c r="D398" s="5"/>
      <c r="E398" s="25"/>
      <c r="F398" s="25"/>
      <c r="G398" s="2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25"/>
      <c r="B399" s="5"/>
      <c r="C399" s="5"/>
      <c r="D399" s="5"/>
      <c r="E399" s="25"/>
      <c r="F399" s="25"/>
      <c r="G399" s="2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25"/>
      <c r="B400" s="5"/>
      <c r="C400" s="5"/>
      <c r="D400" s="5"/>
      <c r="E400" s="25"/>
      <c r="F400" s="25"/>
      <c r="G400" s="2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25"/>
      <c r="B401" s="5"/>
      <c r="C401" s="5"/>
      <c r="D401" s="5"/>
      <c r="E401" s="25"/>
      <c r="F401" s="25"/>
      <c r="G401" s="2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25"/>
      <c r="B402" s="5"/>
      <c r="C402" s="5"/>
      <c r="D402" s="5"/>
      <c r="E402" s="25"/>
      <c r="F402" s="25"/>
      <c r="G402" s="2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25"/>
      <c r="B403" s="5"/>
      <c r="C403" s="5"/>
      <c r="D403" s="5"/>
      <c r="E403" s="25"/>
      <c r="F403" s="25"/>
      <c r="G403" s="2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25"/>
      <c r="B404" s="5"/>
      <c r="C404" s="5"/>
      <c r="D404" s="5"/>
      <c r="E404" s="25"/>
      <c r="F404" s="25"/>
      <c r="G404" s="2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25"/>
      <c r="B405" s="5"/>
      <c r="C405" s="5"/>
      <c r="D405" s="5"/>
      <c r="E405" s="25"/>
      <c r="F405" s="25"/>
      <c r="G405" s="2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25"/>
      <c r="B406" s="5"/>
      <c r="C406" s="5"/>
      <c r="D406" s="5"/>
      <c r="E406" s="25"/>
      <c r="F406" s="25"/>
      <c r="G406" s="2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25"/>
      <c r="B407" s="5"/>
      <c r="C407" s="5"/>
      <c r="D407" s="5"/>
      <c r="E407" s="25"/>
      <c r="F407" s="25"/>
      <c r="G407" s="2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25"/>
      <c r="B408" s="5"/>
      <c r="C408" s="5"/>
      <c r="D408" s="5"/>
      <c r="E408" s="25"/>
      <c r="F408" s="25"/>
      <c r="G408" s="2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25"/>
      <c r="B409" s="5"/>
      <c r="C409" s="5"/>
      <c r="D409" s="5"/>
      <c r="E409" s="25"/>
      <c r="F409" s="25"/>
      <c r="G409" s="2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25"/>
      <c r="B410" s="5"/>
      <c r="C410" s="5"/>
      <c r="D410" s="5"/>
      <c r="E410" s="25"/>
      <c r="F410" s="25"/>
      <c r="G410" s="2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25"/>
      <c r="B411" s="5"/>
      <c r="C411" s="5"/>
      <c r="D411" s="5"/>
      <c r="E411" s="25"/>
      <c r="F411" s="25"/>
      <c r="G411" s="2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25"/>
      <c r="B412" s="5"/>
      <c r="C412" s="5"/>
      <c r="D412" s="5"/>
      <c r="E412" s="25"/>
      <c r="F412" s="25"/>
      <c r="G412" s="2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25"/>
      <c r="B413" s="5"/>
      <c r="C413" s="5"/>
      <c r="D413" s="5"/>
      <c r="E413" s="25"/>
      <c r="F413" s="25"/>
      <c r="G413" s="2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25"/>
      <c r="B414" s="5"/>
      <c r="C414" s="5"/>
      <c r="D414" s="5"/>
      <c r="E414" s="25"/>
      <c r="F414" s="25"/>
      <c r="G414" s="2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25"/>
      <c r="B415" s="5"/>
      <c r="C415" s="5"/>
      <c r="D415" s="5"/>
      <c r="E415" s="25"/>
      <c r="F415" s="25"/>
      <c r="G415" s="2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25"/>
      <c r="B416" s="5"/>
      <c r="C416" s="5"/>
      <c r="D416" s="5"/>
      <c r="E416" s="25"/>
      <c r="F416" s="25"/>
      <c r="G416" s="2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25"/>
      <c r="B417" s="5"/>
      <c r="C417" s="5"/>
      <c r="D417" s="5"/>
      <c r="E417" s="25"/>
      <c r="F417" s="25"/>
      <c r="G417" s="2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25"/>
      <c r="B418" s="5"/>
      <c r="C418" s="5"/>
      <c r="D418" s="5"/>
      <c r="E418" s="25"/>
      <c r="F418" s="25"/>
      <c r="G418" s="2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25"/>
      <c r="B419" s="5"/>
      <c r="C419" s="5"/>
      <c r="D419" s="5"/>
      <c r="E419" s="25"/>
      <c r="F419" s="25"/>
      <c r="G419" s="2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25"/>
      <c r="B420" s="5"/>
      <c r="C420" s="5"/>
      <c r="D420" s="5"/>
      <c r="E420" s="25"/>
      <c r="F420" s="25"/>
      <c r="G420" s="2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25"/>
      <c r="B421" s="5"/>
      <c r="C421" s="5"/>
      <c r="D421" s="5"/>
      <c r="E421" s="25"/>
      <c r="F421" s="25"/>
      <c r="G421" s="2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25"/>
      <c r="B422" s="5"/>
      <c r="C422" s="5"/>
      <c r="D422" s="5"/>
      <c r="E422" s="25"/>
      <c r="F422" s="25"/>
      <c r="G422" s="2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25"/>
      <c r="B423" s="5"/>
      <c r="C423" s="5"/>
      <c r="D423" s="5"/>
      <c r="E423" s="25"/>
      <c r="F423" s="25"/>
      <c r="G423" s="2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25"/>
      <c r="B424" s="5"/>
      <c r="C424" s="5"/>
      <c r="D424" s="5"/>
      <c r="E424" s="25"/>
      <c r="F424" s="25"/>
      <c r="G424" s="2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25"/>
      <c r="B425" s="5"/>
      <c r="C425" s="5"/>
      <c r="D425" s="5"/>
      <c r="E425" s="25"/>
      <c r="F425" s="25"/>
      <c r="G425" s="2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25"/>
      <c r="B426" s="5"/>
      <c r="C426" s="5"/>
      <c r="D426" s="5"/>
      <c r="E426" s="25"/>
      <c r="F426" s="25"/>
      <c r="G426" s="2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25"/>
      <c r="B427" s="5"/>
      <c r="C427" s="5"/>
      <c r="D427" s="5"/>
      <c r="E427" s="25"/>
      <c r="F427" s="25"/>
      <c r="G427" s="2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25"/>
      <c r="B428" s="5"/>
      <c r="C428" s="5"/>
      <c r="D428" s="5"/>
      <c r="E428" s="25"/>
      <c r="F428" s="25"/>
      <c r="G428" s="2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25"/>
      <c r="B429" s="5"/>
      <c r="C429" s="5"/>
      <c r="D429" s="5"/>
      <c r="E429" s="25"/>
      <c r="F429" s="25"/>
      <c r="G429" s="2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25"/>
      <c r="B430" s="5"/>
      <c r="C430" s="5"/>
      <c r="D430" s="5"/>
      <c r="E430" s="25"/>
      <c r="F430" s="25"/>
      <c r="G430" s="2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25"/>
      <c r="B431" s="5"/>
      <c r="C431" s="5"/>
      <c r="D431" s="5"/>
      <c r="E431" s="25"/>
      <c r="F431" s="25"/>
      <c r="G431" s="2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25"/>
      <c r="B432" s="5"/>
      <c r="C432" s="5"/>
      <c r="D432" s="5"/>
      <c r="E432" s="25"/>
      <c r="F432" s="25"/>
      <c r="G432" s="2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25"/>
      <c r="B433" s="5"/>
      <c r="C433" s="5"/>
      <c r="D433" s="5"/>
      <c r="E433" s="25"/>
      <c r="F433" s="25"/>
      <c r="G433" s="2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25"/>
      <c r="B434" s="5"/>
      <c r="C434" s="5"/>
      <c r="D434" s="5"/>
      <c r="E434" s="25"/>
      <c r="F434" s="25"/>
      <c r="G434" s="2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25"/>
      <c r="B435" s="5"/>
      <c r="C435" s="5"/>
      <c r="D435" s="5"/>
      <c r="E435" s="25"/>
      <c r="F435" s="25"/>
      <c r="G435" s="2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25"/>
      <c r="B436" s="5"/>
      <c r="C436" s="5"/>
      <c r="D436" s="5"/>
      <c r="E436" s="25"/>
      <c r="F436" s="25"/>
      <c r="G436" s="2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25"/>
      <c r="B437" s="5"/>
      <c r="C437" s="5"/>
      <c r="D437" s="5"/>
      <c r="E437" s="25"/>
      <c r="F437" s="25"/>
      <c r="G437" s="2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25"/>
      <c r="B438" s="5"/>
      <c r="C438" s="5"/>
      <c r="D438" s="5"/>
      <c r="E438" s="25"/>
      <c r="F438" s="25"/>
      <c r="G438" s="2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25"/>
      <c r="B439" s="5"/>
      <c r="C439" s="5"/>
      <c r="D439" s="5"/>
      <c r="E439" s="25"/>
      <c r="F439" s="25"/>
      <c r="G439" s="2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25"/>
      <c r="B440" s="5"/>
      <c r="C440" s="5"/>
      <c r="D440" s="5"/>
      <c r="E440" s="25"/>
      <c r="F440" s="25"/>
      <c r="G440" s="2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25"/>
      <c r="B441" s="5"/>
      <c r="C441" s="5"/>
      <c r="D441" s="5"/>
      <c r="E441" s="25"/>
      <c r="F441" s="25"/>
      <c r="G441" s="2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25"/>
      <c r="B442" s="5"/>
      <c r="C442" s="5"/>
      <c r="D442" s="5"/>
      <c r="E442" s="25"/>
      <c r="F442" s="25"/>
      <c r="G442" s="2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25"/>
      <c r="B443" s="5"/>
      <c r="C443" s="5"/>
      <c r="D443" s="5"/>
      <c r="E443" s="25"/>
      <c r="F443" s="25"/>
      <c r="G443" s="2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25"/>
      <c r="B444" s="5"/>
      <c r="C444" s="5"/>
      <c r="D444" s="5"/>
      <c r="E444" s="25"/>
      <c r="F444" s="25"/>
      <c r="G444" s="2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25"/>
      <c r="B445" s="5"/>
      <c r="C445" s="5"/>
      <c r="D445" s="5"/>
      <c r="E445" s="25"/>
      <c r="F445" s="25"/>
      <c r="G445" s="2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25"/>
      <c r="B446" s="5"/>
      <c r="C446" s="5"/>
      <c r="D446" s="5"/>
      <c r="E446" s="25"/>
      <c r="F446" s="25"/>
      <c r="G446" s="2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25"/>
      <c r="B447" s="5"/>
      <c r="C447" s="5"/>
      <c r="D447" s="5"/>
      <c r="E447" s="25"/>
      <c r="F447" s="25"/>
      <c r="G447" s="2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25"/>
      <c r="B448" s="5"/>
      <c r="C448" s="5"/>
      <c r="D448" s="5"/>
      <c r="E448" s="25"/>
      <c r="F448" s="25"/>
      <c r="G448" s="2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25"/>
      <c r="B449" s="5"/>
      <c r="C449" s="5"/>
      <c r="D449" s="5"/>
      <c r="E449" s="25"/>
      <c r="F449" s="25"/>
      <c r="G449" s="2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25"/>
      <c r="B450" s="5"/>
      <c r="C450" s="5"/>
      <c r="D450" s="5"/>
      <c r="E450" s="25"/>
      <c r="F450" s="25"/>
      <c r="G450" s="2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25"/>
      <c r="B451" s="5"/>
      <c r="C451" s="5"/>
      <c r="D451" s="5"/>
      <c r="E451" s="25"/>
      <c r="F451" s="25"/>
      <c r="G451" s="2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25"/>
      <c r="B452" s="5"/>
      <c r="C452" s="5"/>
      <c r="D452" s="5"/>
      <c r="E452" s="25"/>
      <c r="F452" s="25"/>
      <c r="G452" s="2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25"/>
      <c r="B453" s="5"/>
      <c r="C453" s="5"/>
      <c r="D453" s="5"/>
      <c r="E453" s="25"/>
      <c r="F453" s="25"/>
      <c r="G453" s="2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25"/>
      <c r="B454" s="5"/>
      <c r="C454" s="5"/>
      <c r="D454" s="5"/>
      <c r="E454" s="25"/>
      <c r="F454" s="25"/>
      <c r="G454" s="2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25"/>
      <c r="B455" s="5"/>
      <c r="C455" s="5"/>
      <c r="D455" s="5"/>
      <c r="E455" s="25"/>
      <c r="F455" s="25"/>
      <c r="G455" s="2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25"/>
      <c r="B456" s="5"/>
      <c r="C456" s="5"/>
      <c r="D456" s="5"/>
      <c r="E456" s="25"/>
      <c r="F456" s="25"/>
      <c r="G456" s="2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25"/>
      <c r="B457" s="5"/>
      <c r="C457" s="5"/>
      <c r="D457" s="5"/>
      <c r="E457" s="25"/>
      <c r="F457" s="25"/>
      <c r="G457" s="2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25"/>
      <c r="B458" s="5"/>
      <c r="C458" s="5"/>
      <c r="D458" s="5"/>
      <c r="E458" s="25"/>
      <c r="F458" s="25"/>
      <c r="G458" s="2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25"/>
      <c r="B459" s="5"/>
      <c r="C459" s="5"/>
      <c r="D459" s="5"/>
      <c r="E459" s="25"/>
      <c r="F459" s="25"/>
      <c r="G459" s="2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25"/>
      <c r="B460" s="5"/>
      <c r="C460" s="5"/>
      <c r="D460" s="5"/>
      <c r="E460" s="25"/>
      <c r="F460" s="25"/>
      <c r="G460" s="2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25"/>
      <c r="B461" s="5"/>
      <c r="C461" s="5"/>
      <c r="D461" s="5"/>
      <c r="E461" s="25"/>
      <c r="F461" s="25"/>
      <c r="G461" s="2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25"/>
      <c r="B462" s="5"/>
      <c r="C462" s="5"/>
      <c r="D462" s="5"/>
      <c r="E462" s="25"/>
      <c r="F462" s="25"/>
      <c r="G462" s="2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25"/>
      <c r="B463" s="5"/>
      <c r="C463" s="5"/>
      <c r="D463" s="5"/>
      <c r="E463" s="25"/>
      <c r="F463" s="25"/>
      <c r="G463" s="2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25"/>
      <c r="B464" s="5"/>
      <c r="C464" s="5"/>
      <c r="D464" s="5"/>
      <c r="E464" s="25"/>
      <c r="F464" s="25"/>
      <c r="G464" s="2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25"/>
      <c r="B465" s="5"/>
      <c r="C465" s="5"/>
      <c r="D465" s="5"/>
      <c r="E465" s="25"/>
      <c r="F465" s="25"/>
      <c r="G465" s="2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25"/>
      <c r="B466" s="5"/>
      <c r="C466" s="5"/>
      <c r="D466" s="5"/>
      <c r="E466" s="25"/>
      <c r="F466" s="25"/>
      <c r="G466" s="2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25"/>
      <c r="B467" s="5"/>
      <c r="C467" s="5"/>
      <c r="D467" s="5"/>
      <c r="E467" s="25"/>
      <c r="F467" s="25"/>
      <c r="G467" s="2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25"/>
      <c r="B468" s="5"/>
      <c r="C468" s="5"/>
      <c r="D468" s="5"/>
      <c r="E468" s="25"/>
      <c r="F468" s="25"/>
      <c r="G468" s="2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25"/>
      <c r="B469" s="5"/>
      <c r="C469" s="5"/>
      <c r="D469" s="5"/>
      <c r="E469" s="25"/>
      <c r="F469" s="25"/>
      <c r="G469" s="2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25"/>
      <c r="B470" s="5"/>
      <c r="C470" s="5"/>
      <c r="D470" s="5"/>
      <c r="E470" s="25"/>
      <c r="F470" s="25"/>
      <c r="G470" s="2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25"/>
      <c r="B471" s="5"/>
      <c r="C471" s="5"/>
      <c r="D471" s="5"/>
      <c r="E471" s="25"/>
      <c r="F471" s="25"/>
      <c r="G471" s="2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25"/>
      <c r="B472" s="5"/>
      <c r="C472" s="5"/>
      <c r="D472" s="5"/>
      <c r="E472" s="25"/>
      <c r="F472" s="25"/>
      <c r="G472" s="2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25"/>
      <c r="B473" s="5"/>
      <c r="C473" s="5"/>
      <c r="D473" s="5"/>
      <c r="E473" s="25"/>
      <c r="F473" s="25"/>
      <c r="G473" s="2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25"/>
      <c r="B474" s="5"/>
      <c r="C474" s="5"/>
      <c r="D474" s="5"/>
      <c r="E474" s="25"/>
      <c r="F474" s="25"/>
      <c r="G474" s="2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25"/>
      <c r="B475" s="5"/>
      <c r="C475" s="5"/>
      <c r="D475" s="5"/>
      <c r="E475" s="25"/>
      <c r="F475" s="25"/>
      <c r="G475" s="2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25"/>
      <c r="B476" s="5"/>
      <c r="C476" s="5"/>
      <c r="D476" s="5"/>
      <c r="E476" s="25"/>
      <c r="F476" s="25"/>
      <c r="G476" s="2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25"/>
      <c r="B477" s="5"/>
      <c r="C477" s="5"/>
      <c r="D477" s="5"/>
      <c r="E477" s="25"/>
      <c r="F477" s="25"/>
      <c r="G477" s="2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25"/>
      <c r="B478" s="5"/>
      <c r="C478" s="5"/>
      <c r="D478" s="5"/>
      <c r="E478" s="25"/>
      <c r="F478" s="25"/>
      <c r="G478" s="2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25"/>
      <c r="B479" s="5"/>
      <c r="C479" s="5"/>
      <c r="D479" s="5"/>
      <c r="E479" s="25"/>
      <c r="F479" s="25"/>
      <c r="G479" s="2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25"/>
      <c r="B480" s="5"/>
      <c r="C480" s="5"/>
      <c r="D480" s="5"/>
      <c r="E480" s="25"/>
      <c r="F480" s="25"/>
      <c r="G480" s="2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25"/>
      <c r="B481" s="5"/>
      <c r="C481" s="5"/>
      <c r="D481" s="5"/>
      <c r="E481" s="25"/>
      <c r="F481" s="25"/>
      <c r="G481" s="2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25"/>
      <c r="B482" s="5"/>
      <c r="C482" s="5"/>
      <c r="D482" s="5"/>
      <c r="E482" s="25"/>
      <c r="F482" s="25"/>
      <c r="G482" s="2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25"/>
      <c r="B483" s="5"/>
      <c r="C483" s="5"/>
      <c r="D483" s="5"/>
      <c r="E483" s="25"/>
      <c r="F483" s="25"/>
      <c r="G483" s="2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25"/>
      <c r="B484" s="5"/>
      <c r="C484" s="5"/>
      <c r="D484" s="5"/>
      <c r="E484" s="25"/>
      <c r="F484" s="25"/>
      <c r="G484" s="2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25"/>
      <c r="B485" s="5"/>
      <c r="C485" s="5"/>
      <c r="D485" s="5"/>
      <c r="E485" s="25"/>
      <c r="F485" s="25"/>
      <c r="G485" s="2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25"/>
      <c r="B486" s="5"/>
      <c r="C486" s="5"/>
      <c r="D486" s="5"/>
      <c r="E486" s="25"/>
      <c r="F486" s="25"/>
      <c r="G486" s="2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25"/>
      <c r="B487" s="5"/>
      <c r="C487" s="5"/>
      <c r="D487" s="5"/>
      <c r="E487" s="25"/>
      <c r="F487" s="25"/>
      <c r="G487" s="2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25"/>
      <c r="B488" s="5"/>
      <c r="C488" s="5"/>
      <c r="D488" s="5"/>
      <c r="E488" s="25"/>
      <c r="F488" s="25"/>
      <c r="G488" s="2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25"/>
      <c r="B489" s="5"/>
      <c r="C489" s="5"/>
      <c r="D489" s="5"/>
      <c r="E489" s="25"/>
      <c r="F489" s="25"/>
      <c r="G489" s="2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25"/>
      <c r="B490" s="5"/>
      <c r="C490" s="5"/>
      <c r="D490" s="5"/>
      <c r="E490" s="25"/>
      <c r="F490" s="25"/>
      <c r="G490" s="2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25"/>
      <c r="B491" s="5"/>
      <c r="C491" s="5"/>
      <c r="D491" s="5"/>
      <c r="E491" s="25"/>
      <c r="F491" s="25"/>
      <c r="G491" s="2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25"/>
      <c r="B492" s="5"/>
      <c r="C492" s="5"/>
      <c r="D492" s="5"/>
      <c r="E492" s="25"/>
      <c r="F492" s="25"/>
      <c r="G492" s="2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25"/>
      <c r="B493" s="5"/>
      <c r="C493" s="5"/>
      <c r="D493" s="5"/>
      <c r="E493" s="25"/>
      <c r="F493" s="25"/>
      <c r="G493" s="2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25"/>
      <c r="B494" s="5"/>
      <c r="C494" s="5"/>
      <c r="D494" s="5"/>
      <c r="E494" s="25"/>
      <c r="F494" s="25"/>
      <c r="G494" s="2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25"/>
      <c r="B495" s="5"/>
      <c r="C495" s="5"/>
      <c r="D495" s="5"/>
      <c r="E495" s="25"/>
      <c r="F495" s="25"/>
      <c r="G495" s="2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25"/>
      <c r="B496" s="5"/>
      <c r="C496" s="5"/>
      <c r="D496" s="5"/>
      <c r="E496" s="25"/>
      <c r="F496" s="25"/>
      <c r="G496" s="2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25"/>
      <c r="B497" s="5"/>
      <c r="C497" s="5"/>
      <c r="D497" s="5"/>
      <c r="E497" s="25"/>
      <c r="F497" s="25"/>
      <c r="G497" s="2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25"/>
      <c r="B498" s="5"/>
      <c r="C498" s="5"/>
      <c r="D498" s="5"/>
      <c r="E498" s="25"/>
      <c r="F498" s="25"/>
      <c r="G498" s="2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25"/>
      <c r="B499" s="5"/>
      <c r="C499" s="5"/>
      <c r="D499" s="5"/>
      <c r="E499" s="25"/>
      <c r="F499" s="25"/>
      <c r="G499" s="2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25"/>
      <c r="B500" s="5"/>
      <c r="C500" s="5"/>
      <c r="D500" s="5"/>
      <c r="E500" s="25"/>
      <c r="F500" s="25"/>
      <c r="G500" s="2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25"/>
      <c r="B501" s="5"/>
      <c r="C501" s="5"/>
      <c r="D501" s="5"/>
      <c r="E501" s="25"/>
      <c r="F501" s="25"/>
      <c r="G501" s="2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25"/>
      <c r="B502" s="5"/>
      <c r="C502" s="5"/>
      <c r="D502" s="5"/>
      <c r="E502" s="25"/>
      <c r="F502" s="25"/>
      <c r="G502" s="2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25"/>
      <c r="B503" s="5"/>
      <c r="C503" s="5"/>
      <c r="D503" s="5"/>
      <c r="E503" s="25"/>
      <c r="F503" s="25"/>
      <c r="G503" s="2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25"/>
      <c r="B504" s="5"/>
      <c r="C504" s="5"/>
      <c r="D504" s="5"/>
      <c r="E504" s="25"/>
      <c r="F504" s="25"/>
      <c r="G504" s="2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25"/>
      <c r="B505" s="5"/>
      <c r="C505" s="5"/>
      <c r="D505" s="5"/>
      <c r="E505" s="25"/>
      <c r="F505" s="25"/>
      <c r="G505" s="2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25"/>
      <c r="B506" s="5"/>
      <c r="C506" s="5"/>
      <c r="D506" s="5"/>
      <c r="E506" s="25"/>
      <c r="F506" s="25"/>
      <c r="G506" s="2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25"/>
      <c r="B507" s="5"/>
      <c r="C507" s="5"/>
      <c r="D507" s="5"/>
      <c r="E507" s="25"/>
      <c r="F507" s="25"/>
      <c r="G507" s="2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25"/>
      <c r="B508" s="5"/>
      <c r="C508" s="5"/>
      <c r="D508" s="5"/>
      <c r="E508" s="25"/>
      <c r="F508" s="25"/>
      <c r="G508" s="2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25"/>
      <c r="B509" s="5"/>
      <c r="C509" s="5"/>
      <c r="D509" s="5"/>
      <c r="E509" s="25"/>
      <c r="F509" s="25"/>
      <c r="G509" s="2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25"/>
      <c r="B510" s="5"/>
      <c r="C510" s="5"/>
      <c r="D510" s="5"/>
      <c r="E510" s="25"/>
      <c r="F510" s="25"/>
      <c r="G510" s="2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25"/>
      <c r="B511" s="5"/>
      <c r="C511" s="5"/>
      <c r="D511" s="5"/>
      <c r="E511" s="25"/>
      <c r="F511" s="25"/>
      <c r="G511" s="2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25"/>
      <c r="B512" s="5"/>
      <c r="C512" s="5"/>
      <c r="D512" s="5"/>
      <c r="E512" s="25"/>
      <c r="F512" s="25"/>
      <c r="G512" s="2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25"/>
      <c r="B513" s="5"/>
      <c r="C513" s="5"/>
      <c r="D513" s="5"/>
      <c r="E513" s="25"/>
      <c r="F513" s="25"/>
      <c r="G513" s="2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25"/>
      <c r="B514" s="5"/>
      <c r="C514" s="5"/>
      <c r="D514" s="5"/>
      <c r="E514" s="25"/>
      <c r="F514" s="25"/>
      <c r="G514" s="2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25"/>
      <c r="B515" s="5"/>
      <c r="C515" s="5"/>
      <c r="D515" s="5"/>
      <c r="E515" s="25"/>
      <c r="F515" s="25"/>
      <c r="G515" s="2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25"/>
      <c r="B516" s="5"/>
      <c r="C516" s="5"/>
      <c r="D516" s="5"/>
      <c r="E516" s="25"/>
      <c r="F516" s="25"/>
      <c r="G516" s="2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25"/>
      <c r="B517" s="5"/>
      <c r="C517" s="5"/>
      <c r="D517" s="5"/>
      <c r="E517" s="25"/>
      <c r="F517" s="25"/>
      <c r="G517" s="2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25"/>
      <c r="B518" s="5"/>
      <c r="C518" s="5"/>
      <c r="D518" s="5"/>
      <c r="E518" s="25"/>
      <c r="F518" s="25"/>
      <c r="G518" s="2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25"/>
      <c r="B519" s="5"/>
      <c r="C519" s="5"/>
      <c r="D519" s="5"/>
      <c r="E519" s="25"/>
      <c r="F519" s="25"/>
      <c r="G519" s="2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25"/>
      <c r="B520" s="5"/>
      <c r="C520" s="5"/>
      <c r="D520" s="5"/>
      <c r="E520" s="25"/>
      <c r="F520" s="25"/>
      <c r="G520" s="2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25"/>
      <c r="B521" s="5"/>
      <c r="C521" s="5"/>
      <c r="D521" s="5"/>
      <c r="E521" s="25"/>
      <c r="F521" s="25"/>
      <c r="G521" s="2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25"/>
      <c r="B522" s="5"/>
      <c r="C522" s="5"/>
      <c r="D522" s="5"/>
      <c r="E522" s="25"/>
      <c r="F522" s="25"/>
      <c r="G522" s="2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25"/>
      <c r="B523" s="5"/>
      <c r="C523" s="5"/>
      <c r="D523" s="5"/>
      <c r="E523" s="25"/>
      <c r="F523" s="25"/>
      <c r="G523" s="2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25"/>
      <c r="B524" s="5"/>
      <c r="C524" s="5"/>
      <c r="D524" s="5"/>
      <c r="E524" s="25"/>
      <c r="F524" s="25"/>
      <c r="G524" s="2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25"/>
      <c r="B525" s="5"/>
      <c r="C525" s="5"/>
      <c r="D525" s="5"/>
      <c r="E525" s="25"/>
      <c r="F525" s="25"/>
      <c r="G525" s="2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25"/>
      <c r="B526" s="5"/>
      <c r="C526" s="5"/>
      <c r="D526" s="5"/>
      <c r="E526" s="25"/>
      <c r="F526" s="25"/>
      <c r="G526" s="2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25"/>
      <c r="B527" s="5"/>
      <c r="C527" s="5"/>
      <c r="D527" s="5"/>
      <c r="E527" s="25"/>
      <c r="F527" s="25"/>
      <c r="G527" s="2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25"/>
      <c r="B528" s="5"/>
      <c r="C528" s="5"/>
      <c r="D528" s="5"/>
      <c r="E528" s="25"/>
      <c r="F528" s="25"/>
      <c r="G528" s="2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25"/>
      <c r="B529" s="5"/>
      <c r="C529" s="5"/>
      <c r="D529" s="5"/>
      <c r="E529" s="25"/>
      <c r="F529" s="25"/>
      <c r="G529" s="2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25"/>
      <c r="B530" s="5"/>
      <c r="C530" s="5"/>
      <c r="D530" s="5"/>
      <c r="E530" s="25"/>
      <c r="F530" s="25"/>
      <c r="G530" s="2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25"/>
      <c r="B531" s="5"/>
      <c r="C531" s="5"/>
      <c r="D531" s="5"/>
      <c r="E531" s="25"/>
      <c r="F531" s="25"/>
      <c r="G531" s="2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25"/>
      <c r="B532" s="5"/>
      <c r="C532" s="5"/>
      <c r="D532" s="5"/>
      <c r="E532" s="25"/>
      <c r="F532" s="25"/>
      <c r="G532" s="2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25"/>
      <c r="B533" s="5"/>
      <c r="C533" s="5"/>
      <c r="D533" s="5"/>
      <c r="E533" s="25"/>
      <c r="F533" s="25"/>
      <c r="G533" s="2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25"/>
      <c r="B534" s="5"/>
      <c r="C534" s="5"/>
      <c r="D534" s="5"/>
      <c r="E534" s="25"/>
      <c r="F534" s="25"/>
      <c r="G534" s="2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25"/>
      <c r="B535" s="5"/>
      <c r="C535" s="5"/>
      <c r="D535" s="5"/>
      <c r="E535" s="25"/>
      <c r="F535" s="25"/>
      <c r="G535" s="2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25"/>
      <c r="B536" s="5"/>
      <c r="C536" s="5"/>
      <c r="D536" s="5"/>
      <c r="E536" s="25"/>
      <c r="F536" s="25"/>
      <c r="G536" s="2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25"/>
      <c r="B537" s="5"/>
      <c r="C537" s="5"/>
      <c r="D537" s="5"/>
      <c r="E537" s="25"/>
      <c r="F537" s="25"/>
      <c r="G537" s="2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25"/>
      <c r="B538" s="5"/>
      <c r="C538" s="5"/>
      <c r="D538" s="5"/>
      <c r="E538" s="25"/>
      <c r="F538" s="25"/>
      <c r="G538" s="2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25"/>
      <c r="B539" s="5"/>
      <c r="C539" s="5"/>
      <c r="D539" s="5"/>
      <c r="E539" s="25"/>
      <c r="F539" s="25"/>
      <c r="G539" s="2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25"/>
      <c r="B540" s="5"/>
      <c r="C540" s="5"/>
      <c r="D540" s="5"/>
      <c r="E540" s="25"/>
      <c r="F540" s="25"/>
      <c r="G540" s="2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25"/>
      <c r="B541" s="5"/>
      <c r="C541" s="5"/>
      <c r="D541" s="5"/>
      <c r="E541" s="25"/>
      <c r="F541" s="25"/>
      <c r="G541" s="2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25"/>
      <c r="B542" s="5"/>
      <c r="C542" s="5"/>
      <c r="D542" s="5"/>
      <c r="E542" s="25"/>
      <c r="F542" s="25"/>
      <c r="G542" s="2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25"/>
      <c r="B543" s="5"/>
      <c r="C543" s="5"/>
      <c r="D543" s="5"/>
      <c r="E543" s="25"/>
      <c r="F543" s="25"/>
      <c r="G543" s="2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25"/>
      <c r="B544" s="5"/>
      <c r="C544" s="5"/>
      <c r="D544" s="5"/>
      <c r="E544" s="25"/>
      <c r="F544" s="25"/>
      <c r="G544" s="2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25"/>
      <c r="B545" s="5"/>
      <c r="C545" s="5"/>
      <c r="D545" s="5"/>
      <c r="E545" s="25"/>
      <c r="F545" s="25"/>
      <c r="G545" s="2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25"/>
      <c r="B546" s="5"/>
      <c r="C546" s="5"/>
      <c r="D546" s="5"/>
      <c r="E546" s="25"/>
      <c r="F546" s="25"/>
      <c r="G546" s="2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25"/>
      <c r="B547" s="5"/>
      <c r="C547" s="5"/>
      <c r="D547" s="5"/>
      <c r="E547" s="25"/>
      <c r="F547" s="25"/>
      <c r="G547" s="2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25"/>
      <c r="B548" s="5"/>
      <c r="C548" s="5"/>
      <c r="D548" s="5"/>
      <c r="E548" s="25"/>
      <c r="F548" s="25"/>
      <c r="G548" s="2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25"/>
      <c r="B549" s="5"/>
      <c r="C549" s="5"/>
      <c r="D549" s="5"/>
      <c r="E549" s="25"/>
      <c r="F549" s="25"/>
      <c r="G549" s="2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25"/>
      <c r="B550" s="5"/>
      <c r="C550" s="5"/>
      <c r="D550" s="5"/>
      <c r="E550" s="25"/>
      <c r="F550" s="25"/>
      <c r="G550" s="2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25"/>
      <c r="B551" s="5"/>
      <c r="C551" s="5"/>
      <c r="D551" s="5"/>
      <c r="E551" s="25"/>
      <c r="F551" s="25"/>
      <c r="G551" s="2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25"/>
      <c r="B552" s="5"/>
      <c r="C552" s="5"/>
      <c r="D552" s="5"/>
      <c r="E552" s="25"/>
      <c r="F552" s="25"/>
      <c r="G552" s="2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25"/>
      <c r="B553" s="5"/>
      <c r="C553" s="5"/>
      <c r="D553" s="5"/>
      <c r="E553" s="25"/>
      <c r="F553" s="25"/>
      <c r="G553" s="2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25"/>
      <c r="B554" s="5"/>
      <c r="C554" s="5"/>
      <c r="D554" s="5"/>
      <c r="E554" s="25"/>
      <c r="F554" s="25"/>
      <c r="G554" s="2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25"/>
      <c r="B555" s="5"/>
      <c r="C555" s="5"/>
      <c r="D555" s="5"/>
      <c r="E555" s="25"/>
      <c r="F555" s="25"/>
      <c r="G555" s="2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25"/>
      <c r="B556" s="5"/>
      <c r="C556" s="5"/>
      <c r="D556" s="5"/>
      <c r="E556" s="25"/>
      <c r="F556" s="25"/>
      <c r="G556" s="2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25"/>
      <c r="B557" s="5"/>
      <c r="C557" s="5"/>
      <c r="D557" s="5"/>
      <c r="E557" s="25"/>
      <c r="F557" s="25"/>
      <c r="G557" s="2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25"/>
      <c r="B558" s="5"/>
      <c r="C558" s="5"/>
      <c r="D558" s="5"/>
      <c r="E558" s="25"/>
      <c r="F558" s="25"/>
      <c r="G558" s="2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25"/>
      <c r="B559" s="5"/>
      <c r="C559" s="5"/>
      <c r="D559" s="5"/>
      <c r="E559" s="25"/>
      <c r="F559" s="25"/>
      <c r="G559" s="2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25"/>
      <c r="B560" s="5"/>
      <c r="C560" s="5"/>
      <c r="D560" s="5"/>
      <c r="E560" s="25"/>
      <c r="F560" s="25"/>
      <c r="G560" s="2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25"/>
      <c r="B561" s="5"/>
      <c r="C561" s="5"/>
      <c r="D561" s="5"/>
      <c r="E561" s="25"/>
      <c r="F561" s="25"/>
      <c r="G561" s="2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25"/>
      <c r="B562" s="5"/>
      <c r="C562" s="5"/>
      <c r="D562" s="5"/>
      <c r="E562" s="25"/>
      <c r="F562" s="25"/>
      <c r="G562" s="2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25"/>
      <c r="B563" s="5"/>
      <c r="C563" s="5"/>
      <c r="D563" s="5"/>
      <c r="E563" s="25"/>
      <c r="F563" s="25"/>
      <c r="G563" s="2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25"/>
      <c r="B564" s="5"/>
      <c r="C564" s="5"/>
      <c r="D564" s="5"/>
      <c r="E564" s="25"/>
      <c r="F564" s="25"/>
      <c r="G564" s="2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25"/>
      <c r="B565" s="5"/>
      <c r="C565" s="5"/>
      <c r="D565" s="5"/>
      <c r="E565" s="25"/>
      <c r="F565" s="25"/>
      <c r="G565" s="2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25"/>
      <c r="B566" s="5"/>
      <c r="C566" s="5"/>
      <c r="D566" s="5"/>
      <c r="E566" s="25"/>
      <c r="F566" s="25"/>
      <c r="G566" s="2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25"/>
      <c r="B567" s="5"/>
      <c r="C567" s="5"/>
      <c r="D567" s="5"/>
      <c r="E567" s="25"/>
      <c r="F567" s="25"/>
      <c r="G567" s="2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25"/>
      <c r="B568" s="5"/>
      <c r="C568" s="5"/>
      <c r="D568" s="5"/>
      <c r="E568" s="25"/>
      <c r="F568" s="25"/>
      <c r="G568" s="2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25"/>
      <c r="B569" s="5"/>
      <c r="C569" s="5"/>
      <c r="D569" s="5"/>
      <c r="E569" s="25"/>
      <c r="F569" s="25"/>
      <c r="G569" s="2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25"/>
      <c r="B570" s="5"/>
      <c r="C570" s="5"/>
      <c r="D570" s="5"/>
      <c r="E570" s="25"/>
      <c r="F570" s="25"/>
      <c r="G570" s="2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25"/>
      <c r="B571" s="5"/>
      <c r="C571" s="5"/>
      <c r="D571" s="5"/>
      <c r="E571" s="25"/>
      <c r="F571" s="25"/>
      <c r="G571" s="2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25"/>
      <c r="B572" s="5"/>
      <c r="C572" s="5"/>
      <c r="D572" s="5"/>
      <c r="E572" s="25"/>
      <c r="F572" s="25"/>
      <c r="G572" s="2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25"/>
      <c r="B573" s="5"/>
      <c r="C573" s="5"/>
      <c r="D573" s="5"/>
      <c r="E573" s="25"/>
      <c r="F573" s="25"/>
      <c r="G573" s="2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25"/>
      <c r="B574" s="5"/>
      <c r="C574" s="5"/>
      <c r="D574" s="5"/>
      <c r="E574" s="25"/>
      <c r="F574" s="25"/>
      <c r="G574" s="2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25"/>
      <c r="B575" s="5"/>
      <c r="C575" s="5"/>
      <c r="D575" s="5"/>
      <c r="E575" s="25"/>
      <c r="F575" s="25"/>
      <c r="G575" s="2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25"/>
      <c r="B576" s="5"/>
      <c r="C576" s="5"/>
      <c r="D576" s="5"/>
      <c r="E576" s="25"/>
      <c r="F576" s="25"/>
      <c r="G576" s="2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25"/>
      <c r="B577" s="5"/>
      <c r="C577" s="5"/>
      <c r="D577" s="5"/>
      <c r="E577" s="25"/>
      <c r="F577" s="25"/>
      <c r="G577" s="2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25"/>
      <c r="B578" s="5"/>
      <c r="C578" s="5"/>
      <c r="D578" s="5"/>
      <c r="E578" s="25"/>
      <c r="F578" s="25"/>
      <c r="G578" s="2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25"/>
      <c r="B579" s="5"/>
      <c r="C579" s="5"/>
      <c r="D579" s="5"/>
      <c r="E579" s="25"/>
      <c r="F579" s="25"/>
      <c r="G579" s="2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25"/>
      <c r="B580" s="5"/>
      <c r="C580" s="5"/>
      <c r="D580" s="5"/>
      <c r="E580" s="25"/>
      <c r="F580" s="25"/>
      <c r="G580" s="2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25"/>
      <c r="B581" s="5"/>
      <c r="C581" s="5"/>
      <c r="D581" s="5"/>
      <c r="E581" s="25"/>
      <c r="F581" s="25"/>
      <c r="G581" s="2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25"/>
      <c r="B582" s="5"/>
      <c r="C582" s="5"/>
      <c r="D582" s="5"/>
      <c r="E582" s="25"/>
      <c r="F582" s="25"/>
      <c r="G582" s="2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25"/>
      <c r="B583" s="5"/>
      <c r="C583" s="5"/>
      <c r="D583" s="5"/>
      <c r="E583" s="25"/>
      <c r="F583" s="25"/>
      <c r="G583" s="2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25"/>
      <c r="B584" s="5"/>
      <c r="C584" s="5"/>
      <c r="D584" s="5"/>
      <c r="E584" s="25"/>
      <c r="F584" s="25"/>
      <c r="G584" s="2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25"/>
      <c r="B585" s="5"/>
      <c r="C585" s="5"/>
      <c r="D585" s="5"/>
      <c r="E585" s="25"/>
      <c r="F585" s="25"/>
      <c r="G585" s="2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25"/>
      <c r="B586" s="5"/>
      <c r="C586" s="5"/>
      <c r="D586" s="5"/>
      <c r="E586" s="25"/>
      <c r="F586" s="25"/>
      <c r="G586" s="2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25"/>
      <c r="B587" s="5"/>
      <c r="C587" s="5"/>
      <c r="D587" s="5"/>
      <c r="E587" s="25"/>
      <c r="F587" s="25"/>
      <c r="G587" s="2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25"/>
      <c r="B588" s="5"/>
      <c r="C588" s="5"/>
      <c r="D588" s="5"/>
      <c r="E588" s="25"/>
      <c r="F588" s="25"/>
      <c r="G588" s="2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25"/>
      <c r="B589" s="5"/>
      <c r="C589" s="5"/>
      <c r="D589" s="5"/>
      <c r="E589" s="25"/>
      <c r="F589" s="25"/>
      <c r="G589" s="2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25"/>
      <c r="B590" s="5"/>
      <c r="C590" s="5"/>
      <c r="D590" s="5"/>
      <c r="E590" s="25"/>
      <c r="F590" s="25"/>
      <c r="G590" s="2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25"/>
      <c r="B591" s="5"/>
      <c r="C591" s="5"/>
      <c r="D591" s="5"/>
      <c r="E591" s="25"/>
      <c r="F591" s="25"/>
      <c r="G591" s="2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25"/>
      <c r="B592" s="5"/>
      <c r="C592" s="5"/>
      <c r="D592" s="5"/>
      <c r="E592" s="25"/>
      <c r="F592" s="25"/>
      <c r="G592" s="2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25"/>
      <c r="B593" s="5"/>
      <c r="C593" s="5"/>
      <c r="D593" s="5"/>
      <c r="E593" s="25"/>
      <c r="F593" s="25"/>
      <c r="G593" s="2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25"/>
      <c r="B594" s="5"/>
      <c r="C594" s="5"/>
      <c r="D594" s="5"/>
      <c r="E594" s="25"/>
      <c r="F594" s="25"/>
      <c r="G594" s="2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25"/>
      <c r="B595" s="5"/>
      <c r="C595" s="5"/>
      <c r="D595" s="5"/>
      <c r="E595" s="25"/>
      <c r="F595" s="25"/>
      <c r="G595" s="2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25"/>
      <c r="B596" s="5"/>
      <c r="C596" s="5"/>
      <c r="D596" s="5"/>
      <c r="E596" s="25"/>
      <c r="F596" s="25"/>
      <c r="G596" s="2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25"/>
      <c r="B597" s="5"/>
      <c r="C597" s="5"/>
      <c r="D597" s="5"/>
      <c r="E597" s="25"/>
      <c r="F597" s="25"/>
      <c r="G597" s="2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25"/>
      <c r="B598" s="5"/>
      <c r="C598" s="5"/>
      <c r="D598" s="5"/>
      <c r="E598" s="25"/>
      <c r="F598" s="25"/>
      <c r="G598" s="2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25"/>
      <c r="B599" s="5"/>
      <c r="C599" s="5"/>
      <c r="D599" s="5"/>
      <c r="E599" s="25"/>
      <c r="F599" s="25"/>
      <c r="G599" s="2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25"/>
      <c r="B600" s="5"/>
      <c r="C600" s="5"/>
      <c r="D600" s="5"/>
      <c r="E600" s="25"/>
      <c r="F600" s="25"/>
      <c r="G600" s="2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25"/>
      <c r="B601" s="5"/>
      <c r="C601" s="5"/>
      <c r="D601" s="5"/>
      <c r="E601" s="25"/>
      <c r="F601" s="25"/>
      <c r="G601" s="2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25"/>
      <c r="B602" s="5"/>
      <c r="C602" s="5"/>
      <c r="D602" s="5"/>
      <c r="E602" s="25"/>
      <c r="F602" s="25"/>
      <c r="G602" s="2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25"/>
      <c r="B603" s="5"/>
      <c r="C603" s="5"/>
      <c r="D603" s="5"/>
      <c r="E603" s="25"/>
      <c r="F603" s="25"/>
      <c r="G603" s="2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25"/>
      <c r="B604" s="5"/>
      <c r="C604" s="5"/>
      <c r="D604" s="5"/>
      <c r="E604" s="25"/>
      <c r="F604" s="25"/>
      <c r="G604" s="2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25"/>
      <c r="B605" s="5"/>
      <c r="C605" s="5"/>
      <c r="D605" s="5"/>
      <c r="E605" s="25"/>
      <c r="F605" s="25"/>
      <c r="G605" s="2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25"/>
      <c r="B606" s="5"/>
      <c r="C606" s="5"/>
      <c r="D606" s="5"/>
      <c r="E606" s="25"/>
      <c r="F606" s="25"/>
      <c r="G606" s="2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25"/>
      <c r="B607" s="5"/>
      <c r="C607" s="5"/>
      <c r="D607" s="5"/>
      <c r="E607" s="25"/>
      <c r="F607" s="25"/>
      <c r="G607" s="2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25"/>
      <c r="B608" s="5"/>
      <c r="C608" s="5"/>
      <c r="D608" s="5"/>
      <c r="E608" s="25"/>
      <c r="F608" s="25"/>
      <c r="G608" s="2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25"/>
      <c r="B609" s="5"/>
      <c r="C609" s="5"/>
      <c r="D609" s="5"/>
      <c r="E609" s="25"/>
      <c r="F609" s="25"/>
      <c r="G609" s="2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25"/>
      <c r="B610" s="5"/>
      <c r="C610" s="5"/>
      <c r="D610" s="5"/>
      <c r="E610" s="25"/>
      <c r="F610" s="25"/>
      <c r="G610" s="2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25"/>
      <c r="B611" s="5"/>
      <c r="C611" s="5"/>
      <c r="D611" s="5"/>
      <c r="E611" s="25"/>
      <c r="F611" s="25"/>
      <c r="G611" s="2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25"/>
      <c r="B612" s="5"/>
      <c r="C612" s="5"/>
      <c r="D612" s="5"/>
      <c r="E612" s="25"/>
      <c r="F612" s="25"/>
      <c r="G612" s="2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25"/>
      <c r="B613" s="5"/>
      <c r="C613" s="5"/>
      <c r="D613" s="5"/>
      <c r="E613" s="25"/>
      <c r="F613" s="25"/>
      <c r="G613" s="2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25"/>
      <c r="B614" s="5"/>
      <c r="C614" s="5"/>
      <c r="D614" s="5"/>
      <c r="E614" s="25"/>
      <c r="F614" s="25"/>
      <c r="G614" s="2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25"/>
      <c r="B615" s="5"/>
      <c r="C615" s="5"/>
      <c r="D615" s="5"/>
      <c r="E615" s="25"/>
      <c r="F615" s="25"/>
      <c r="G615" s="2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25"/>
      <c r="B616" s="5"/>
      <c r="C616" s="5"/>
      <c r="D616" s="5"/>
      <c r="E616" s="25"/>
      <c r="F616" s="25"/>
      <c r="G616" s="2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25"/>
      <c r="B617" s="5"/>
      <c r="C617" s="5"/>
      <c r="D617" s="5"/>
      <c r="E617" s="25"/>
      <c r="F617" s="25"/>
      <c r="G617" s="2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25"/>
      <c r="B618" s="5"/>
      <c r="C618" s="5"/>
      <c r="D618" s="5"/>
      <c r="E618" s="25"/>
      <c r="F618" s="25"/>
      <c r="G618" s="2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25"/>
      <c r="B619" s="5"/>
      <c r="C619" s="5"/>
      <c r="D619" s="5"/>
      <c r="E619" s="25"/>
      <c r="F619" s="25"/>
      <c r="G619" s="2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25"/>
      <c r="B620" s="5"/>
      <c r="C620" s="5"/>
      <c r="D620" s="5"/>
      <c r="E620" s="25"/>
      <c r="F620" s="25"/>
      <c r="G620" s="2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25"/>
      <c r="B621" s="5"/>
      <c r="C621" s="5"/>
      <c r="D621" s="5"/>
      <c r="E621" s="25"/>
      <c r="F621" s="25"/>
      <c r="G621" s="2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25"/>
      <c r="B622" s="5"/>
      <c r="C622" s="5"/>
      <c r="D622" s="5"/>
      <c r="E622" s="25"/>
      <c r="F622" s="25"/>
      <c r="G622" s="2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25"/>
      <c r="B623" s="5"/>
      <c r="C623" s="5"/>
      <c r="D623" s="5"/>
      <c r="E623" s="25"/>
      <c r="F623" s="25"/>
      <c r="G623" s="2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25"/>
      <c r="B624" s="5"/>
      <c r="C624" s="5"/>
      <c r="D624" s="5"/>
      <c r="E624" s="25"/>
      <c r="F624" s="25"/>
      <c r="G624" s="2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25"/>
      <c r="B625" s="5"/>
      <c r="C625" s="5"/>
      <c r="D625" s="5"/>
      <c r="E625" s="25"/>
      <c r="F625" s="25"/>
      <c r="G625" s="2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25"/>
      <c r="B626" s="5"/>
      <c r="C626" s="5"/>
      <c r="D626" s="5"/>
      <c r="E626" s="25"/>
      <c r="F626" s="25"/>
      <c r="G626" s="2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25"/>
      <c r="B627" s="5"/>
      <c r="C627" s="5"/>
      <c r="D627" s="5"/>
      <c r="E627" s="25"/>
      <c r="F627" s="25"/>
      <c r="G627" s="2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25"/>
      <c r="B628" s="5"/>
      <c r="C628" s="5"/>
      <c r="D628" s="5"/>
      <c r="E628" s="25"/>
      <c r="F628" s="25"/>
      <c r="G628" s="2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25"/>
      <c r="B629" s="5"/>
      <c r="C629" s="5"/>
      <c r="D629" s="5"/>
      <c r="E629" s="25"/>
      <c r="F629" s="25"/>
      <c r="G629" s="2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25"/>
      <c r="B630" s="5"/>
      <c r="C630" s="5"/>
      <c r="D630" s="5"/>
      <c r="E630" s="25"/>
      <c r="F630" s="25"/>
      <c r="G630" s="2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25"/>
      <c r="B631" s="5"/>
      <c r="C631" s="5"/>
      <c r="D631" s="5"/>
      <c r="E631" s="25"/>
      <c r="F631" s="25"/>
      <c r="G631" s="2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25"/>
      <c r="B632" s="5"/>
      <c r="C632" s="5"/>
      <c r="D632" s="5"/>
      <c r="E632" s="25"/>
      <c r="F632" s="25"/>
      <c r="G632" s="2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25"/>
      <c r="B633" s="5"/>
      <c r="C633" s="5"/>
      <c r="D633" s="5"/>
      <c r="E633" s="25"/>
      <c r="F633" s="25"/>
      <c r="G633" s="2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25"/>
      <c r="B634" s="5"/>
      <c r="C634" s="5"/>
      <c r="D634" s="5"/>
      <c r="E634" s="25"/>
      <c r="F634" s="25"/>
      <c r="G634" s="2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25"/>
      <c r="B635" s="5"/>
      <c r="C635" s="5"/>
      <c r="D635" s="5"/>
      <c r="E635" s="25"/>
      <c r="F635" s="25"/>
      <c r="G635" s="2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25"/>
      <c r="B636" s="5"/>
      <c r="C636" s="5"/>
      <c r="D636" s="5"/>
      <c r="E636" s="25"/>
      <c r="F636" s="25"/>
      <c r="G636" s="2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25"/>
      <c r="B637" s="5"/>
      <c r="C637" s="5"/>
      <c r="D637" s="5"/>
      <c r="E637" s="25"/>
      <c r="F637" s="25"/>
      <c r="G637" s="2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25"/>
      <c r="B638" s="5"/>
      <c r="C638" s="5"/>
      <c r="D638" s="5"/>
      <c r="E638" s="25"/>
      <c r="F638" s="25"/>
      <c r="G638" s="2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25"/>
      <c r="B639" s="5"/>
      <c r="C639" s="5"/>
      <c r="D639" s="5"/>
      <c r="E639" s="25"/>
      <c r="F639" s="25"/>
      <c r="G639" s="2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25"/>
      <c r="B640" s="5"/>
      <c r="C640" s="5"/>
      <c r="D640" s="5"/>
      <c r="E640" s="25"/>
      <c r="F640" s="25"/>
      <c r="G640" s="2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25"/>
      <c r="B641" s="5"/>
      <c r="C641" s="5"/>
      <c r="D641" s="5"/>
      <c r="E641" s="25"/>
      <c r="F641" s="25"/>
      <c r="G641" s="2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25"/>
      <c r="B642" s="5"/>
      <c r="C642" s="5"/>
      <c r="D642" s="5"/>
      <c r="E642" s="25"/>
      <c r="F642" s="25"/>
      <c r="G642" s="2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25"/>
      <c r="B643" s="5"/>
      <c r="C643" s="5"/>
      <c r="D643" s="5"/>
      <c r="E643" s="25"/>
      <c r="F643" s="25"/>
      <c r="G643" s="2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25"/>
      <c r="B644" s="5"/>
      <c r="C644" s="5"/>
      <c r="D644" s="5"/>
      <c r="E644" s="25"/>
      <c r="F644" s="25"/>
      <c r="G644" s="2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25"/>
      <c r="B645" s="5"/>
      <c r="C645" s="5"/>
      <c r="D645" s="5"/>
      <c r="E645" s="25"/>
      <c r="F645" s="25"/>
      <c r="G645" s="2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25"/>
      <c r="B646" s="5"/>
      <c r="C646" s="5"/>
      <c r="D646" s="5"/>
      <c r="E646" s="25"/>
      <c r="F646" s="25"/>
      <c r="G646" s="2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25"/>
      <c r="B647" s="5"/>
      <c r="C647" s="5"/>
      <c r="D647" s="5"/>
      <c r="E647" s="25"/>
      <c r="F647" s="25"/>
      <c r="G647" s="2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25"/>
      <c r="B648" s="5"/>
      <c r="C648" s="5"/>
      <c r="D648" s="5"/>
      <c r="E648" s="25"/>
      <c r="F648" s="25"/>
      <c r="G648" s="2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25"/>
      <c r="B649" s="5"/>
      <c r="C649" s="5"/>
      <c r="D649" s="5"/>
      <c r="E649" s="25"/>
      <c r="F649" s="25"/>
      <c r="G649" s="2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25"/>
      <c r="B650" s="5"/>
      <c r="C650" s="5"/>
      <c r="D650" s="5"/>
      <c r="E650" s="25"/>
      <c r="F650" s="25"/>
      <c r="G650" s="2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25"/>
      <c r="B651" s="5"/>
      <c r="C651" s="5"/>
      <c r="D651" s="5"/>
      <c r="E651" s="25"/>
      <c r="F651" s="25"/>
      <c r="G651" s="2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25"/>
      <c r="B652" s="5"/>
      <c r="C652" s="5"/>
      <c r="D652" s="5"/>
      <c r="E652" s="25"/>
      <c r="F652" s="25"/>
      <c r="G652" s="2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25"/>
      <c r="B653" s="5"/>
      <c r="C653" s="5"/>
      <c r="D653" s="5"/>
      <c r="E653" s="25"/>
      <c r="F653" s="25"/>
      <c r="G653" s="2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25"/>
      <c r="B654" s="5"/>
      <c r="C654" s="5"/>
      <c r="D654" s="5"/>
      <c r="E654" s="25"/>
      <c r="F654" s="25"/>
      <c r="G654" s="2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25"/>
      <c r="B655" s="5"/>
      <c r="C655" s="5"/>
      <c r="D655" s="5"/>
      <c r="E655" s="25"/>
      <c r="F655" s="25"/>
      <c r="G655" s="2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25"/>
      <c r="B656" s="5"/>
      <c r="C656" s="5"/>
      <c r="D656" s="5"/>
      <c r="E656" s="25"/>
      <c r="F656" s="25"/>
      <c r="G656" s="2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25"/>
      <c r="B657" s="5"/>
      <c r="C657" s="5"/>
      <c r="D657" s="5"/>
      <c r="E657" s="25"/>
      <c r="F657" s="25"/>
      <c r="G657" s="2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25"/>
      <c r="B658" s="5"/>
      <c r="C658" s="5"/>
      <c r="D658" s="5"/>
      <c r="E658" s="25"/>
      <c r="F658" s="25"/>
      <c r="G658" s="2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25"/>
      <c r="B659" s="5"/>
      <c r="C659" s="5"/>
      <c r="D659" s="5"/>
      <c r="E659" s="25"/>
      <c r="F659" s="25"/>
      <c r="G659" s="2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25"/>
      <c r="B660" s="5"/>
      <c r="C660" s="5"/>
      <c r="D660" s="5"/>
      <c r="E660" s="25"/>
      <c r="F660" s="25"/>
      <c r="G660" s="2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25"/>
      <c r="B661" s="5"/>
      <c r="C661" s="5"/>
      <c r="D661" s="5"/>
      <c r="E661" s="25"/>
      <c r="F661" s="25"/>
      <c r="G661" s="2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25"/>
      <c r="B662" s="5"/>
      <c r="C662" s="5"/>
      <c r="D662" s="5"/>
      <c r="E662" s="25"/>
      <c r="F662" s="25"/>
      <c r="G662" s="2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25"/>
      <c r="B663" s="5"/>
      <c r="C663" s="5"/>
      <c r="D663" s="5"/>
      <c r="E663" s="25"/>
      <c r="F663" s="25"/>
      <c r="G663" s="2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25"/>
      <c r="B664" s="5"/>
      <c r="C664" s="5"/>
      <c r="D664" s="5"/>
      <c r="E664" s="25"/>
      <c r="F664" s="25"/>
      <c r="G664" s="2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25"/>
      <c r="B665" s="5"/>
      <c r="C665" s="5"/>
      <c r="D665" s="5"/>
      <c r="E665" s="25"/>
      <c r="F665" s="25"/>
      <c r="G665" s="2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25"/>
      <c r="B666" s="5"/>
      <c r="C666" s="5"/>
      <c r="D666" s="5"/>
      <c r="E666" s="25"/>
      <c r="F666" s="25"/>
      <c r="G666" s="2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25"/>
      <c r="B667" s="5"/>
      <c r="C667" s="5"/>
      <c r="D667" s="5"/>
      <c r="E667" s="25"/>
      <c r="F667" s="25"/>
      <c r="G667" s="2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25"/>
      <c r="B668" s="5"/>
      <c r="C668" s="5"/>
      <c r="D668" s="5"/>
      <c r="E668" s="25"/>
      <c r="F668" s="25"/>
      <c r="G668" s="2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25"/>
      <c r="B669" s="5"/>
      <c r="C669" s="5"/>
      <c r="D669" s="5"/>
      <c r="E669" s="25"/>
      <c r="F669" s="25"/>
      <c r="G669" s="2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25"/>
      <c r="B670" s="5"/>
      <c r="C670" s="5"/>
      <c r="D670" s="5"/>
      <c r="E670" s="25"/>
      <c r="F670" s="25"/>
      <c r="G670" s="2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25"/>
      <c r="B671" s="5"/>
      <c r="C671" s="5"/>
      <c r="D671" s="5"/>
      <c r="E671" s="25"/>
      <c r="F671" s="25"/>
      <c r="G671" s="2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25"/>
      <c r="B672" s="5"/>
      <c r="C672" s="5"/>
      <c r="D672" s="5"/>
      <c r="E672" s="25"/>
      <c r="F672" s="25"/>
      <c r="G672" s="2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25"/>
      <c r="B673" s="5"/>
      <c r="C673" s="5"/>
      <c r="D673" s="5"/>
      <c r="E673" s="25"/>
      <c r="F673" s="25"/>
      <c r="G673" s="2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25"/>
      <c r="B674" s="5"/>
      <c r="C674" s="5"/>
      <c r="D674" s="5"/>
      <c r="E674" s="25"/>
      <c r="F674" s="25"/>
      <c r="G674" s="2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25"/>
      <c r="B675" s="5"/>
      <c r="C675" s="5"/>
      <c r="D675" s="5"/>
      <c r="E675" s="25"/>
      <c r="F675" s="25"/>
      <c r="G675" s="2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25"/>
      <c r="B676" s="5"/>
      <c r="C676" s="5"/>
      <c r="D676" s="5"/>
      <c r="E676" s="25"/>
      <c r="F676" s="25"/>
      <c r="G676" s="2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25"/>
      <c r="B677" s="5"/>
      <c r="C677" s="5"/>
      <c r="D677" s="5"/>
      <c r="E677" s="25"/>
      <c r="F677" s="25"/>
      <c r="G677" s="2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25"/>
      <c r="B678" s="5"/>
      <c r="C678" s="5"/>
      <c r="D678" s="5"/>
      <c r="E678" s="25"/>
      <c r="F678" s="25"/>
      <c r="G678" s="2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25"/>
      <c r="B679" s="5"/>
      <c r="C679" s="5"/>
      <c r="D679" s="5"/>
      <c r="E679" s="25"/>
      <c r="F679" s="25"/>
      <c r="G679" s="2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25"/>
      <c r="B680" s="5"/>
      <c r="C680" s="5"/>
      <c r="D680" s="5"/>
      <c r="E680" s="25"/>
      <c r="F680" s="25"/>
      <c r="G680" s="2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25"/>
      <c r="B681" s="5"/>
      <c r="C681" s="5"/>
      <c r="D681" s="5"/>
      <c r="E681" s="25"/>
      <c r="F681" s="25"/>
      <c r="G681" s="2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25"/>
      <c r="B682" s="5"/>
      <c r="C682" s="5"/>
      <c r="D682" s="5"/>
      <c r="E682" s="25"/>
      <c r="F682" s="25"/>
      <c r="G682" s="2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25"/>
      <c r="B683" s="5"/>
      <c r="C683" s="5"/>
      <c r="D683" s="5"/>
      <c r="E683" s="25"/>
      <c r="F683" s="25"/>
      <c r="G683" s="2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25"/>
      <c r="B684" s="5"/>
      <c r="C684" s="5"/>
      <c r="D684" s="5"/>
      <c r="E684" s="25"/>
      <c r="F684" s="25"/>
      <c r="G684" s="2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25"/>
      <c r="B685" s="5"/>
      <c r="C685" s="5"/>
      <c r="D685" s="5"/>
      <c r="E685" s="25"/>
      <c r="F685" s="25"/>
      <c r="G685" s="2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25"/>
      <c r="B686" s="5"/>
      <c r="C686" s="5"/>
      <c r="D686" s="5"/>
      <c r="E686" s="25"/>
      <c r="F686" s="25"/>
      <c r="G686" s="2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25"/>
      <c r="B687" s="5"/>
      <c r="C687" s="5"/>
      <c r="D687" s="5"/>
      <c r="E687" s="25"/>
      <c r="F687" s="25"/>
      <c r="G687" s="2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25"/>
      <c r="B688" s="5"/>
      <c r="C688" s="5"/>
      <c r="D688" s="5"/>
      <c r="E688" s="25"/>
      <c r="F688" s="25"/>
      <c r="G688" s="2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25"/>
      <c r="B689" s="5"/>
      <c r="C689" s="5"/>
      <c r="D689" s="5"/>
      <c r="E689" s="25"/>
      <c r="F689" s="25"/>
      <c r="G689" s="2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25"/>
      <c r="B690" s="5"/>
      <c r="C690" s="5"/>
      <c r="D690" s="5"/>
      <c r="E690" s="25"/>
      <c r="F690" s="25"/>
      <c r="G690" s="2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25"/>
      <c r="B691" s="5"/>
      <c r="C691" s="5"/>
      <c r="D691" s="5"/>
      <c r="E691" s="25"/>
      <c r="F691" s="25"/>
      <c r="G691" s="2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25"/>
      <c r="B692" s="5"/>
      <c r="C692" s="5"/>
      <c r="D692" s="5"/>
      <c r="E692" s="25"/>
      <c r="F692" s="25"/>
      <c r="G692" s="2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25"/>
      <c r="B693" s="5"/>
      <c r="C693" s="5"/>
      <c r="D693" s="5"/>
      <c r="E693" s="25"/>
      <c r="F693" s="25"/>
      <c r="G693" s="2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25"/>
      <c r="B694" s="5"/>
      <c r="C694" s="5"/>
      <c r="D694" s="5"/>
      <c r="E694" s="25"/>
      <c r="F694" s="25"/>
      <c r="G694" s="2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25"/>
      <c r="B695" s="5"/>
      <c r="C695" s="5"/>
      <c r="D695" s="5"/>
      <c r="E695" s="25"/>
      <c r="F695" s="25"/>
      <c r="G695" s="2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25"/>
      <c r="B696" s="5"/>
      <c r="C696" s="5"/>
      <c r="D696" s="5"/>
      <c r="E696" s="25"/>
      <c r="F696" s="25"/>
      <c r="G696" s="2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25"/>
      <c r="B697" s="5"/>
      <c r="C697" s="5"/>
      <c r="D697" s="5"/>
      <c r="E697" s="25"/>
      <c r="F697" s="25"/>
      <c r="G697" s="2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25"/>
      <c r="B698" s="5"/>
      <c r="C698" s="5"/>
      <c r="D698" s="5"/>
      <c r="E698" s="25"/>
      <c r="F698" s="25"/>
      <c r="G698" s="2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25"/>
      <c r="B699" s="5"/>
      <c r="C699" s="5"/>
      <c r="D699" s="5"/>
      <c r="E699" s="25"/>
      <c r="F699" s="25"/>
      <c r="G699" s="2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25"/>
      <c r="B700" s="5"/>
      <c r="C700" s="5"/>
      <c r="D700" s="5"/>
      <c r="E700" s="25"/>
      <c r="F700" s="25"/>
      <c r="G700" s="2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25"/>
      <c r="B701" s="5"/>
      <c r="C701" s="5"/>
      <c r="D701" s="5"/>
      <c r="E701" s="25"/>
      <c r="F701" s="25"/>
      <c r="G701" s="2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25"/>
      <c r="B702" s="5"/>
      <c r="C702" s="5"/>
      <c r="D702" s="5"/>
      <c r="E702" s="25"/>
      <c r="F702" s="25"/>
      <c r="G702" s="2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25"/>
      <c r="B703" s="5"/>
      <c r="C703" s="5"/>
      <c r="D703" s="5"/>
      <c r="E703" s="25"/>
      <c r="F703" s="25"/>
      <c r="G703" s="2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25"/>
      <c r="B704" s="5"/>
      <c r="C704" s="5"/>
      <c r="D704" s="5"/>
      <c r="E704" s="25"/>
      <c r="F704" s="25"/>
      <c r="G704" s="2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25"/>
      <c r="B705" s="5"/>
      <c r="C705" s="5"/>
      <c r="D705" s="5"/>
      <c r="E705" s="25"/>
      <c r="F705" s="25"/>
      <c r="G705" s="2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25"/>
      <c r="B706" s="5"/>
      <c r="C706" s="5"/>
      <c r="D706" s="5"/>
      <c r="E706" s="25"/>
      <c r="F706" s="25"/>
      <c r="G706" s="2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25"/>
      <c r="B707" s="5"/>
      <c r="C707" s="5"/>
      <c r="D707" s="5"/>
      <c r="E707" s="25"/>
      <c r="F707" s="25"/>
      <c r="G707" s="2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25"/>
      <c r="B708" s="5"/>
      <c r="C708" s="5"/>
      <c r="D708" s="5"/>
      <c r="E708" s="25"/>
      <c r="F708" s="25"/>
      <c r="G708" s="2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25"/>
      <c r="B709" s="5"/>
      <c r="C709" s="5"/>
      <c r="D709" s="5"/>
      <c r="E709" s="25"/>
      <c r="F709" s="25"/>
      <c r="G709" s="2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25"/>
      <c r="B710" s="5"/>
      <c r="C710" s="5"/>
      <c r="D710" s="5"/>
      <c r="E710" s="25"/>
      <c r="F710" s="25"/>
      <c r="G710" s="2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25"/>
      <c r="B711" s="5"/>
      <c r="C711" s="5"/>
      <c r="D711" s="5"/>
      <c r="E711" s="25"/>
      <c r="F711" s="25"/>
      <c r="G711" s="2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25"/>
      <c r="B712" s="5"/>
      <c r="C712" s="5"/>
      <c r="D712" s="5"/>
      <c r="E712" s="25"/>
      <c r="F712" s="25"/>
      <c r="G712" s="2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25"/>
      <c r="B713" s="5"/>
      <c r="C713" s="5"/>
      <c r="D713" s="5"/>
      <c r="E713" s="25"/>
      <c r="F713" s="25"/>
      <c r="G713" s="2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25"/>
      <c r="B714" s="5"/>
      <c r="C714" s="5"/>
      <c r="D714" s="5"/>
      <c r="E714" s="25"/>
      <c r="F714" s="25"/>
      <c r="G714" s="2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25"/>
      <c r="B715" s="5"/>
      <c r="C715" s="5"/>
      <c r="D715" s="5"/>
      <c r="E715" s="25"/>
      <c r="F715" s="25"/>
      <c r="G715" s="2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25"/>
      <c r="B716" s="5"/>
      <c r="C716" s="5"/>
      <c r="D716" s="5"/>
      <c r="E716" s="25"/>
      <c r="F716" s="25"/>
      <c r="G716" s="2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25"/>
      <c r="B717" s="5"/>
      <c r="C717" s="5"/>
      <c r="D717" s="5"/>
      <c r="E717" s="25"/>
      <c r="F717" s="25"/>
      <c r="G717" s="2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25"/>
      <c r="B718" s="5"/>
      <c r="C718" s="5"/>
      <c r="D718" s="5"/>
      <c r="E718" s="25"/>
      <c r="F718" s="25"/>
      <c r="G718" s="2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25"/>
      <c r="B719" s="5"/>
      <c r="C719" s="5"/>
      <c r="D719" s="5"/>
      <c r="E719" s="25"/>
      <c r="F719" s="25"/>
      <c r="G719" s="2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25"/>
      <c r="B720" s="5"/>
      <c r="C720" s="5"/>
      <c r="D720" s="5"/>
      <c r="E720" s="25"/>
      <c r="F720" s="25"/>
      <c r="G720" s="2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25"/>
      <c r="B721" s="5"/>
      <c r="C721" s="5"/>
      <c r="D721" s="5"/>
      <c r="E721" s="25"/>
      <c r="F721" s="25"/>
      <c r="G721" s="2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25"/>
      <c r="B722" s="5"/>
      <c r="C722" s="5"/>
      <c r="D722" s="5"/>
      <c r="E722" s="25"/>
      <c r="F722" s="25"/>
      <c r="G722" s="2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25"/>
      <c r="B723" s="5"/>
      <c r="C723" s="5"/>
      <c r="D723" s="5"/>
      <c r="E723" s="25"/>
      <c r="F723" s="25"/>
      <c r="G723" s="2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25"/>
      <c r="B724" s="5"/>
      <c r="C724" s="5"/>
      <c r="D724" s="5"/>
      <c r="E724" s="25"/>
      <c r="F724" s="25"/>
      <c r="G724" s="2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25"/>
      <c r="B725" s="5"/>
      <c r="C725" s="5"/>
      <c r="D725" s="5"/>
      <c r="E725" s="25"/>
      <c r="F725" s="25"/>
      <c r="G725" s="2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25"/>
      <c r="B726" s="5"/>
      <c r="C726" s="5"/>
      <c r="D726" s="5"/>
      <c r="E726" s="25"/>
      <c r="F726" s="25"/>
      <c r="G726" s="2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25"/>
      <c r="B727" s="5"/>
      <c r="C727" s="5"/>
      <c r="D727" s="5"/>
      <c r="E727" s="25"/>
      <c r="F727" s="25"/>
      <c r="G727" s="2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25"/>
      <c r="B728" s="5"/>
      <c r="C728" s="5"/>
      <c r="D728" s="5"/>
      <c r="E728" s="25"/>
      <c r="F728" s="25"/>
      <c r="G728" s="2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25"/>
      <c r="B729" s="5"/>
      <c r="C729" s="5"/>
      <c r="D729" s="5"/>
      <c r="E729" s="25"/>
      <c r="F729" s="25"/>
      <c r="G729" s="2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25"/>
      <c r="B730" s="5"/>
      <c r="C730" s="5"/>
      <c r="D730" s="5"/>
      <c r="E730" s="25"/>
      <c r="F730" s="25"/>
      <c r="G730" s="2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25"/>
      <c r="B731" s="5"/>
      <c r="C731" s="5"/>
      <c r="D731" s="5"/>
      <c r="E731" s="25"/>
      <c r="F731" s="25"/>
      <c r="G731" s="2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25"/>
      <c r="B732" s="5"/>
      <c r="C732" s="5"/>
      <c r="D732" s="5"/>
      <c r="E732" s="25"/>
      <c r="F732" s="25"/>
      <c r="G732" s="2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25"/>
      <c r="B733" s="5"/>
      <c r="C733" s="5"/>
      <c r="D733" s="5"/>
      <c r="E733" s="25"/>
      <c r="F733" s="25"/>
      <c r="G733" s="2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25"/>
      <c r="B734" s="5"/>
      <c r="C734" s="5"/>
      <c r="D734" s="5"/>
      <c r="E734" s="25"/>
      <c r="F734" s="25"/>
      <c r="G734" s="2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25"/>
      <c r="B735" s="5"/>
      <c r="C735" s="5"/>
      <c r="D735" s="5"/>
      <c r="E735" s="25"/>
      <c r="F735" s="25"/>
      <c r="G735" s="2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25"/>
      <c r="B736" s="5"/>
      <c r="C736" s="5"/>
      <c r="D736" s="5"/>
      <c r="E736" s="25"/>
      <c r="F736" s="25"/>
      <c r="G736" s="2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25"/>
      <c r="B737" s="5"/>
      <c r="C737" s="5"/>
      <c r="D737" s="5"/>
      <c r="E737" s="25"/>
      <c r="F737" s="25"/>
      <c r="G737" s="2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25"/>
      <c r="B738" s="5"/>
      <c r="C738" s="5"/>
      <c r="D738" s="5"/>
      <c r="E738" s="25"/>
      <c r="F738" s="25"/>
      <c r="G738" s="2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25"/>
      <c r="B739" s="5"/>
      <c r="C739" s="5"/>
      <c r="D739" s="5"/>
      <c r="E739" s="25"/>
      <c r="F739" s="25"/>
      <c r="G739" s="2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25"/>
      <c r="B740" s="5"/>
      <c r="C740" s="5"/>
      <c r="D740" s="5"/>
      <c r="E740" s="25"/>
      <c r="F740" s="25"/>
      <c r="G740" s="2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25"/>
      <c r="B741" s="5"/>
      <c r="C741" s="5"/>
      <c r="D741" s="5"/>
      <c r="E741" s="25"/>
      <c r="F741" s="25"/>
      <c r="G741" s="2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25"/>
      <c r="B742" s="5"/>
      <c r="C742" s="5"/>
      <c r="D742" s="5"/>
      <c r="E742" s="25"/>
      <c r="F742" s="25"/>
      <c r="G742" s="2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25"/>
      <c r="B743" s="5"/>
      <c r="C743" s="5"/>
      <c r="D743" s="5"/>
      <c r="E743" s="25"/>
      <c r="F743" s="25"/>
      <c r="G743" s="2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25"/>
      <c r="B744" s="5"/>
      <c r="C744" s="5"/>
      <c r="D744" s="5"/>
      <c r="E744" s="25"/>
      <c r="F744" s="25"/>
      <c r="G744" s="2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25"/>
      <c r="B745" s="5"/>
      <c r="C745" s="5"/>
      <c r="D745" s="5"/>
      <c r="E745" s="25"/>
      <c r="F745" s="25"/>
      <c r="G745" s="2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25"/>
      <c r="B746" s="5"/>
      <c r="C746" s="5"/>
      <c r="D746" s="5"/>
      <c r="E746" s="25"/>
      <c r="F746" s="25"/>
      <c r="G746" s="2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25"/>
      <c r="B747" s="5"/>
      <c r="C747" s="5"/>
      <c r="D747" s="5"/>
      <c r="E747" s="25"/>
      <c r="F747" s="25"/>
      <c r="G747" s="2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25"/>
      <c r="B748" s="5"/>
      <c r="C748" s="5"/>
      <c r="D748" s="5"/>
      <c r="E748" s="25"/>
      <c r="F748" s="25"/>
      <c r="G748" s="2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25"/>
      <c r="B749" s="5"/>
      <c r="C749" s="5"/>
      <c r="D749" s="5"/>
      <c r="E749" s="25"/>
      <c r="F749" s="25"/>
      <c r="G749" s="2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25"/>
      <c r="B750" s="5"/>
      <c r="C750" s="5"/>
      <c r="D750" s="5"/>
      <c r="E750" s="25"/>
      <c r="F750" s="25"/>
      <c r="G750" s="2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25"/>
      <c r="B751" s="5"/>
      <c r="C751" s="5"/>
      <c r="D751" s="5"/>
      <c r="E751" s="25"/>
      <c r="F751" s="25"/>
      <c r="G751" s="2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25"/>
      <c r="B752" s="5"/>
      <c r="C752" s="5"/>
      <c r="D752" s="5"/>
      <c r="E752" s="25"/>
      <c r="F752" s="25"/>
      <c r="G752" s="2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25"/>
      <c r="B753" s="5"/>
      <c r="C753" s="5"/>
      <c r="D753" s="5"/>
      <c r="E753" s="25"/>
      <c r="F753" s="25"/>
      <c r="G753" s="2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25"/>
      <c r="B754" s="5"/>
      <c r="C754" s="5"/>
      <c r="D754" s="5"/>
      <c r="E754" s="25"/>
      <c r="F754" s="25"/>
      <c r="G754" s="2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25"/>
      <c r="B755" s="5"/>
      <c r="C755" s="5"/>
      <c r="D755" s="5"/>
      <c r="E755" s="25"/>
      <c r="F755" s="25"/>
      <c r="G755" s="2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25"/>
      <c r="B756" s="5"/>
      <c r="C756" s="5"/>
      <c r="D756" s="5"/>
      <c r="E756" s="25"/>
      <c r="F756" s="25"/>
      <c r="G756" s="2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25"/>
      <c r="B757" s="5"/>
      <c r="C757" s="5"/>
      <c r="D757" s="5"/>
      <c r="E757" s="25"/>
      <c r="F757" s="25"/>
      <c r="G757" s="2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25"/>
      <c r="B758" s="5"/>
      <c r="C758" s="5"/>
      <c r="D758" s="5"/>
      <c r="E758" s="25"/>
      <c r="F758" s="25"/>
      <c r="G758" s="2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25"/>
      <c r="B759" s="5"/>
      <c r="C759" s="5"/>
      <c r="D759" s="5"/>
      <c r="E759" s="25"/>
      <c r="F759" s="25"/>
      <c r="G759" s="2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25"/>
      <c r="B760" s="5"/>
      <c r="C760" s="5"/>
      <c r="D760" s="5"/>
      <c r="E760" s="25"/>
      <c r="F760" s="25"/>
      <c r="G760" s="2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25"/>
      <c r="B761" s="5"/>
      <c r="C761" s="5"/>
      <c r="D761" s="5"/>
      <c r="E761" s="25"/>
      <c r="F761" s="25"/>
      <c r="G761" s="2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25"/>
      <c r="B762" s="5"/>
      <c r="C762" s="5"/>
      <c r="D762" s="5"/>
      <c r="E762" s="25"/>
      <c r="F762" s="25"/>
      <c r="G762" s="2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25"/>
      <c r="B763" s="5"/>
      <c r="C763" s="5"/>
      <c r="D763" s="5"/>
      <c r="E763" s="25"/>
      <c r="F763" s="25"/>
      <c r="G763" s="2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25"/>
      <c r="B764" s="5"/>
      <c r="C764" s="5"/>
      <c r="D764" s="5"/>
      <c r="E764" s="25"/>
      <c r="F764" s="25"/>
      <c r="G764" s="2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25"/>
      <c r="B765" s="5"/>
      <c r="C765" s="5"/>
      <c r="D765" s="5"/>
      <c r="E765" s="25"/>
      <c r="F765" s="25"/>
      <c r="G765" s="2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25"/>
      <c r="B766" s="5"/>
      <c r="C766" s="5"/>
      <c r="D766" s="5"/>
      <c r="E766" s="25"/>
      <c r="F766" s="25"/>
      <c r="G766" s="2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25"/>
      <c r="B767" s="5"/>
      <c r="C767" s="5"/>
      <c r="D767" s="5"/>
      <c r="E767" s="25"/>
      <c r="F767" s="25"/>
      <c r="G767" s="2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25"/>
      <c r="B768" s="5"/>
      <c r="C768" s="5"/>
      <c r="D768" s="5"/>
      <c r="E768" s="25"/>
      <c r="F768" s="25"/>
      <c r="G768" s="2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25"/>
      <c r="B769" s="5"/>
      <c r="C769" s="5"/>
      <c r="D769" s="5"/>
      <c r="E769" s="25"/>
      <c r="F769" s="25"/>
      <c r="G769" s="2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25"/>
      <c r="B770" s="5"/>
      <c r="C770" s="5"/>
      <c r="D770" s="5"/>
      <c r="E770" s="25"/>
      <c r="F770" s="25"/>
      <c r="G770" s="2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25"/>
      <c r="B771" s="5"/>
      <c r="C771" s="5"/>
      <c r="D771" s="5"/>
      <c r="E771" s="25"/>
      <c r="F771" s="25"/>
      <c r="G771" s="2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25"/>
      <c r="B772" s="5"/>
      <c r="C772" s="5"/>
      <c r="D772" s="5"/>
      <c r="E772" s="25"/>
      <c r="F772" s="25"/>
      <c r="G772" s="2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25"/>
      <c r="B773" s="5"/>
      <c r="C773" s="5"/>
      <c r="D773" s="5"/>
      <c r="E773" s="25"/>
      <c r="F773" s="25"/>
      <c r="G773" s="2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25"/>
      <c r="B774" s="5"/>
      <c r="C774" s="5"/>
      <c r="D774" s="5"/>
      <c r="E774" s="25"/>
      <c r="F774" s="25"/>
      <c r="G774" s="2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25"/>
      <c r="B775" s="5"/>
      <c r="C775" s="5"/>
      <c r="D775" s="5"/>
      <c r="E775" s="25"/>
      <c r="F775" s="25"/>
      <c r="G775" s="2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25"/>
      <c r="B776" s="5"/>
      <c r="C776" s="5"/>
      <c r="D776" s="5"/>
      <c r="E776" s="25"/>
      <c r="F776" s="25"/>
      <c r="G776" s="2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25"/>
      <c r="B777" s="5"/>
      <c r="C777" s="5"/>
      <c r="D777" s="5"/>
      <c r="E777" s="25"/>
      <c r="F777" s="25"/>
      <c r="G777" s="2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25"/>
      <c r="B778" s="5"/>
      <c r="C778" s="5"/>
      <c r="D778" s="5"/>
      <c r="E778" s="25"/>
      <c r="F778" s="25"/>
      <c r="G778" s="2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25"/>
      <c r="B779" s="5"/>
      <c r="C779" s="5"/>
      <c r="D779" s="5"/>
      <c r="E779" s="25"/>
      <c r="F779" s="25"/>
      <c r="G779" s="2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25"/>
      <c r="B780" s="5"/>
      <c r="C780" s="5"/>
      <c r="D780" s="5"/>
      <c r="E780" s="25"/>
      <c r="F780" s="25"/>
      <c r="G780" s="2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25"/>
      <c r="B781" s="5"/>
      <c r="C781" s="5"/>
      <c r="D781" s="5"/>
      <c r="E781" s="25"/>
      <c r="F781" s="25"/>
      <c r="G781" s="2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25"/>
      <c r="B782" s="5"/>
      <c r="C782" s="5"/>
      <c r="D782" s="5"/>
      <c r="E782" s="25"/>
      <c r="F782" s="25"/>
      <c r="G782" s="2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25"/>
      <c r="B783" s="5"/>
      <c r="C783" s="5"/>
      <c r="D783" s="5"/>
      <c r="E783" s="25"/>
      <c r="F783" s="25"/>
      <c r="G783" s="2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25"/>
      <c r="B784" s="5"/>
      <c r="C784" s="5"/>
      <c r="D784" s="5"/>
      <c r="E784" s="25"/>
      <c r="F784" s="25"/>
      <c r="G784" s="2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25"/>
      <c r="B785" s="5"/>
      <c r="C785" s="5"/>
      <c r="D785" s="5"/>
      <c r="E785" s="25"/>
      <c r="F785" s="25"/>
      <c r="G785" s="2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25"/>
      <c r="B786" s="5"/>
      <c r="C786" s="5"/>
      <c r="D786" s="5"/>
      <c r="E786" s="25"/>
      <c r="F786" s="25"/>
      <c r="G786" s="2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25"/>
      <c r="B787" s="5"/>
      <c r="C787" s="5"/>
      <c r="D787" s="5"/>
      <c r="E787" s="25"/>
      <c r="F787" s="25"/>
      <c r="G787" s="2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25"/>
      <c r="B788" s="5"/>
      <c r="C788" s="5"/>
      <c r="D788" s="5"/>
      <c r="E788" s="25"/>
      <c r="F788" s="25"/>
      <c r="G788" s="2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25"/>
      <c r="B789" s="5"/>
      <c r="C789" s="5"/>
      <c r="D789" s="5"/>
      <c r="E789" s="25"/>
      <c r="F789" s="25"/>
      <c r="G789" s="2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25"/>
      <c r="B790" s="5"/>
      <c r="C790" s="5"/>
      <c r="D790" s="5"/>
      <c r="E790" s="25"/>
      <c r="F790" s="25"/>
      <c r="G790" s="2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25"/>
      <c r="B791" s="5"/>
      <c r="C791" s="5"/>
      <c r="D791" s="5"/>
      <c r="E791" s="25"/>
      <c r="F791" s="25"/>
      <c r="G791" s="2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25"/>
      <c r="B792" s="5"/>
      <c r="C792" s="5"/>
      <c r="D792" s="5"/>
      <c r="E792" s="25"/>
      <c r="F792" s="25"/>
      <c r="G792" s="2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25"/>
      <c r="B793" s="5"/>
      <c r="C793" s="5"/>
      <c r="D793" s="5"/>
      <c r="E793" s="25"/>
      <c r="F793" s="25"/>
      <c r="G793" s="2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25"/>
      <c r="B794" s="5"/>
      <c r="C794" s="5"/>
      <c r="D794" s="5"/>
      <c r="E794" s="25"/>
      <c r="F794" s="25"/>
      <c r="G794" s="2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25"/>
      <c r="B795" s="5"/>
      <c r="C795" s="5"/>
      <c r="D795" s="5"/>
      <c r="E795" s="25"/>
      <c r="F795" s="25"/>
      <c r="G795" s="2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25"/>
      <c r="B796" s="5"/>
      <c r="C796" s="5"/>
      <c r="D796" s="5"/>
      <c r="E796" s="25"/>
      <c r="F796" s="25"/>
      <c r="G796" s="2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25"/>
      <c r="B797" s="5"/>
      <c r="C797" s="5"/>
      <c r="D797" s="5"/>
      <c r="E797" s="25"/>
      <c r="F797" s="25"/>
      <c r="G797" s="2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25"/>
      <c r="B798" s="5"/>
      <c r="C798" s="5"/>
      <c r="D798" s="5"/>
      <c r="E798" s="25"/>
      <c r="F798" s="25"/>
      <c r="G798" s="2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25"/>
      <c r="B799" s="5"/>
      <c r="C799" s="5"/>
      <c r="D799" s="5"/>
      <c r="E799" s="25"/>
      <c r="F799" s="25"/>
      <c r="G799" s="2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25"/>
      <c r="B800" s="5"/>
      <c r="C800" s="5"/>
      <c r="D800" s="5"/>
      <c r="E800" s="25"/>
      <c r="F800" s="25"/>
      <c r="G800" s="2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25"/>
      <c r="B801" s="5"/>
      <c r="C801" s="5"/>
      <c r="D801" s="5"/>
      <c r="E801" s="25"/>
      <c r="F801" s="25"/>
      <c r="G801" s="2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25"/>
      <c r="B802" s="5"/>
      <c r="C802" s="5"/>
      <c r="D802" s="5"/>
      <c r="E802" s="25"/>
      <c r="F802" s="25"/>
      <c r="G802" s="2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25"/>
      <c r="B803" s="5"/>
      <c r="C803" s="5"/>
      <c r="D803" s="5"/>
      <c r="E803" s="25"/>
      <c r="F803" s="25"/>
      <c r="G803" s="2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25"/>
      <c r="B804" s="5"/>
      <c r="C804" s="5"/>
      <c r="D804" s="5"/>
      <c r="E804" s="25"/>
      <c r="F804" s="25"/>
      <c r="G804" s="2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25"/>
      <c r="B805" s="5"/>
      <c r="C805" s="5"/>
      <c r="D805" s="5"/>
      <c r="E805" s="25"/>
      <c r="F805" s="25"/>
      <c r="G805" s="2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25"/>
      <c r="B806" s="5"/>
      <c r="C806" s="5"/>
      <c r="D806" s="5"/>
      <c r="E806" s="25"/>
      <c r="F806" s="25"/>
      <c r="G806" s="2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25"/>
      <c r="B807" s="5"/>
      <c r="C807" s="5"/>
      <c r="D807" s="5"/>
      <c r="E807" s="25"/>
      <c r="F807" s="25"/>
      <c r="G807" s="2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25"/>
      <c r="B808" s="5"/>
      <c r="C808" s="5"/>
      <c r="D808" s="5"/>
      <c r="E808" s="25"/>
      <c r="F808" s="25"/>
      <c r="G808" s="2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25"/>
      <c r="B809" s="5"/>
      <c r="C809" s="5"/>
      <c r="D809" s="5"/>
      <c r="E809" s="25"/>
      <c r="F809" s="25"/>
      <c r="G809" s="2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25"/>
      <c r="B810" s="5"/>
      <c r="C810" s="5"/>
      <c r="D810" s="5"/>
      <c r="E810" s="25"/>
      <c r="F810" s="25"/>
      <c r="G810" s="2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25"/>
      <c r="B811" s="5"/>
      <c r="C811" s="5"/>
      <c r="D811" s="5"/>
      <c r="E811" s="25"/>
      <c r="F811" s="25"/>
      <c r="G811" s="2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25"/>
      <c r="B812" s="5"/>
      <c r="C812" s="5"/>
      <c r="D812" s="5"/>
      <c r="E812" s="25"/>
      <c r="F812" s="25"/>
      <c r="G812" s="2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25"/>
      <c r="B813" s="5"/>
      <c r="C813" s="5"/>
      <c r="D813" s="5"/>
      <c r="E813" s="25"/>
      <c r="F813" s="25"/>
      <c r="G813" s="2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25"/>
      <c r="B814" s="5"/>
      <c r="C814" s="5"/>
      <c r="D814" s="5"/>
      <c r="E814" s="25"/>
      <c r="F814" s="25"/>
      <c r="G814" s="2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25"/>
      <c r="B815" s="5"/>
      <c r="C815" s="5"/>
      <c r="D815" s="5"/>
      <c r="E815" s="25"/>
      <c r="F815" s="25"/>
      <c r="G815" s="2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25"/>
      <c r="B816" s="5"/>
      <c r="C816" s="5"/>
      <c r="D816" s="5"/>
      <c r="E816" s="25"/>
      <c r="F816" s="25"/>
      <c r="G816" s="2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25"/>
      <c r="B817" s="5"/>
      <c r="C817" s="5"/>
      <c r="D817" s="5"/>
      <c r="E817" s="25"/>
      <c r="F817" s="25"/>
      <c r="G817" s="2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25"/>
      <c r="B818" s="5"/>
      <c r="C818" s="5"/>
      <c r="D818" s="5"/>
      <c r="E818" s="25"/>
      <c r="F818" s="25"/>
      <c r="G818" s="2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25"/>
      <c r="B819" s="5"/>
      <c r="C819" s="5"/>
      <c r="D819" s="5"/>
      <c r="E819" s="25"/>
      <c r="F819" s="25"/>
      <c r="G819" s="2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25"/>
      <c r="B820" s="5"/>
      <c r="C820" s="5"/>
      <c r="D820" s="5"/>
      <c r="E820" s="25"/>
      <c r="F820" s="25"/>
      <c r="G820" s="2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25"/>
      <c r="B821" s="5"/>
      <c r="C821" s="5"/>
      <c r="D821" s="5"/>
      <c r="E821" s="25"/>
      <c r="F821" s="25"/>
      <c r="G821" s="2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25"/>
      <c r="B822" s="5"/>
      <c r="C822" s="5"/>
      <c r="D822" s="5"/>
      <c r="E822" s="25"/>
      <c r="F822" s="25"/>
      <c r="G822" s="2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25"/>
      <c r="B823" s="5"/>
      <c r="C823" s="5"/>
      <c r="D823" s="5"/>
      <c r="E823" s="25"/>
      <c r="F823" s="25"/>
      <c r="G823" s="2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25"/>
      <c r="B824" s="5"/>
      <c r="C824" s="5"/>
      <c r="D824" s="5"/>
      <c r="E824" s="25"/>
      <c r="F824" s="25"/>
      <c r="G824" s="2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25"/>
      <c r="B825" s="5"/>
      <c r="C825" s="5"/>
      <c r="D825" s="5"/>
      <c r="E825" s="25"/>
      <c r="F825" s="25"/>
      <c r="G825" s="2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25"/>
      <c r="B826" s="5"/>
      <c r="C826" s="5"/>
      <c r="D826" s="5"/>
      <c r="E826" s="25"/>
      <c r="F826" s="25"/>
      <c r="G826" s="2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25"/>
      <c r="B827" s="5"/>
      <c r="C827" s="5"/>
      <c r="D827" s="5"/>
      <c r="E827" s="25"/>
      <c r="F827" s="25"/>
      <c r="G827" s="2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25"/>
      <c r="B828" s="5"/>
      <c r="C828" s="5"/>
      <c r="D828" s="5"/>
      <c r="E828" s="25"/>
      <c r="F828" s="25"/>
      <c r="G828" s="2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25"/>
      <c r="B829" s="5"/>
      <c r="C829" s="5"/>
      <c r="D829" s="5"/>
      <c r="E829" s="25"/>
      <c r="F829" s="25"/>
      <c r="G829" s="2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25"/>
      <c r="B830" s="5"/>
      <c r="C830" s="5"/>
      <c r="D830" s="5"/>
      <c r="E830" s="25"/>
      <c r="F830" s="25"/>
      <c r="G830" s="2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25"/>
      <c r="B831" s="5"/>
      <c r="C831" s="5"/>
      <c r="D831" s="5"/>
      <c r="E831" s="25"/>
      <c r="F831" s="25"/>
      <c r="G831" s="2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25"/>
      <c r="B832" s="5"/>
      <c r="C832" s="5"/>
      <c r="D832" s="5"/>
      <c r="E832" s="25"/>
      <c r="F832" s="25"/>
      <c r="G832" s="2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25"/>
      <c r="B833" s="5"/>
      <c r="C833" s="5"/>
      <c r="D833" s="5"/>
      <c r="E833" s="25"/>
      <c r="F833" s="25"/>
      <c r="G833" s="2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25"/>
      <c r="B834" s="5"/>
      <c r="C834" s="5"/>
      <c r="D834" s="5"/>
      <c r="E834" s="25"/>
      <c r="F834" s="25"/>
      <c r="G834" s="2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25"/>
      <c r="B835" s="5"/>
      <c r="C835" s="5"/>
      <c r="D835" s="5"/>
      <c r="E835" s="25"/>
      <c r="F835" s="25"/>
      <c r="G835" s="2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25"/>
      <c r="B836" s="5"/>
      <c r="C836" s="5"/>
      <c r="D836" s="5"/>
      <c r="E836" s="25"/>
      <c r="F836" s="25"/>
      <c r="G836" s="2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25"/>
      <c r="B837" s="5"/>
      <c r="C837" s="5"/>
      <c r="D837" s="5"/>
      <c r="E837" s="25"/>
      <c r="F837" s="25"/>
      <c r="G837" s="2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25"/>
      <c r="B838" s="5"/>
      <c r="C838" s="5"/>
      <c r="D838" s="5"/>
      <c r="E838" s="25"/>
      <c r="F838" s="25"/>
      <c r="G838" s="2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25"/>
      <c r="B839" s="5"/>
      <c r="C839" s="5"/>
      <c r="D839" s="5"/>
      <c r="E839" s="25"/>
      <c r="F839" s="25"/>
      <c r="G839" s="2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25"/>
      <c r="B840" s="5"/>
      <c r="C840" s="5"/>
      <c r="D840" s="5"/>
      <c r="E840" s="25"/>
      <c r="F840" s="25"/>
      <c r="G840" s="2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25"/>
      <c r="B841" s="5"/>
      <c r="C841" s="5"/>
      <c r="D841" s="5"/>
      <c r="E841" s="25"/>
      <c r="F841" s="25"/>
      <c r="G841" s="2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25"/>
      <c r="B842" s="5"/>
      <c r="C842" s="5"/>
      <c r="D842" s="5"/>
      <c r="E842" s="25"/>
      <c r="F842" s="25"/>
      <c r="G842" s="2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25"/>
      <c r="B843" s="5"/>
      <c r="C843" s="5"/>
      <c r="D843" s="5"/>
      <c r="E843" s="25"/>
      <c r="F843" s="25"/>
      <c r="G843" s="2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25"/>
      <c r="B844" s="5"/>
      <c r="C844" s="5"/>
      <c r="D844" s="5"/>
      <c r="E844" s="25"/>
      <c r="F844" s="25"/>
      <c r="G844" s="2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25"/>
      <c r="B845" s="5"/>
      <c r="C845" s="5"/>
      <c r="D845" s="5"/>
      <c r="E845" s="25"/>
      <c r="F845" s="25"/>
      <c r="G845" s="2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25"/>
      <c r="B846" s="5"/>
      <c r="C846" s="5"/>
      <c r="D846" s="5"/>
      <c r="E846" s="25"/>
      <c r="F846" s="25"/>
      <c r="G846" s="2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25"/>
      <c r="B847" s="5"/>
      <c r="C847" s="5"/>
      <c r="D847" s="5"/>
      <c r="E847" s="25"/>
      <c r="F847" s="25"/>
      <c r="G847" s="2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25"/>
      <c r="B848" s="5"/>
      <c r="C848" s="5"/>
      <c r="D848" s="5"/>
      <c r="E848" s="25"/>
      <c r="F848" s="25"/>
      <c r="G848" s="2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25"/>
      <c r="B849" s="5"/>
      <c r="C849" s="5"/>
      <c r="D849" s="5"/>
      <c r="E849" s="25"/>
      <c r="F849" s="25"/>
      <c r="G849" s="2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25"/>
      <c r="B850" s="5"/>
      <c r="C850" s="5"/>
      <c r="D850" s="5"/>
      <c r="E850" s="25"/>
      <c r="F850" s="25"/>
      <c r="G850" s="2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25"/>
      <c r="B851" s="5"/>
      <c r="C851" s="5"/>
      <c r="D851" s="5"/>
      <c r="E851" s="25"/>
      <c r="F851" s="25"/>
      <c r="G851" s="2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25"/>
      <c r="B852" s="5"/>
      <c r="C852" s="5"/>
      <c r="D852" s="5"/>
      <c r="E852" s="25"/>
      <c r="F852" s="25"/>
      <c r="G852" s="2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25"/>
      <c r="B853" s="5"/>
      <c r="C853" s="5"/>
      <c r="D853" s="5"/>
      <c r="E853" s="25"/>
      <c r="F853" s="25"/>
      <c r="G853" s="2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25"/>
      <c r="B854" s="5"/>
      <c r="C854" s="5"/>
      <c r="D854" s="5"/>
      <c r="E854" s="25"/>
      <c r="F854" s="25"/>
      <c r="G854" s="2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25"/>
      <c r="B855" s="5"/>
      <c r="C855" s="5"/>
      <c r="D855" s="5"/>
      <c r="E855" s="25"/>
      <c r="F855" s="25"/>
      <c r="G855" s="2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25"/>
      <c r="B856" s="5"/>
      <c r="C856" s="5"/>
      <c r="D856" s="5"/>
      <c r="E856" s="25"/>
      <c r="F856" s="25"/>
      <c r="G856" s="2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25"/>
      <c r="B857" s="5"/>
      <c r="C857" s="5"/>
      <c r="D857" s="5"/>
      <c r="E857" s="25"/>
      <c r="F857" s="25"/>
      <c r="G857" s="2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25"/>
      <c r="B858" s="5"/>
      <c r="C858" s="5"/>
      <c r="D858" s="5"/>
      <c r="E858" s="25"/>
      <c r="F858" s="25"/>
      <c r="G858" s="2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25"/>
      <c r="B859" s="5"/>
      <c r="C859" s="5"/>
      <c r="D859" s="5"/>
      <c r="E859" s="25"/>
      <c r="F859" s="25"/>
      <c r="G859" s="2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25"/>
      <c r="B860" s="5"/>
      <c r="C860" s="5"/>
      <c r="D860" s="5"/>
      <c r="E860" s="25"/>
      <c r="F860" s="25"/>
      <c r="G860" s="2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25"/>
      <c r="B861" s="5"/>
      <c r="C861" s="5"/>
      <c r="D861" s="5"/>
      <c r="E861" s="25"/>
      <c r="F861" s="25"/>
      <c r="G861" s="2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25"/>
      <c r="B862" s="5"/>
      <c r="C862" s="5"/>
      <c r="D862" s="5"/>
      <c r="E862" s="25"/>
      <c r="F862" s="25"/>
      <c r="G862" s="2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25"/>
      <c r="B863" s="5"/>
      <c r="C863" s="5"/>
      <c r="D863" s="5"/>
      <c r="E863" s="25"/>
      <c r="F863" s="25"/>
      <c r="G863" s="2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25"/>
      <c r="B864" s="5"/>
      <c r="C864" s="5"/>
      <c r="D864" s="5"/>
      <c r="E864" s="25"/>
      <c r="F864" s="25"/>
      <c r="G864" s="2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25"/>
      <c r="B865" s="5"/>
      <c r="C865" s="5"/>
      <c r="D865" s="5"/>
      <c r="E865" s="25"/>
      <c r="F865" s="25"/>
      <c r="G865" s="2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25"/>
      <c r="B866" s="5"/>
      <c r="C866" s="5"/>
      <c r="D866" s="5"/>
      <c r="E866" s="25"/>
      <c r="F866" s="25"/>
      <c r="G866" s="2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25"/>
      <c r="B867" s="5"/>
      <c r="C867" s="5"/>
      <c r="D867" s="5"/>
      <c r="E867" s="25"/>
      <c r="F867" s="25"/>
      <c r="G867" s="2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25"/>
      <c r="B868" s="5"/>
      <c r="C868" s="5"/>
      <c r="D868" s="5"/>
      <c r="E868" s="25"/>
      <c r="F868" s="25"/>
      <c r="G868" s="2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25"/>
      <c r="B869" s="5"/>
      <c r="C869" s="5"/>
      <c r="D869" s="5"/>
      <c r="E869" s="25"/>
      <c r="F869" s="25"/>
      <c r="G869" s="2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25"/>
      <c r="B870" s="5"/>
      <c r="C870" s="5"/>
      <c r="D870" s="5"/>
      <c r="E870" s="25"/>
      <c r="F870" s="25"/>
      <c r="G870" s="2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25"/>
      <c r="B871" s="5"/>
      <c r="C871" s="5"/>
      <c r="D871" s="5"/>
      <c r="E871" s="25"/>
      <c r="F871" s="25"/>
      <c r="G871" s="2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25"/>
      <c r="B872" s="5"/>
      <c r="C872" s="5"/>
      <c r="D872" s="5"/>
      <c r="E872" s="25"/>
      <c r="F872" s="25"/>
      <c r="G872" s="2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25"/>
      <c r="B873" s="5"/>
      <c r="C873" s="5"/>
      <c r="D873" s="5"/>
      <c r="E873" s="25"/>
      <c r="F873" s="25"/>
      <c r="G873" s="2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25"/>
      <c r="B874" s="5"/>
      <c r="C874" s="5"/>
      <c r="D874" s="5"/>
      <c r="E874" s="25"/>
      <c r="F874" s="25"/>
      <c r="G874" s="2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25"/>
      <c r="B875" s="5"/>
      <c r="C875" s="5"/>
      <c r="D875" s="5"/>
      <c r="E875" s="25"/>
      <c r="F875" s="25"/>
      <c r="G875" s="2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25"/>
      <c r="B876" s="5"/>
      <c r="C876" s="5"/>
      <c r="D876" s="5"/>
      <c r="E876" s="25"/>
      <c r="F876" s="25"/>
      <c r="G876" s="2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25"/>
      <c r="B877" s="5"/>
      <c r="C877" s="5"/>
      <c r="D877" s="5"/>
      <c r="E877" s="25"/>
      <c r="F877" s="25"/>
      <c r="G877" s="2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25"/>
      <c r="B878" s="5"/>
      <c r="C878" s="5"/>
      <c r="D878" s="5"/>
      <c r="E878" s="25"/>
      <c r="F878" s="25"/>
      <c r="G878" s="2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25"/>
      <c r="B879" s="5"/>
      <c r="C879" s="5"/>
      <c r="D879" s="5"/>
      <c r="E879" s="25"/>
      <c r="F879" s="25"/>
      <c r="G879" s="2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25"/>
      <c r="B880" s="5"/>
      <c r="C880" s="5"/>
      <c r="D880" s="5"/>
      <c r="E880" s="25"/>
      <c r="F880" s="25"/>
      <c r="G880" s="2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25"/>
      <c r="B881" s="5"/>
      <c r="C881" s="5"/>
      <c r="D881" s="5"/>
      <c r="E881" s="25"/>
      <c r="F881" s="25"/>
      <c r="G881" s="2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25"/>
      <c r="B882" s="5"/>
      <c r="C882" s="5"/>
      <c r="D882" s="5"/>
      <c r="E882" s="25"/>
      <c r="F882" s="25"/>
      <c r="G882" s="2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25"/>
      <c r="B883" s="5"/>
      <c r="C883" s="5"/>
      <c r="D883" s="5"/>
      <c r="E883" s="25"/>
      <c r="F883" s="25"/>
      <c r="G883" s="2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25"/>
      <c r="B884" s="5"/>
      <c r="C884" s="5"/>
      <c r="D884" s="5"/>
      <c r="E884" s="25"/>
      <c r="F884" s="25"/>
      <c r="G884" s="2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25"/>
      <c r="B885" s="5"/>
      <c r="C885" s="5"/>
      <c r="D885" s="5"/>
      <c r="E885" s="25"/>
      <c r="F885" s="25"/>
      <c r="G885" s="2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25"/>
      <c r="B886" s="5"/>
      <c r="C886" s="5"/>
      <c r="D886" s="5"/>
      <c r="E886" s="25"/>
      <c r="F886" s="25"/>
      <c r="G886" s="2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25"/>
      <c r="B887" s="5"/>
      <c r="C887" s="5"/>
      <c r="D887" s="5"/>
      <c r="E887" s="25"/>
      <c r="F887" s="25"/>
      <c r="G887" s="2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25"/>
      <c r="B888" s="5"/>
      <c r="C888" s="5"/>
      <c r="D888" s="5"/>
      <c r="E888" s="25"/>
      <c r="F888" s="25"/>
      <c r="G888" s="2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25"/>
      <c r="B889" s="5"/>
      <c r="C889" s="5"/>
      <c r="D889" s="5"/>
      <c r="E889" s="25"/>
      <c r="F889" s="25"/>
      <c r="G889" s="2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25"/>
      <c r="B890" s="5"/>
      <c r="C890" s="5"/>
      <c r="D890" s="5"/>
      <c r="E890" s="25"/>
      <c r="F890" s="25"/>
      <c r="G890" s="2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25"/>
      <c r="B891" s="5"/>
      <c r="C891" s="5"/>
      <c r="D891" s="5"/>
      <c r="E891" s="25"/>
      <c r="F891" s="25"/>
      <c r="G891" s="2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25"/>
      <c r="B892" s="5"/>
      <c r="C892" s="5"/>
      <c r="D892" s="5"/>
      <c r="E892" s="25"/>
      <c r="F892" s="25"/>
      <c r="G892" s="2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25"/>
      <c r="B893" s="5"/>
      <c r="C893" s="5"/>
      <c r="D893" s="5"/>
      <c r="E893" s="25"/>
      <c r="F893" s="25"/>
      <c r="G893" s="2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25"/>
      <c r="B894" s="5"/>
      <c r="C894" s="5"/>
      <c r="D894" s="5"/>
      <c r="E894" s="25"/>
      <c r="F894" s="25"/>
      <c r="G894" s="2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25"/>
      <c r="B895" s="5"/>
      <c r="C895" s="5"/>
      <c r="D895" s="5"/>
      <c r="E895" s="25"/>
      <c r="F895" s="25"/>
      <c r="G895" s="2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25"/>
      <c r="B896" s="5"/>
      <c r="C896" s="5"/>
      <c r="D896" s="5"/>
      <c r="E896" s="25"/>
      <c r="F896" s="25"/>
      <c r="G896" s="2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25"/>
      <c r="B897" s="5"/>
      <c r="C897" s="5"/>
      <c r="D897" s="5"/>
      <c r="E897" s="25"/>
      <c r="F897" s="25"/>
      <c r="G897" s="2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25"/>
      <c r="B898" s="5"/>
      <c r="C898" s="5"/>
      <c r="D898" s="5"/>
      <c r="E898" s="25"/>
      <c r="F898" s="25"/>
      <c r="G898" s="2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25"/>
      <c r="B899" s="5"/>
      <c r="C899" s="5"/>
      <c r="D899" s="5"/>
      <c r="E899" s="25"/>
      <c r="F899" s="25"/>
      <c r="G899" s="2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25"/>
      <c r="B900" s="5"/>
      <c r="C900" s="5"/>
      <c r="D900" s="5"/>
      <c r="E900" s="25"/>
      <c r="F900" s="25"/>
      <c r="G900" s="2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25"/>
      <c r="B901" s="5"/>
      <c r="C901" s="5"/>
      <c r="D901" s="5"/>
      <c r="E901" s="25"/>
      <c r="F901" s="25"/>
      <c r="G901" s="2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25"/>
      <c r="B902" s="5"/>
      <c r="C902" s="5"/>
      <c r="D902" s="5"/>
      <c r="E902" s="25"/>
      <c r="F902" s="25"/>
      <c r="G902" s="2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25"/>
      <c r="B903" s="5"/>
      <c r="C903" s="5"/>
      <c r="D903" s="5"/>
      <c r="E903" s="25"/>
      <c r="F903" s="25"/>
      <c r="G903" s="2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25"/>
      <c r="B904" s="5"/>
      <c r="C904" s="5"/>
      <c r="D904" s="5"/>
      <c r="E904" s="25"/>
      <c r="F904" s="25"/>
      <c r="G904" s="2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25"/>
      <c r="B905" s="5"/>
      <c r="C905" s="5"/>
      <c r="D905" s="5"/>
      <c r="E905" s="25"/>
      <c r="F905" s="25"/>
      <c r="G905" s="2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25"/>
      <c r="B906" s="5"/>
      <c r="C906" s="5"/>
      <c r="D906" s="5"/>
      <c r="E906" s="25"/>
      <c r="F906" s="25"/>
      <c r="G906" s="2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25"/>
      <c r="B907" s="5"/>
      <c r="C907" s="5"/>
      <c r="D907" s="5"/>
      <c r="E907" s="25"/>
      <c r="F907" s="25"/>
      <c r="G907" s="2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25"/>
      <c r="B908" s="5"/>
      <c r="C908" s="5"/>
      <c r="D908" s="5"/>
      <c r="E908" s="25"/>
      <c r="F908" s="25"/>
      <c r="G908" s="2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25"/>
      <c r="B909" s="5"/>
      <c r="C909" s="5"/>
      <c r="D909" s="5"/>
      <c r="E909" s="25"/>
      <c r="F909" s="25"/>
      <c r="G909" s="2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25"/>
      <c r="B910" s="5"/>
      <c r="C910" s="5"/>
      <c r="D910" s="5"/>
      <c r="E910" s="25"/>
      <c r="F910" s="25"/>
      <c r="G910" s="2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25"/>
      <c r="B911" s="5"/>
      <c r="C911" s="5"/>
      <c r="D911" s="5"/>
      <c r="E911" s="25"/>
      <c r="F911" s="25"/>
      <c r="G911" s="2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25"/>
      <c r="B912" s="5"/>
      <c r="C912" s="5"/>
      <c r="D912" s="5"/>
      <c r="E912" s="25"/>
      <c r="F912" s="25"/>
      <c r="G912" s="2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25"/>
      <c r="B913" s="5"/>
      <c r="C913" s="5"/>
      <c r="D913" s="5"/>
      <c r="E913" s="25"/>
      <c r="F913" s="25"/>
      <c r="G913" s="2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25"/>
      <c r="B914" s="5"/>
      <c r="C914" s="5"/>
      <c r="D914" s="5"/>
      <c r="E914" s="25"/>
      <c r="F914" s="25"/>
      <c r="G914" s="2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25"/>
      <c r="B915" s="5"/>
      <c r="C915" s="5"/>
      <c r="D915" s="5"/>
      <c r="E915" s="25"/>
      <c r="F915" s="25"/>
      <c r="G915" s="2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25"/>
      <c r="B916" s="5"/>
      <c r="C916" s="5"/>
      <c r="D916" s="5"/>
      <c r="E916" s="25"/>
      <c r="F916" s="25"/>
      <c r="G916" s="2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25"/>
      <c r="B917" s="5"/>
      <c r="C917" s="5"/>
      <c r="D917" s="5"/>
      <c r="E917" s="25"/>
      <c r="F917" s="25"/>
      <c r="G917" s="2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25"/>
      <c r="B918" s="5"/>
      <c r="C918" s="5"/>
      <c r="D918" s="5"/>
      <c r="E918" s="25"/>
      <c r="F918" s="25"/>
      <c r="G918" s="2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25"/>
      <c r="B919" s="5"/>
      <c r="C919" s="5"/>
      <c r="D919" s="5"/>
      <c r="E919" s="25"/>
      <c r="F919" s="25"/>
      <c r="G919" s="2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25"/>
      <c r="B920" s="5"/>
      <c r="C920" s="5"/>
      <c r="D920" s="5"/>
      <c r="E920" s="25"/>
      <c r="F920" s="25"/>
      <c r="G920" s="2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25"/>
      <c r="B921" s="5"/>
      <c r="C921" s="5"/>
      <c r="D921" s="5"/>
      <c r="E921" s="25"/>
      <c r="F921" s="25"/>
      <c r="G921" s="2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25"/>
      <c r="B922" s="5"/>
      <c r="C922" s="5"/>
      <c r="D922" s="5"/>
      <c r="E922" s="25"/>
      <c r="F922" s="25"/>
      <c r="G922" s="2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25"/>
      <c r="B923" s="5"/>
      <c r="C923" s="5"/>
      <c r="D923" s="5"/>
      <c r="E923" s="25"/>
      <c r="F923" s="25"/>
      <c r="G923" s="2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25"/>
      <c r="B924" s="5"/>
      <c r="C924" s="5"/>
      <c r="D924" s="5"/>
      <c r="E924" s="25"/>
      <c r="F924" s="25"/>
      <c r="G924" s="2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25"/>
      <c r="B925" s="5"/>
      <c r="C925" s="5"/>
      <c r="D925" s="5"/>
      <c r="E925" s="25"/>
      <c r="F925" s="25"/>
      <c r="G925" s="2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25"/>
      <c r="B926" s="5"/>
      <c r="C926" s="5"/>
      <c r="D926" s="5"/>
      <c r="E926" s="25"/>
      <c r="F926" s="25"/>
      <c r="G926" s="2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25"/>
      <c r="B927" s="5"/>
      <c r="C927" s="5"/>
      <c r="D927" s="5"/>
      <c r="E927" s="25"/>
      <c r="F927" s="25"/>
      <c r="G927" s="2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25"/>
      <c r="B928" s="5"/>
      <c r="C928" s="5"/>
      <c r="D928" s="5"/>
      <c r="E928" s="25"/>
      <c r="F928" s="25"/>
      <c r="G928" s="2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25"/>
      <c r="B929" s="5"/>
      <c r="C929" s="5"/>
      <c r="D929" s="5"/>
      <c r="E929" s="25"/>
      <c r="F929" s="25"/>
      <c r="G929" s="2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25"/>
      <c r="B930" s="5"/>
      <c r="C930" s="5"/>
      <c r="D930" s="5"/>
      <c r="E930" s="25"/>
      <c r="F930" s="25"/>
      <c r="G930" s="2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25"/>
      <c r="B931" s="5"/>
      <c r="C931" s="5"/>
      <c r="D931" s="5"/>
      <c r="E931" s="25"/>
      <c r="F931" s="25"/>
      <c r="G931" s="2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25"/>
      <c r="B932" s="5"/>
      <c r="C932" s="5"/>
      <c r="D932" s="5"/>
      <c r="E932" s="25"/>
      <c r="F932" s="25"/>
      <c r="G932" s="2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25"/>
      <c r="B933" s="5"/>
      <c r="C933" s="5"/>
      <c r="D933" s="5"/>
      <c r="E933" s="25"/>
      <c r="F933" s="25"/>
      <c r="G933" s="2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25"/>
      <c r="B934" s="5"/>
      <c r="C934" s="5"/>
      <c r="D934" s="5"/>
      <c r="E934" s="25"/>
      <c r="F934" s="25"/>
      <c r="G934" s="2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25"/>
      <c r="B935" s="5"/>
      <c r="C935" s="5"/>
      <c r="D935" s="5"/>
      <c r="E935" s="25"/>
      <c r="F935" s="25"/>
      <c r="G935" s="2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25"/>
      <c r="B936" s="5"/>
      <c r="C936" s="5"/>
      <c r="D936" s="5"/>
      <c r="E936" s="25"/>
      <c r="F936" s="25"/>
      <c r="G936" s="2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25"/>
      <c r="B937" s="5"/>
      <c r="C937" s="5"/>
      <c r="D937" s="5"/>
      <c r="E937" s="25"/>
      <c r="F937" s="25"/>
      <c r="G937" s="2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25"/>
      <c r="B938" s="5"/>
      <c r="C938" s="5"/>
      <c r="D938" s="5"/>
      <c r="E938" s="25"/>
      <c r="F938" s="25"/>
      <c r="G938" s="2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25"/>
      <c r="B939" s="5"/>
      <c r="C939" s="5"/>
      <c r="D939" s="5"/>
      <c r="E939" s="25"/>
      <c r="F939" s="25"/>
      <c r="G939" s="2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25"/>
      <c r="B940" s="5"/>
      <c r="C940" s="5"/>
      <c r="D940" s="5"/>
      <c r="E940" s="25"/>
      <c r="F940" s="25"/>
      <c r="G940" s="2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25"/>
      <c r="B941" s="5"/>
      <c r="C941" s="5"/>
      <c r="D941" s="5"/>
      <c r="E941" s="25"/>
      <c r="F941" s="25"/>
      <c r="G941" s="2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25"/>
      <c r="B942" s="5"/>
      <c r="C942" s="5"/>
      <c r="D942" s="5"/>
      <c r="E942" s="25"/>
      <c r="F942" s="25"/>
      <c r="G942" s="2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25"/>
      <c r="B943" s="5"/>
      <c r="C943" s="5"/>
      <c r="D943" s="5"/>
      <c r="E943" s="25"/>
      <c r="F943" s="25"/>
      <c r="G943" s="2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25"/>
      <c r="B944" s="5"/>
      <c r="C944" s="5"/>
      <c r="D944" s="5"/>
      <c r="E944" s="25"/>
      <c r="F944" s="25"/>
      <c r="G944" s="2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25"/>
      <c r="B945" s="5"/>
      <c r="C945" s="5"/>
      <c r="D945" s="5"/>
      <c r="E945" s="25"/>
      <c r="F945" s="25"/>
      <c r="G945" s="2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25"/>
      <c r="B946" s="5"/>
      <c r="C946" s="5"/>
      <c r="D946" s="5"/>
      <c r="E946" s="25"/>
      <c r="F946" s="25"/>
      <c r="G946" s="2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25"/>
      <c r="B947" s="5"/>
      <c r="C947" s="5"/>
      <c r="D947" s="5"/>
      <c r="E947" s="25"/>
      <c r="F947" s="25"/>
      <c r="G947" s="2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25"/>
      <c r="B948" s="5"/>
      <c r="C948" s="5"/>
      <c r="D948" s="5"/>
      <c r="E948" s="25"/>
      <c r="F948" s="25"/>
      <c r="G948" s="2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25"/>
      <c r="B949" s="5"/>
      <c r="C949" s="5"/>
      <c r="D949" s="5"/>
      <c r="E949" s="25"/>
      <c r="F949" s="25"/>
      <c r="G949" s="2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25"/>
      <c r="B950" s="5"/>
      <c r="C950" s="5"/>
      <c r="D950" s="5"/>
      <c r="E950" s="25"/>
      <c r="F950" s="25"/>
      <c r="G950" s="2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25"/>
      <c r="B951" s="5"/>
      <c r="C951" s="5"/>
      <c r="D951" s="5"/>
      <c r="E951" s="25"/>
      <c r="F951" s="25"/>
      <c r="G951" s="2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25"/>
      <c r="B952" s="5"/>
      <c r="C952" s="5"/>
      <c r="D952" s="5"/>
      <c r="E952" s="25"/>
      <c r="F952" s="25"/>
      <c r="G952" s="2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25"/>
      <c r="B953" s="5"/>
      <c r="C953" s="5"/>
      <c r="D953" s="5"/>
      <c r="E953" s="25"/>
      <c r="F953" s="25"/>
      <c r="G953" s="2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25"/>
      <c r="B954" s="5"/>
      <c r="C954" s="5"/>
      <c r="D954" s="5"/>
      <c r="E954" s="25"/>
      <c r="F954" s="25"/>
      <c r="G954" s="2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25"/>
      <c r="B955" s="5"/>
      <c r="C955" s="5"/>
      <c r="D955" s="5"/>
      <c r="E955" s="25"/>
      <c r="F955" s="25"/>
      <c r="G955" s="2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25"/>
      <c r="B956" s="5"/>
      <c r="C956" s="5"/>
      <c r="D956" s="5"/>
      <c r="E956" s="25"/>
      <c r="F956" s="25"/>
      <c r="G956" s="2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25"/>
      <c r="B957" s="5"/>
      <c r="C957" s="5"/>
      <c r="D957" s="5"/>
      <c r="E957" s="25"/>
      <c r="F957" s="25"/>
      <c r="G957" s="2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25"/>
      <c r="B958" s="5"/>
      <c r="C958" s="5"/>
      <c r="D958" s="5"/>
      <c r="E958" s="25"/>
      <c r="F958" s="25"/>
      <c r="G958" s="2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25"/>
      <c r="B959" s="5"/>
      <c r="C959" s="5"/>
      <c r="D959" s="5"/>
      <c r="E959" s="25"/>
      <c r="F959" s="25"/>
      <c r="G959" s="2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25"/>
      <c r="B960" s="5"/>
      <c r="C960" s="5"/>
      <c r="D960" s="5"/>
      <c r="E960" s="25"/>
      <c r="F960" s="25"/>
      <c r="G960" s="2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25"/>
      <c r="B961" s="5"/>
      <c r="C961" s="5"/>
      <c r="D961" s="5"/>
      <c r="E961" s="25"/>
      <c r="F961" s="25"/>
      <c r="G961" s="2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25"/>
      <c r="B962" s="5"/>
      <c r="C962" s="5"/>
      <c r="D962" s="5"/>
      <c r="E962" s="25"/>
      <c r="F962" s="25"/>
      <c r="G962" s="2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25"/>
      <c r="B963" s="5"/>
      <c r="C963" s="5"/>
      <c r="D963" s="5"/>
      <c r="E963" s="25"/>
      <c r="F963" s="25"/>
      <c r="G963" s="2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25"/>
      <c r="B964" s="5"/>
      <c r="C964" s="5"/>
      <c r="D964" s="5"/>
      <c r="E964" s="25"/>
      <c r="F964" s="25"/>
      <c r="G964" s="2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25"/>
      <c r="B965" s="5"/>
      <c r="C965" s="5"/>
      <c r="D965" s="5"/>
      <c r="E965" s="25"/>
      <c r="F965" s="25"/>
      <c r="G965" s="2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25"/>
      <c r="B966" s="5"/>
      <c r="C966" s="5"/>
      <c r="D966" s="5"/>
      <c r="E966" s="25"/>
      <c r="F966" s="25"/>
      <c r="G966" s="2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25"/>
      <c r="B967" s="5"/>
      <c r="C967" s="5"/>
      <c r="D967" s="5"/>
      <c r="E967" s="25"/>
      <c r="F967" s="25"/>
      <c r="G967" s="2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25"/>
      <c r="B968" s="5"/>
      <c r="C968" s="5"/>
      <c r="D968" s="5"/>
      <c r="E968" s="25"/>
      <c r="F968" s="25"/>
      <c r="G968" s="2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25"/>
      <c r="B969" s="5"/>
      <c r="C969" s="5"/>
      <c r="D969" s="5"/>
      <c r="E969" s="25"/>
      <c r="F969" s="25"/>
      <c r="G969" s="2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25"/>
      <c r="B970" s="5"/>
      <c r="C970" s="5"/>
      <c r="D970" s="5"/>
      <c r="E970" s="25"/>
      <c r="F970" s="25"/>
      <c r="G970" s="2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25"/>
      <c r="B971" s="5"/>
      <c r="C971" s="5"/>
      <c r="D971" s="5"/>
      <c r="E971" s="25"/>
      <c r="F971" s="25"/>
      <c r="G971" s="2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25"/>
      <c r="B972" s="5"/>
      <c r="C972" s="5"/>
      <c r="D972" s="5"/>
      <c r="E972" s="25"/>
      <c r="F972" s="25"/>
      <c r="G972" s="2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25"/>
      <c r="B973" s="5"/>
      <c r="C973" s="5"/>
      <c r="D973" s="5"/>
      <c r="E973" s="25"/>
      <c r="F973" s="25"/>
      <c r="G973" s="2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25"/>
      <c r="B974" s="5"/>
      <c r="C974" s="5"/>
      <c r="D974" s="5"/>
      <c r="E974" s="25"/>
      <c r="F974" s="25"/>
      <c r="G974" s="2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25"/>
      <c r="B975" s="5"/>
      <c r="C975" s="5"/>
      <c r="D975" s="5"/>
      <c r="E975" s="25"/>
      <c r="F975" s="25"/>
      <c r="G975" s="2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25"/>
      <c r="B976" s="5"/>
      <c r="C976" s="5"/>
      <c r="D976" s="5"/>
      <c r="E976" s="25"/>
      <c r="F976" s="25"/>
      <c r="G976" s="2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25"/>
      <c r="B977" s="5"/>
      <c r="C977" s="5"/>
      <c r="D977" s="5"/>
      <c r="E977" s="25"/>
      <c r="F977" s="25"/>
      <c r="G977" s="2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25"/>
      <c r="B978" s="5"/>
      <c r="C978" s="5"/>
      <c r="D978" s="5"/>
      <c r="E978" s="25"/>
      <c r="F978" s="25"/>
      <c r="G978" s="2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25"/>
      <c r="B979" s="5"/>
      <c r="C979" s="5"/>
      <c r="D979" s="5"/>
      <c r="E979" s="25"/>
      <c r="F979" s="25"/>
      <c r="G979" s="2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25"/>
      <c r="B980" s="5"/>
      <c r="C980" s="5"/>
      <c r="D980" s="5"/>
      <c r="E980" s="25"/>
      <c r="F980" s="25"/>
      <c r="G980" s="2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25"/>
      <c r="B981" s="5"/>
      <c r="C981" s="5"/>
      <c r="D981" s="5"/>
      <c r="E981" s="25"/>
      <c r="F981" s="25"/>
      <c r="G981" s="2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25"/>
      <c r="B982" s="5"/>
      <c r="C982" s="5"/>
      <c r="D982" s="5"/>
      <c r="E982" s="25"/>
      <c r="F982" s="25"/>
      <c r="G982" s="2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25"/>
      <c r="B983" s="5"/>
      <c r="C983" s="5"/>
      <c r="D983" s="5"/>
      <c r="E983" s="25"/>
      <c r="F983" s="25"/>
      <c r="G983" s="2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25"/>
      <c r="B984" s="5"/>
      <c r="C984" s="5"/>
      <c r="D984" s="5"/>
      <c r="E984" s="25"/>
      <c r="F984" s="25"/>
      <c r="G984" s="2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25"/>
      <c r="B985" s="5"/>
      <c r="C985" s="5"/>
      <c r="D985" s="5"/>
      <c r="E985" s="25"/>
      <c r="F985" s="25"/>
      <c r="G985" s="2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25"/>
      <c r="B986" s="5"/>
      <c r="C986" s="5"/>
      <c r="D986" s="5"/>
      <c r="E986" s="25"/>
      <c r="F986" s="25"/>
      <c r="G986" s="2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25"/>
      <c r="B987" s="5"/>
      <c r="C987" s="5"/>
      <c r="D987" s="5"/>
      <c r="E987" s="25"/>
      <c r="F987" s="25"/>
      <c r="G987" s="2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25"/>
      <c r="B988" s="5"/>
      <c r="C988" s="5"/>
      <c r="D988" s="5"/>
      <c r="E988" s="25"/>
      <c r="F988" s="25"/>
      <c r="G988" s="2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25"/>
      <c r="B989" s="5"/>
      <c r="C989" s="5"/>
      <c r="D989" s="5"/>
      <c r="E989" s="25"/>
      <c r="F989" s="25"/>
      <c r="G989" s="2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25"/>
      <c r="B990" s="5"/>
      <c r="C990" s="5"/>
      <c r="D990" s="5"/>
      <c r="E990" s="25"/>
      <c r="F990" s="25"/>
      <c r="G990" s="2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25"/>
      <c r="B991" s="5"/>
      <c r="C991" s="5"/>
      <c r="D991" s="5"/>
      <c r="E991" s="25"/>
      <c r="F991" s="25"/>
      <c r="G991" s="2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25"/>
      <c r="B992" s="5"/>
      <c r="C992" s="5"/>
      <c r="D992" s="5"/>
      <c r="E992" s="25"/>
      <c r="F992" s="25"/>
      <c r="G992" s="2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25"/>
      <c r="B993" s="5"/>
      <c r="C993" s="5"/>
      <c r="D993" s="5"/>
      <c r="E993" s="25"/>
      <c r="F993" s="25"/>
      <c r="G993" s="2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25"/>
      <c r="B994" s="5"/>
      <c r="C994" s="5"/>
      <c r="D994" s="5"/>
      <c r="E994" s="25"/>
      <c r="F994" s="25"/>
      <c r="G994" s="2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25"/>
      <c r="B995" s="5"/>
      <c r="C995" s="5"/>
      <c r="D995" s="5"/>
      <c r="E995" s="25"/>
      <c r="F995" s="25"/>
      <c r="G995" s="2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25"/>
      <c r="B996" s="5"/>
      <c r="C996" s="5"/>
      <c r="D996" s="5"/>
      <c r="E996" s="25"/>
      <c r="F996" s="25"/>
      <c r="G996" s="2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25"/>
      <c r="B997" s="5"/>
      <c r="C997" s="5"/>
      <c r="D997" s="5"/>
      <c r="E997" s="25"/>
      <c r="F997" s="25"/>
      <c r="G997" s="2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25"/>
      <c r="B998" s="5"/>
      <c r="C998" s="5"/>
      <c r="D998" s="5"/>
      <c r="E998" s="25"/>
      <c r="F998" s="25"/>
      <c r="G998" s="2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25"/>
      <c r="B999" s="5"/>
      <c r="C999" s="5"/>
      <c r="D999" s="5"/>
      <c r="E999" s="25"/>
      <c r="F999" s="25"/>
      <c r="G999" s="2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25"/>
      <c r="B1000" s="5"/>
      <c r="C1000" s="5"/>
      <c r="D1000" s="5"/>
      <c r="E1000" s="25"/>
      <c r="F1000" s="25"/>
      <c r="G1000" s="2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K$76"/>
  <conditionalFormatting sqref="K2:K76">
    <cfRule type="cellIs" dxfId="3" priority="1" stopIfTrue="1" operator="equal">
      <formula>"Chỉ có gợi ý cần soát"</formula>
    </cfRule>
  </conditionalFormatting>
  <conditionalFormatting sqref="K2:K76">
    <cfRule type="cellIs" dxfId="2" priority="2" stopIfTrue="1" operator="equal">
      <formula>"Có đề xuất dùng được"</formula>
    </cfRule>
  </conditionalFormatting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</hyperlinks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38"/>
    <col customWidth="1" min="2" max="3" width="50.13"/>
    <col customWidth="1" min="4" max="4" width="18.88"/>
  </cols>
  <sheetData>
    <row r="1">
      <c r="A1" s="2" t="s">
        <v>1</v>
      </c>
      <c r="B1" s="2" t="s">
        <v>3</v>
      </c>
      <c r="C1" s="2" t="s">
        <v>28</v>
      </c>
      <c r="D1" s="2" t="s">
        <v>30</v>
      </c>
    </row>
    <row r="2">
      <c r="A2" s="10">
        <f>IFERROR(__xludf.DUMMYFUNCTION("QUERY('Chi tiết từng link'!A2:E2505,""select A, B, E, count(D) where D is not null group by A, B, E order by A asc, count(D) desc label count(D) ''"",0)"),1.0)</f>
        <v>1</v>
      </c>
      <c r="B2" s="13" t="str">
        <f>IFERROR(__xludf.DUMMYFUNCTION("""COMPUTED_VALUE"""),"https://techcombank.com/thong-tin/blog/lai-suat-vay-mua-o-to")</f>
        <v>https://techcombank.com/thong-tin/blog/lai-suat-vay-mua-o-to</v>
      </c>
      <c r="C2" s="15" t="str">
        <f>IFERROR(__xludf.DUMMYFUNCTION("""COMPUTED_VALUE"""),"lãi suất vay mua xe ô tô")</f>
        <v>lãi suất vay mua xe ô tô</v>
      </c>
      <c r="D2" s="10">
        <f>IFERROR(__xludf.DUMMYFUNCTION("""COMPUTED_VALUE"""),2.0)</f>
        <v>2</v>
      </c>
    </row>
    <row r="3">
      <c r="A3" s="10">
        <f>IFERROR(__xludf.DUMMYFUNCTION("""COMPUTED_VALUE"""),1.0)</f>
        <v>1</v>
      </c>
      <c r="B3" s="13" t="str">
        <f>IFERROR(__xludf.DUMMYFUNCTION("""COMPUTED_VALUE"""),"https://techcombank.com/thong-tin/blog/lai-suat-vay-mua-o-to")</f>
        <v>https://techcombank.com/thong-tin/blog/lai-suat-vay-mua-o-to</v>
      </c>
      <c r="C3" s="15" t="str">
        <f>IFERROR(__xludf.DUMMYFUNCTION("""COMPUTED_VALUE"""),"lãi suất vay mua ô tô")</f>
        <v>lãi suất vay mua ô tô</v>
      </c>
      <c r="D3" s="10">
        <f>IFERROR(__xludf.DUMMYFUNCTION("""COMPUTED_VALUE"""),2.0)</f>
        <v>2</v>
      </c>
    </row>
    <row r="4">
      <c r="A4" s="10">
        <f>IFERROR(__xludf.DUMMYFUNCTION("""COMPUTED_VALUE"""),1.0)</f>
        <v>1</v>
      </c>
      <c r="B4" s="13" t="str">
        <f>IFERROR(__xludf.DUMMYFUNCTION("""COMPUTED_VALUE"""),"https://techcombank.com/thong-tin/blog/lai-suat-vay-mua-o-to")</f>
        <v>https://techcombank.com/thong-tin/blog/lai-suat-vay-mua-o-to</v>
      </c>
      <c r="C4" s="15" t="str">
        <f>IFERROR(__xludf.DUMMYFUNCTION("""COMPUTED_VALUE"""),"lãi suất vay mua ô tô các ngân hàng")</f>
        <v>lãi suất vay mua ô tô các ngân hàng</v>
      </c>
      <c r="D4" s="10">
        <f>IFERROR(__xludf.DUMMYFUNCTION("""COMPUTED_VALUE"""),2.0)</f>
        <v>2</v>
      </c>
    </row>
    <row r="5">
      <c r="A5" s="10">
        <f>IFERROR(__xludf.DUMMYFUNCTION("""COMPUTED_VALUE"""),1.0)</f>
        <v>1</v>
      </c>
      <c r="B5" s="13" t="str">
        <f>IFERROR(__xludf.DUMMYFUNCTION("""COMPUTED_VALUE"""),"https://techcombank.com/thong-tin/blog/lai-suat-vay-mua-o-to")</f>
        <v>https://techcombank.com/thong-tin/blog/lai-suat-vay-mua-o-to</v>
      </c>
      <c r="C5" s="15" t="str">
        <f>IFERROR(__xludf.DUMMYFUNCTION("""COMPUTED_VALUE"""),"mua xe trả góp lãi suất bao nhiêu")</f>
        <v>mua xe trả góp lãi suất bao nhiêu</v>
      </c>
      <c r="D5" s="10">
        <f>IFERROR(__xludf.DUMMYFUNCTION("""COMPUTED_VALUE"""),1.0)</f>
        <v>1</v>
      </c>
    </row>
    <row r="6">
      <c r="A6" s="10">
        <f>IFERROR(__xludf.DUMMYFUNCTION("""COMPUTED_VALUE"""),2.0)</f>
        <v>2</v>
      </c>
      <c r="B6" s="13" t="str">
        <f>IFERROR(__xludf.DUMMYFUNCTION("""COMPUTED_VALUE"""),"https://techcombank.com/thong-tin/blog/nop-thue-dat-qua-ngan-hang")</f>
        <v>https://techcombank.com/thong-tin/blog/nop-thue-dat-qua-ngan-hang</v>
      </c>
      <c r="C6" s="15" t="str">
        <f>IFERROR(__xludf.DUMMYFUNCTION("""COMPUTED_VALUE"""),"cách nộp thuế đất online")</f>
        <v>cách nộp thuế đất online</v>
      </c>
      <c r="D6" s="10">
        <f>IFERROR(__xludf.DUMMYFUNCTION("""COMPUTED_VALUE"""),7.0)</f>
        <v>7</v>
      </c>
    </row>
    <row r="7">
      <c r="A7" s="10">
        <f>IFERROR(__xludf.DUMMYFUNCTION("""COMPUTED_VALUE"""),2.0)</f>
        <v>2</v>
      </c>
      <c r="B7" s="13" t="str">
        <f>IFERROR(__xludf.DUMMYFUNCTION("""COMPUTED_VALUE"""),"https://techcombank.com/thong-tin/blog/nop-thue-dat-qua-ngan-hang")</f>
        <v>https://techcombank.com/thong-tin/blog/nop-thue-dat-qua-ngan-hang</v>
      </c>
      <c r="C7" s="15" t="str">
        <f>IFERROR(__xludf.DUMMYFUNCTION("""COMPUTED_VALUE"""),"nộp thuế đất qua ngân hàng")</f>
        <v>nộp thuế đất qua ngân hàng</v>
      </c>
      <c r="D7" s="10">
        <f>IFERROR(__xludf.DUMMYFUNCTION("""COMPUTED_VALUE"""),7.0)</f>
        <v>7</v>
      </c>
    </row>
    <row r="8">
      <c r="A8" s="10">
        <f>IFERROR(__xludf.DUMMYFUNCTION("""COMPUTED_VALUE"""),2.0)</f>
        <v>2</v>
      </c>
      <c r="B8" s="13" t="str">
        <f>IFERROR(__xludf.DUMMYFUNCTION("""COMPUTED_VALUE"""),"https://techcombank.com/thong-tin/blog/nop-thue-dat-qua-ngan-hang")</f>
        <v>https://techcombank.com/thong-tin/blog/nop-thue-dat-qua-ngan-hang</v>
      </c>
      <c r="C8" s="15" t="str">
        <f>IFERROR(__xludf.DUMMYFUNCTION("""COMPUTED_VALUE"""),"đóng thuế đất qua ngân hàng")</f>
        <v>đóng thuế đất qua ngân hàng</v>
      </c>
      <c r="D8" s="10">
        <f>IFERROR(__xludf.DUMMYFUNCTION("""COMPUTED_VALUE"""),7.0)</f>
        <v>7</v>
      </c>
    </row>
    <row r="9">
      <c r="A9" s="10">
        <f>IFERROR(__xludf.DUMMYFUNCTION("""COMPUTED_VALUE"""),3.0)</f>
        <v>3</v>
      </c>
      <c r="B9" s="13" t="str">
        <f>IFERROR(__xludf.DUMMYFUNCTION("""COMPUTED_VALUE"""),"https://techcombank.com/thong-tin/blog/cach-nop-thue-dien-tu")</f>
        <v>https://techcombank.com/thong-tin/blog/cach-nop-thue-dien-tu</v>
      </c>
      <c r="C9" s="15" t="str">
        <f>IFERROR(__xludf.DUMMYFUNCTION("""COMPUTED_VALUE"""),"cách nộp thuế điện tử")</f>
        <v>cách nộp thuế điện tử</v>
      </c>
      <c r="D9" s="10">
        <f>IFERROR(__xludf.DUMMYFUNCTION("""COMPUTED_VALUE"""),8.0)</f>
        <v>8</v>
      </c>
    </row>
    <row r="10">
      <c r="A10" s="10">
        <f>IFERROR(__xludf.DUMMYFUNCTION("""COMPUTED_VALUE"""),3.0)</f>
        <v>3</v>
      </c>
      <c r="B10" s="13" t="str">
        <f>IFERROR(__xludf.DUMMYFUNCTION("""COMPUTED_VALUE"""),"https://techcombank.com/thong-tin/blog/cach-nop-thue-dien-tu")</f>
        <v>https://techcombank.com/thong-tin/blog/cach-nop-thue-dien-tu</v>
      </c>
      <c r="C10" s="15" t="str">
        <f>IFERROR(__xludf.DUMMYFUNCTION("""COMPUTED_VALUE"""),"hướng dẫn nộp thuế điện tử")</f>
        <v>hướng dẫn nộp thuế điện tử</v>
      </c>
      <c r="D10" s="10">
        <f>IFERROR(__xludf.DUMMYFUNCTION("""COMPUTED_VALUE"""),7.0)</f>
        <v>7</v>
      </c>
    </row>
    <row r="11">
      <c r="A11" s="10">
        <f>IFERROR(__xludf.DUMMYFUNCTION("""COMPUTED_VALUE"""),3.0)</f>
        <v>3</v>
      </c>
      <c r="B11" s="13" t="str">
        <f>IFERROR(__xludf.DUMMYFUNCTION("""COMPUTED_VALUE"""),"https://techcombank.com/thong-tin/blog/cach-nop-thue-dien-tu")</f>
        <v>https://techcombank.com/thong-tin/blog/cach-nop-thue-dien-tu</v>
      </c>
      <c r="C11" s="15" t="str">
        <f>IFERROR(__xludf.DUMMYFUNCTION("""COMPUTED_VALUE"""),"nộp thuế điện tử")</f>
        <v>nộp thuế điện tử</v>
      </c>
      <c r="D11" s="10">
        <f>IFERROR(__xludf.DUMMYFUNCTION("""COMPUTED_VALUE"""),7.0)</f>
        <v>7</v>
      </c>
    </row>
    <row r="12">
      <c r="A12" s="10">
        <f>IFERROR(__xludf.DUMMYFUNCTION("""COMPUTED_VALUE"""),4.0)</f>
        <v>4</v>
      </c>
      <c r="B12" s="13" t="str">
        <f>IFERROR(__xludf.DUMMYFUNCTION("""COMPUTED_VALUE"""),"https://techcombank.com/thong-tin/blog/thue-thu-nhap-doanh-nghiep")</f>
        <v>https://techcombank.com/thong-tin/blog/thue-thu-nhap-doanh-nghiep</v>
      </c>
      <c r="C12" s="15" t="str">
        <f>IFERROR(__xludf.DUMMYFUNCTION("""COMPUTED_VALUE"""),"thuế thu nhập doanh nghiệp")</f>
        <v>thuế thu nhập doanh nghiệp</v>
      </c>
      <c r="D12" s="10">
        <f>IFERROR(__xludf.DUMMYFUNCTION("""COMPUTED_VALUE"""),10.0)</f>
        <v>10</v>
      </c>
    </row>
    <row r="13">
      <c r="A13" s="10">
        <f>IFERROR(__xludf.DUMMYFUNCTION("""COMPUTED_VALUE"""),4.0)</f>
        <v>4</v>
      </c>
      <c r="B13" s="13" t="str">
        <f>IFERROR(__xludf.DUMMYFUNCTION("""COMPUTED_VALUE"""),"https://techcombank.com/thong-tin/blog/thue-thu-nhap-doanh-nghiep")</f>
        <v>https://techcombank.com/thong-tin/blog/thue-thu-nhap-doanh-nghiep</v>
      </c>
      <c r="C13" s="15" t="str">
        <f>IFERROR(__xludf.DUMMYFUNCTION("""COMPUTED_VALUE"""),"thuế TNDN")</f>
        <v>thuế TNDN</v>
      </c>
      <c r="D13" s="10">
        <f>IFERROR(__xludf.DUMMYFUNCTION("""COMPUTED_VALUE"""),9.0)</f>
        <v>9</v>
      </c>
    </row>
    <row r="14">
      <c r="A14" s="10">
        <f>IFERROR(__xludf.DUMMYFUNCTION("""COMPUTED_VALUE"""),4.0)</f>
        <v>4</v>
      </c>
      <c r="B14" s="13" t="str">
        <f>IFERROR(__xludf.DUMMYFUNCTION("""COMPUTED_VALUE"""),"https://techcombank.com/thong-tin/blog/thue-thu-nhap-doanh-nghiep")</f>
        <v>https://techcombank.com/thong-tin/blog/thue-thu-nhap-doanh-nghiep</v>
      </c>
      <c r="C14" s="15" t="str">
        <f>IFERROR(__xludf.DUMMYFUNCTION("""COMPUTED_VALUE"""),"thuế suất thuế TNDN")</f>
        <v>thuế suất thuế TNDN</v>
      </c>
      <c r="D14" s="10">
        <f>IFERROR(__xludf.DUMMYFUNCTION("""COMPUTED_VALUE"""),9.0)</f>
        <v>9</v>
      </c>
    </row>
    <row r="15">
      <c r="A15" s="10">
        <f>IFERROR(__xludf.DUMMYFUNCTION("""COMPUTED_VALUE"""),5.0)</f>
        <v>5</v>
      </c>
      <c r="B15" s="13" t="str">
        <f>IFERROR(__xludf.DUMMYFUNCTION("""COMPUTED_VALUE"""),"https://techcombank.com/thong-tin/blog/thue-vat-la-gi")</f>
        <v>https://techcombank.com/thong-tin/blog/thue-vat-la-gi</v>
      </c>
      <c r="C15" s="15" t="str">
        <f>IFERROR(__xludf.DUMMYFUNCTION("""COMPUTED_VALUE"""),"thuế VAT")</f>
        <v>thuế VAT</v>
      </c>
      <c r="D15" s="10">
        <f>IFERROR(__xludf.DUMMYFUNCTION("""COMPUTED_VALUE"""),8.0)</f>
        <v>8</v>
      </c>
    </row>
    <row r="16">
      <c r="A16" s="10">
        <f>IFERROR(__xludf.DUMMYFUNCTION("""COMPUTED_VALUE"""),5.0)</f>
        <v>5</v>
      </c>
      <c r="B16" s="13" t="str">
        <f>IFERROR(__xludf.DUMMYFUNCTION("""COMPUTED_VALUE"""),"https://techcombank.com/thong-tin/blog/thue-vat-la-gi")</f>
        <v>https://techcombank.com/thong-tin/blog/thue-vat-la-gi</v>
      </c>
      <c r="C16" s="15" t="str">
        <f>IFERROR(__xludf.DUMMYFUNCTION("""COMPUTED_VALUE"""),"thuế giá trị gia tăng")</f>
        <v>thuế giá trị gia tăng</v>
      </c>
      <c r="D16" s="10">
        <f>IFERROR(__xludf.DUMMYFUNCTION("""COMPUTED_VALUE"""),8.0)</f>
        <v>8</v>
      </c>
    </row>
    <row r="17">
      <c r="A17" s="10">
        <f>IFERROR(__xludf.DUMMYFUNCTION("""COMPUTED_VALUE"""),5.0)</f>
        <v>5</v>
      </c>
      <c r="B17" s="13" t="str">
        <f>IFERROR(__xludf.DUMMYFUNCTION("""COMPUTED_VALUE"""),"https://techcombank.com/thong-tin/blog/thue-vat-la-gi")</f>
        <v>https://techcombank.com/thong-tin/blog/thue-vat-la-gi</v>
      </c>
      <c r="C17" s="15" t="str">
        <f>IFERROR(__xludf.DUMMYFUNCTION("""COMPUTED_VALUE"""),"thuế GTGT là gì")</f>
        <v>thuế GTGT là gì</v>
      </c>
      <c r="D17" s="10">
        <f>IFERROR(__xludf.DUMMYFUNCTION("""COMPUTED_VALUE"""),7.0)</f>
        <v>7</v>
      </c>
    </row>
    <row r="18">
      <c r="A18" s="10">
        <f>IFERROR(__xludf.DUMMYFUNCTION("""COMPUTED_VALUE"""),6.0)</f>
        <v>6</v>
      </c>
      <c r="B18" s="13" t="str">
        <f>IFERROR(__xludf.DUMMYFUNCTION("""COMPUTED_VALUE"""),"https://techcombank.com/thong-tin/blog/tra-cuu-no-thue-doanh-nghiep")</f>
        <v>https://techcombank.com/thong-tin/blog/tra-cuu-no-thue-doanh-nghiep</v>
      </c>
      <c r="C18" s="15" t="str">
        <f>IFERROR(__xludf.DUMMYFUNCTION("""COMPUTED_VALUE"""),"tra cứu nợ thuế doanh nghiệp")</f>
        <v>tra cứu nợ thuế doanh nghiệp</v>
      </c>
      <c r="D18" s="10">
        <f>IFERROR(__xludf.DUMMYFUNCTION("""COMPUTED_VALUE"""),4.0)</f>
        <v>4</v>
      </c>
    </row>
    <row r="19">
      <c r="A19" s="10">
        <f>IFERROR(__xludf.DUMMYFUNCTION("""COMPUTED_VALUE"""),6.0)</f>
        <v>6</v>
      </c>
      <c r="B19" s="13" t="str">
        <f>IFERROR(__xludf.DUMMYFUNCTION("""COMPUTED_VALUE"""),"https://techcombank.com/thong-tin/blog/tra-cuu-no-thue-doanh-nghiep")</f>
        <v>https://techcombank.com/thong-tin/blog/tra-cuu-no-thue-doanh-nghiep</v>
      </c>
      <c r="C19" s="15" t="str">
        <f>IFERROR(__xludf.DUMMYFUNCTION("""COMPUTED_VALUE"""),"kiểm tra nợ thuế doanh nghiệp")</f>
        <v>kiểm tra nợ thuế doanh nghiệp</v>
      </c>
      <c r="D19" s="10">
        <f>IFERROR(__xludf.DUMMYFUNCTION("""COMPUTED_VALUE"""),3.0)</f>
        <v>3</v>
      </c>
    </row>
    <row r="20">
      <c r="A20" s="10">
        <f>IFERROR(__xludf.DUMMYFUNCTION("""COMPUTED_VALUE"""),6.0)</f>
        <v>6</v>
      </c>
      <c r="B20" s="13" t="str">
        <f>IFERROR(__xludf.DUMMYFUNCTION("""COMPUTED_VALUE"""),"https://techcombank.com/thong-tin/blog/tra-cuu-no-thue-doanh-nghiep")</f>
        <v>https://techcombank.com/thong-tin/blog/tra-cuu-no-thue-doanh-nghiep</v>
      </c>
      <c r="C20" s="15" t="str">
        <f>IFERROR(__xludf.DUMMYFUNCTION("""COMPUTED_VALUE"""),"tra cứu nợ thuế theo mã số thuế")</f>
        <v>tra cứu nợ thuế theo mã số thuế</v>
      </c>
      <c r="D20" s="10">
        <f>IFERROR(__xludf.DUMMYFUNCTION("""COMPUTED_VALUE"""),3.0)</f>
        <v>3</v>
      </c>
    </row>
    <row r="21">
      <c r="A21" s="10">
        <f>IFERROR(__xludf.DUMMYFUNCTION("""COMPUTED_VALUE"""),7.0)</f>
        <v>7</v>
      </c>
      <c r="B21" s="13" t="str">
        <f>IFERROR(__xludf.DUMMYFUNCTION("""COMPUTED_VALUE"""),"https://techcombank.com/thong-tin/blog/thue-doanh-nghiep")</f>
        <v>https://techcombank.com/thong-tin/blog/thue-doanh-nghiep</v>
      </c>
      <c r="C21" s="15" t="str">
        <f>IFERROR(__xludf.DUMMYFUNCTION("""COMPUTED_VALUE"""),"các loại thuế doanh nghiệp phải nộp")</f>
        <v>các loại thuế doanh nghiệp phải nộp</v>
      </c>
      <c r="D21" s="10">
        <f>IFERROR(__xludf.DUMMYFUNCTION("""COMPUTED_VALUE"""),7.0)</f>
        <v>7</v>
      </c>
    </row>
    <row r="22">
      <c r="A22" s="10">
        <f>IFERROR(__xludf.DUMMYFUNCTION("""COMPUTED_VALUE"""),7.0)</f>
        <v>7</v>
      </c>
      <c r="B22" s="13" t="str">
        <f>IFERROR(__xludf.DUMMYFUNCTION("""COMPUTED_VALUE"""),"https://techcombank.com/thong-tin/blog/thue-doanh-nghiep")</f>
        <v>https://techcombank.com/thong-tin/blog/thue-doanh-nghiep</v>
      </c>
      <c r="C22" s="15" t="str">
        <f>IFERROR(__xludf.DUMMYFUNCTION("""COMPUTED_VALUE"""),"doanh nghiệp phải nộp những loại thuế nào")</f>
        <v>doanh nghiệp phải nộp những loại thuế nào</v>
      </c>
      <c r="D22" s="10">
        <f>IFERROR(__xludf.DUMMYFUNCTION("""COMPUTED_VALUE"""),6.0)</f>
        <v>6</v>
      </c>
    </row>
    <row r="23">
      <c r="A23" s="10">
        <f>IFERROR(__xludf.DUMMYFUNCTION("""COMPUTED_VALUE"""),7.0)</f>
        <v>7</v>
      </c>
      <c r="B23" s="13" t="str">
        <f>IFERROR(__xludf.DUMMYFUNCTION("""COMPUTED_VALUE"""),"https://techcombank.com/thong-tin/blog/thue-doanh-nghiep")</f>
        <v>https://techcombank.com/thong-tin/blog/thue-doanh-nghiep</v>
      </c>
      <c r="C23" s="15" t="str">
        <f>IFERROR(__xludf.DUMMYFUNCTION("""COMPUTED_VALUE"""),"thuế doanh nghiệp")</f>
        <v>thuế doanh nghiệp</v>
      </c>
      <c r="D23" s="10">
        <f>IFERROR(__xludf.DUMMYFUNCTION("""COMPUTED_VALUE"""),6.0)</f>
        <v>6</v>
      </c>
    </row>
    <row r="24">
      <c r="A24" s="10">
        <f>IFERROR(__xludf.DUMMYFUNCTION("""COMPUTED_VALUE"""),8.0)</f>
        <v>8</v>
      </c>
      <c r="B24" s="13" t="str">
        <f>IFERROR(__xludf.DUMMYFUNCTION("""COMPUTED_VALUE"""),"https://techcombank.com/thong-tin/blog/cong-ty-su-dung-tai-khoan-ca-nhan")</f>
        <v>https://techcombank.com/thong-tin/blog/cong-ty-su-dung-tai-khoan-ca-nhan</v>
      </c>
      <c r="C24" s="15" t="str">
        <f>IFERROR(__xludf.DUMMYFUNCTION("""COMPUTED_VALUE"""),"công ty sử dụng tài khoản cá nhân")</f>
        <v>công ty sử dụng tài khoản cá nhân</v>
      </c>
      <c r="D24" s="10">
        <f>IFERROR(__xludf.DUMMYFUNCTION("""COMPUTED_VALUE"""),7.0)</f>
        <v>7</v>
      </c>
    </row>
    <row r="25">
      <c r="A25" s="10">
        <f>IFERROR(__xludf.DUMMYFUNCTION("""COMPUTED_VALUE"""),8.0)</f>
        <v>8</v>
      </c>
      <c r="B25" s="13" t="str">
        <f>IFERROR(__xludf.DUMMYFUNCTION("""COMPUTED_VALUE"""),"https://techcombank.com/thong-tin/blog/cong-ty-su-dung-tai-khoan-ca-nhan")</f>
        <v>https://techcombank.com/thong-tin/blog/cong-ty-su-dung-tai-khoan-ca-nhan</v>
      </c>
      <c r="C25" s="15" t="str">
        <f>IFERROR(__xludf.DUMMYFUNCTION("""COMPUTED_VALUE"""),"công ty dùng tài khoản cá nhân có được không")</f>
        <v>công ty dùng tài khoản cá nhân có được không</v>
      </c>
      <c r="D25" s="10">
        <f>IFERROR(__xludf.DUMMYFUNCTION("""COMPUTED_VALUE"""),6.0)</f>
        <v>6</v>
      </c>
    </row>
    <row r="26">
      <c r="A26" s="10">
        <f>IFERROR(__xludf.DUMMYFUNCTION("""COMPUTED_VALUE"""),9.0)</f>
        <v>9</v>
      </c>
      <c r="B26" s="13" t="str">
        <f>IFERROR(__xludf.DUMMYFUNCTION("""COMPUTED_VALUE"""),"https://techcombank.com/thong-tin/blog/cach-tinh-thue-thu-nhap-doanh-nghiep")</f>
        <v>https://techcombank.com/thong-tin/blog/cach-tinh-thue-thu-nhap-doanh-nghiep</v>
      </c>
      <c r="C26" s="15" t="str">
        <f>IFERROR(__xludf.DUMMYFUNCTION("""COMPUTED_VALUE"""),"cách tính thuế thu nhập doanh nghiệp")</f>
        <v>cách tính thuế thu nhập doanh nghiệp</v>
      </c>
      <c r="D26" s="10">
        <f>IFERROR(__xludf.DUMMYFUNCTION("""COMPUTED_VALUE"""),9.0)</f>
        <v>9</v>
      </c>
    </row>
    <row r="27">
      <c r="A27" s="10">
        <f>IFERROR(__xludf.DUMMYFUNCTION("""COMPUTED_VALUE"""),9.0)</f>
        <v>9</v>
      </c>
      <c r="B27" s="13" t="str">
        <f>IFERROR(__xludf.DUMMYFUNCTION("""COMPUTED_VALUE"""),"https://techcombank.com/thong-tin/blog/cach-tinh-thue-thu-nhap-doanh-nghiep")</f>
        <v>https://techcombank.com/thong-tin/blog/cach-tinh-thue-thu-nhap-doanh-nghiep</v>
      </c>
      <c r="C27" s="15" t="str">
        <f>IFERROR(__xludf.DUMMYFUNCTION("""COMPUTED_VALUE"""),"cách tính thuế TNDN")</f>
        <v>cách tính thuế TNDN</v>
      </c>
      <c r="D27" s="10">
        <f>IFERROR(__xludf.DUMMYFUNCTION("""COMPUTED_VALUE"""),8.0)</f>
        <v>8</v>
      </c>
    </row>
    <row r="28">
      <c r="A28" s="10">
        <f>IFERROR(__xludf.DUMMYFUNCTION("""COMPUTED_VALUE"""),9.0)</f>
        <v>9</v>
      </c>
      <c r="B28" s="13" t="str">
        <f>IFERROR(__xludf.DUMMYFUNCTION("""COMPUTED_VALUE"""),"https://techcombank.com/thong-tin/blog/cach-tinh-thue-thu-nhap-doanh-nghiep")</f>
        <v>https://techcombank.com/thong-tin/blog/cach-tinh-thue-thu-nhap-doanh-nghiep</v>
      </c>
      <c r="C28" s="15" t="str">
        <f>IFERROR(__xludf.DUMMYFUNCTION("""COMPUTED_VALUE"""),"công thức tính thuế TNDN")</f>
        <v>công thức tính thuế TNDN</v>
      </c>
      <c r="D28" s="10">
        <f>IFERROR(__xludf.DUMMYFUNCTION("""COMPUTED_VALUE"""),8.0)</f>
        <v>8</v>
      </c>
    </row>
    <row r="29">
      <c r="A29" s="10">
        <f>IFERROR(__xludf.DUMMYFUNCTION("""COMPUTED_VALUE"""),10.0)</f>
        <v>10</v>
      </c>
      <c r="B29" s="13" t="str">
        <f>IFERROR(__xludf.DUMMYFUNCTION("""COMPUTED_VALUE"""),"https://techcombank.com/thong-tin/blog/cach-nap-the-viettel")</f>
        <v>https://techcombank.com/thong-tin/blog/cach-nap-the-viettel</v>
      </c>
      <c r="C29" s="15" t="str">
        <f>IFERROR(__xludf.DUMMYFUNCTION("""COMPUTED_VALUE"""),"cách nạp thẻ Viettel")</f>
        <v>cách nạp thẻ Viettel</v>
      </c>
      <c r="D29" s="10">
        <f>IFERROR(__xludf.DUMMYFUNCTION("""COMPUTED_VALUE"""),3.0)</f>
        <v>3</v>
      </c>
    </row>
    <row r="30">
      <c r="A30" s="10">
        <f>IFERROR(__xludf.DUMMYFUNCTION("""COMPUTED_VALUE"""),10.0)</f>
        <v>10</v>
      </c>
      <c r="B30" s="13" t="str">
        <f>IFERROR(__xludf.DUMMYFUNCTION("""COMPUTED_VALUE"""),"https://techcombank.com/thong-tin/blog/cach-nap-the-viettel")</f>
        <v>https://techcombank.com/thong-tin/blog/cach-nap-the-viettel</v>
      </c>
      <c r="C30" s="15" t="str">
        <f>IFERROR(__xludf.DUMMYFUNCTION("""COMPUTED_VALUE"""),"nạp thẻ Viettel")</f>
        <v>nạp thẻ Viettel</v>
      </c>
      <c r="D30" s="10">
        <f>IFERROR(__xludf.DUMMYFUNCTION("""COMPUTED_VALUE"""),3.0)</f>
        <v>3</v>
      </c>
    </row>
    <row r="31">
      <c r="A31" s="10">
        <f>IFERROR(__xludf.DUMMYFUNCTION("""COMPUTED_VALUE"""),10.0)</f>
        <v>10</v>
      </c>
      <c r="B31" s="13" t="str">
        <f>IFERROR(__xludf.DUMMYFUNCTION("""COMPUTED_VALUE"""),"https://techcombank.com/thong-tin/blog/cach-nap-the-viettel")</f>
        <v>https://techcombank.com/thong-tin/blog/cach-nap-the-viettel</v>
      </c>
      <c r="C31" s="15" t="str">
        <f>IFERROR(__xludf.DUMMYFUNCTION("""COMPUTED_VALUE"""),"nạp thẻ cào Viettel")</f>
        <v>nạp thẻ cào Viettel</v>
      </c>
      <c r="D31" s="10">
        <f>IFERROR(__xludf.DUMMYFUNCTION("""COMPUTED_VALUE"""),2.0)</f>
        <v>2</v>
      </c>
    </row>
    <row r="32">
      <c r="A32" s="10">
        <f>IFERROR(__xludf.DUMMYFUNCTION("""COMPUTED_VALUE"""),11.0)</f>
        <v>11</v>
      </c>
      <c r="B32" s="13" t="str">
        <f>IFERROR(__xludf.DUMMYFUNCTION("""COMPUTED_VALUE"""),"https://techcombank.com/thong-tin/blog/cach-tinh-tien-dien-sinh-hoat")</f>
        <v>https://techcombank.com/thong-tin/blog/cach-tinh-tien-dien-sinh-hoat</v>
      </c>
      <c r="C32" s="15" t="str">
        <f>IFERROR(__xludf.DUMMYFUNCTION("""COMPUTED_VALUE"""),"cách tính tiền điện")</f>
        <v>cách tính tiền điện</v>
      </c>
      <c r="D32" s="10">
        <f>IFERROR(__xludf.DUMMYFUNCTION("""COMPUTED_VALUE"""),6.0)</f>
        <v>6</v>
      </c>
    </row>
    <row r="33">
      <c r="A33" s="10">
        <f>IFERROR(__xludf.DUMMYFUNCTION("""COMPUTED_VALUE"""),11.0)</f>
        <v>11</v>
      </c>
      <c r="B33" s="13" t="str">
        <f>IFERROR(__xludf.DUMMYFUNCTION("""COMPUTED_VALUE"""),"https://techcombank.com/thong-tin/blog/cach-tinh-tien-dien-sinh-hoat")</f>
        <v>https://techcombank.com/thong-tin/blog/cach-tinh-tien-dien-sinh-hoat</v>
      </c>
      <c r="C33" s="15" t="str">
        <f>IFERROR(__xludf.DUMMYFUNCTION("""COMPUTED_VALUE"""),"cách tính tiền điện sinh hoạt")</f>
        <v>cách tính tiền điện sinh hoạt</v>
      </c>
      <c r="D33" s="10">
        <f>IFERROR(__xludf.DUMMYFUNCTION("""COMPUTED_VALUE"""),6.0)</f>
        <v>6</v>
      </c>
    </row>
    <row r="34">
      <c r="A34" s="10">
        <f>IFERROR(__xludf.DUMMYFUNCTION("""COMPUTED_VALUE"""),11.0)</f>
        <v>11</v>
      </c>
      <c r="B34" s="13" t="str">
        <f>IFERROR(__xludf.DUMMYFUNCTION("""COMPUTED_VALUE"""),"https://techcombank.com/thong-tin/blog/cach-tinh-tien-dien-sinh-hoat")</f>
        <v>https://techcombank.com/thong-tin/blog/cach-tinh-tien-dien-sinh-hoat</v>
      </c>
      <c r="C34" s="15" t="str">
        <f>IFERROR(__xludf.DUMMYFUNCTION("""COMPUTED_VALUE"""),"giá điện bậc thang")</f>
        <v>giá điện bậc thang</v>
      </c>
      <c r="D34" s="10">
        <f>IFERROR(__xludf.DUMMYFUNCTION("""COMPUTED_VALUE"""),5.0)</f>
        <v>5</v>
      </c>
    </row>
    <row r="35">
      <c r="A35" s="10">
        <f>IFERROR(__xludf.DUMMYFUNCTION("""COMPUTED_VALUE"""),12.0)</f>
        <v>12</v>
      </c>
      <c r="B35" s="13" t="str">
        <f>IFERROR(__xludf.DUMMYFUNCTION("""COMPUTED_VALUE"""),"https://techcombank.com/thong-tin/blog/cach-tinh-thue-thu-nhap-ca-nhan-2025")</f>
        <v>https://techcombank.com/thong-tin/blog/cach-tinh-thue-thu-nhap-ca-nhan-2025</v>
      </c>
      <c r="C35" s="15" t="str">
        <f>IFERROR(__xludf.DUMMYFUNCTION("""COMPUTED_VALUE"""),"cách tính thuế thu nhập cá nhân")</f>
        <v>cách tính thuế thu nhập cá nhân</v>
      </c>
      <c r="D35" s="10">
        <f>IFERROR(__xludf.DUMMYFUNCTION("""COMPUTED_VALUE"""),6.0)</f>
        <v>6</v>
      </c>
    </row>
    <row r="36">
      <c r="A36" s="10">
        <f>IFERROR(__xludf.DUMMYFUNCTION("""COMPUTED_VALUE"""),12.0)</f>
        <v>12</v>
      </c>
      <c r="B36" s="13" t="str">
        <f>IFERROR(__xludf.DUMMYFUNCTION("""COMPUTED_VALUE"""),"https://techcombank.com/thong-tin/blog/cach-tinh-thue-thu-nhap-ca-nhan-2025")</f>
        <v>https://techcombank.com/thong-tin/blog/cach-tinh-thue-thu-nhap-ca-nhan-2025</v>
      </c>
      <c r="C36" s="15" t="str">
        <f>IFERROR(__xludf.DUMMYFUNCTION("""COMPUTED_VALUE"""),"cách tính thuế TNCN")</f>
        <v>cách tính thuế TNCN</v>
      </c>
      <c r="D36" s="10">
        <f>IFERROR(__xludf.DUMMYFUNCTION("""COMPUTED_VALUE"""),5.0)</f>
        <v>5</v>
      </c>
    </row>
    <row r="37">
      <c r="A37" s="10">
        <f>IFERROR(__xludf.DUMMYFUNCTION("""COMPUTED_VALUE"""),12.0)</f>
        <v>12</v>
      </c>
      <c r="B37" s="13" t="str">
        <f>IFERROR(__xludf.DUMMYFUNCTION("""COMPUTED_VALUE"""),"https://techcombank.com/thong-tin/blog/cach-tinh-thue-thu-nhap-ca-nhan-2025")</f>
        <v>https://techcombank.com/thong-tin/blog/cach-tinh-thue-thu-nhap-ca-nhan-2025</v>
      </c>
      <c r="C37" s="15" t="str">
        <f>IFERROR(__xludf.DUMMYFUNCTION("""COMPUTED_VALUE"""),"tính thuế TNCN")</f>
        <v>tính thuế TNCN</v>
      </c>
      <c r="D37" s="10">
        <f>IFERROR(__xludf.DUMMYFUNCTION("""COMPUTED_VALUE"""),5.0)</f>
        <v>5</v>
      </c>
    </row>
    <row r="38">
      <c r="A38" s="10">
        <f>IFERROR(__xludf.DUMMYFUNCTION("""COMPUTED_VALUE"""),13.0)</f>
        <v>13</v>
      </c>
      <c r="B38" s="13" t="str">
        <f>IFERROR(__xludf.DUMMYFUNCTION("""COMPUTED_VALUE"""),"https://techcombank.com/thong-tin/blog/cach-kiem-tra-tai-khoan-ngan-hang")</f>
        <v>https://techcombank.com/thong-tin/blog/cach-kiem-tra-tai-khoan-ngan-hang</v>
      </c>
      <c r="C38" s="15" t="str">
        <f>IFERROR(__xludf.DUMMYFUNCTION("""COMPUTED_VALUE"""),"cách kiểm tra tài khoản ngân hàng")</f>
        <v>cách kiểm tra tài khoản ngân hàng</v>
      </c>
      <c r="D38" s="10">
        <f>IFERROR(__xludf.DUMMYFUNCTION("""COMPUTED_VALUE"""),8.0)</f>
        <v>8</v>
      </c>
    </row>
    <row r="39">
      <c r="A39" s="10">
        <f>IFERROR(__xludf.DUMMYFUNCTION("""COMPUTED_VALUE"""),13.0)</f>
        <v>13</v>
      </c>
      <c r="B39" s="13" t="str">
        <f>IFERROR(__xludf.DUMMYFUNCTION("""COMPUTED_VALUE"""),"https://techcombank.com/thong-tin/blog/cach-kiem-tra-tai-khoan-ngan-hang")</f>
        <v>https://techcombank.com/thong-tin/blog/cach-kiem-tra-tai-khoan-ngan-hang</v>
      </c>
      <c r="C39" s="15" t="str">
        <f>IFERROR(__xludf.DUMMYFUNCTION("""COMPUTED_VALUE"""),"kiểm tra số dư tài khoản")</f>
        <v>kiểm tra số dư tài khoản</v>
      </c>
      <c r="D39" s="10">
        <f>IFERROR(__xludf.DUMMYFUNCTION("""COMPUTED_VALUE"""),7.0)</f>
        <v>7</v>
      </c>
    </row>
    <row r="40">
      <c r="A40" s="10">
        <f>IFERROR(__xludf.DUMMYFUNCTION("""COMPUTED_VALUE"""),13.0)</f>
        <v>13</v>
      </c>
      <c r="B40" s="13" t="str">
        <f>IFERROR(__xludf.DUMMYFUNCTION("""COMPUTED_VALUE"""),"https://techcombank.com/thong-tin/blog/cach-kiem-tra-tai-khoan-ngan-hang")</f>
        <v>https://techcombank.com/thong-tin/blog/cach-kiem-tra-tai-khoan-ngan-hang</v>
      </c>
      <c r="C40" s="15" t="str">
        <f>IFERROR(__xludf.DUMMYFUNCTION("""COMPUTED_VALUE"""),"kiểm tra tài khoản ngân hàng")</f>
        <v>kiểm tra tài khoản ngân hàng</v>
      </c>
      <c r="D40" s="10">
        <f>IFERROR(__xludf.DUMMYFUNCTION("""COMPUTED_VALUE"""),7.0)</f>
        <v>7</v>
      </c>
    </row>
    <row r="41">
      <c r="A41" s="10">
        <f>IFERROR(__xludf.DUMMYFUNCTION("""COMPUTED_VALUE"""),14.0)</f>
        <v>14</v>
      </c>
      <c r="B41" s="13" t="str">
        <f>IFERROR(__xludf.DUMMYFUNCTION("""COMPUTED_VALUE"""),"https://techcombank.com/thong-tin/blog/cach-mo-tai-khoan")</f>
        <v>https://techcombank.com/thong-tin/blog/cach-mo-tai-khoan</v>
      </c>
      <c r="C41" s="15" t="str">
        <f>IFERROR(__xludf.DUMMYFUNCTION("""COMPUTED_VALUE"""),"cách mở tài khoản ngân hàng")</f>
        <v>cách mở tài khoản ngân hàng</v>
      </c>
      <c r="D41" s="10">
        <f>IFERROR(__xludf.DUMMYFUNCTION("""COMPUTED_VALUE"""),18.0)</f>
        <v>18</v>
      </c>
    </row>
    <row r="42">
      <c r="A42" s="10">
        <f>IFERROR(__xludf.DUMMYFUNCTION("""COMPUTED_VALUE"""),14.0)</f>
        <v>14</v>
      </c>
      <c r="B42" s="13" t="str">
        <f>IFERROR(__xludf.DUMMYFUNCTION("""COMPUTED_VALUE"""),"https://techcombank.com/thong-tin/blog/cach-mo-tai-khoan")</f>
        <v>https://techcombank.com/thong-tin/blog/cach-mo-tai-khoan</v>
      </c>
      <c r="C42" s="15" t="str">
        <f>IFERROR(__xludf.DUMMYFUNCTION("""COMPUTED_VALUE"""),"mở tài khoản ngân hàng online")</f>
        <v>mở tài khoản ngân hàng online</v>
      </c>
      <c r="D42" s="10">
        <f>IFERROR(__xludf.DUMMYFUNCTION("""COMPUTED_VALUE"""),18.0)</f>
        <v>18</v>
      </c>
    </row>
    <row r="43">
      <c r="A43" s="10">
        <f>IFERROR(__xludf.DUMMYFUNCTION("""COMPUTED_VALUE"""),14.0)</f>
        <v>14</v>
      </c>
      <c r="B43" s="13" t="str">
        <f>IFERROR(__xludf.DUMMYFUNCTION("""COMPUTED_VALUE"""),"https://techcombank.com/thong-tin/blog/cach-mo-tai-khoan")</f>
        <v>https://techcombank.com/thong-tin/blog/cach-mo-tai-khoan</v>
      </c>
      <c r="C43" s="15" t="str">
        <f>IFERROR(__xludf.DUMMYFUNCTION("""COMPUTED_VALUE"""),"tạo tài khoản ngân hàng")</f>
        <v>tạo tài khoản ngân hàng</v>
      </c>
      <c r="D43" s="10">
        <f>IFERROR(__xludf.DUMMYFUNCTION("""COMPUTED_VALUE"""),17.0)</f>
        <v>17</v>
      </c>
    </row>
    <row r="44">
      <c r="A44" s="10">
        <f>IFERROR(__xludf.DUMMYFUNCTION("""COMPUTED_VALUE"""),15.0)</f>
        <v>15</v>
      </c>
      <c r="B44" s="13" t="str">
        <f>IFERROR(__xludf.DUMMYFUNCTION("""COMPUTED_VALUE"""),"https://techcombank.com/thong-tin/blog/ngan-hang-uy-tin")</f>
        <v>https://techcombank.com/thong-tin/blog/ngan-hang-uy-tin</v>
      </c>
      <c r="C44" s="15" t="str">
        <f>IFERROR(__xludf.DUMMYFUNCTION("""COMPUTED_VALUE"""),"chọn ngân hàng uy tín")</f>
        <v>chọn ngân hàng uy tín</v>
      </c>
      <c r="D44" s="10">
        <f>IFERROR(__xludf.DUMMYFUNCTION("""COMPUTED_VALUE"""),15.0)</f>
        <v>15</v>
      </c>
    </row>
    <row r="45">
      <c r="A45" s="10">
        <f>IFERROR(__xludf.DUMMYFUNCTION("""COMPUTED_VALUE"""),15.0)</f>
        <v>15</v>
      </c>
      <c r="B45" s="13" t="str">
        <f>IFERROR(__xludf.DUMMYFUNCTION("""COMPUTED_VALUE"""),"https://techcombank.com/thong-tin/blog/ngan-hang-uy-tin")</f>
        <v>https://techcombank.com/thong-tin/blog/ngan-hang-uy-tin</v>
      </c>
      <c r="C45" s="15" t="str">
        <f>IFERROR(__xludf.DUMMYFUNCTION("""COMPUTED_VALUE"""),"ngân hàng uy tín")</f>
        <v>ngân hàng uy tín</v>
      </c>
      <c r="D45" s="10">
        <f>IFERROR(__xludf.DUMMYFUNCTION("""COMPUTED_VALUE"""),15.0)</f>
        <v>15</v>
      </c>
    </row>
    <row r="46">
      <c r="A46" s="10">
        <f>IFERROR(__xludf.DUMMYFUNCTION("""COMPUTED_VALUE"""),16.0)</f>
        <v>16</v>
      </c>
      <c r="B46" s="13" t="str">
        <f>IFERROR(__xludf.DUMMYFUNCTION("""COMPUTED_VALUE"""),"https://techcombank.com/thong-tin/blog/chuyen-khoan-thanh-cong-nhung-khong-nhan-duoc-tien")</f>
        <v>https://techcombank.com/thong-tin/blog/chuyen-khoan-thanh-cong-nhung-khong-nhan-duoc-tien</v>
      </c>
      <c r="C46" s="15" t="str">
        <f>IFERROR(__xludf.DUMMYFUNCTION("""COMPUTED_VALUE"""),"chuyển khoản thành công nhưng không nhận được tiền")</f>
        <v>chuyển khoản thành công nhưng không nhận được tiền</v>
      </c>
      <c r="D46" s="10">
        <f>IFERROR(__xludf.DUMMYFUNCTION("""COMPUTED_VALUE"""),16.0)</f>
        <v>16</v>
      </c>
    </row>
    <row r="47">
      <c r="A47" s="10">
        <f>IFERROR(__xludf.DUMMYFUNCTION("""COMPUTED_VALUE"""),16.0)</f>
        <v>16</v>
      </c>
      <c r="B47" s="13" t="str">
        <f>IFERROR(__xludf.DUMMYFUNCTION("""COMPUTED_VALUE"""),"https://techcombank.com/thong-tin/blog/chuyen-khoan-thanh-cong-nhung-khong-nhan-duoc-tien")</f>
        <v>https://techcombank.com/thong-tin/blog/chuyen-khoan-thanh-cong-nhung-khong-nhan-duoc-tien</v>
      </c>
      <c r="C47" s="15" t="str">
        <f>IFERROR(__xludf.DUMMYFUNCTION("""COMPUTED_VALUE"""),"chuyển tiền thành công nhưng chưa nhận được")</f>
        <v>chuyển tiền thành công nhưng chưa nhận được</v>
      </c>
      <c r="D47" s="10">
        <f>IFERROR(__xludf.DUMMYFUNCTION("""COMPUTED_VALUE"""),15.0)</f>
        <v>15</v>
      </c>
    </row>
    <row r="48">
      <c r="A48" s="10">
        <f>IFERROR(__xludf.DUMMYFUNCTION("""COMPUTED_VALUE"""),16.0)</f>
        <v>16</v>
      </c>
      <c r="B48" s="13" t="str">
        <f>IFERROR(__xludf.DUMMYFUNCTION("""COMPUTED_VALUE"""),"https://techcombank.com/thong-tin/blog/chuyen-khoan-thanh-cong-nhung-khong-nhan-duoc-tien")</f>
        <v>https://techcombank.com/thong-tin/blog/chuyen-khoan-thanh-cong-nhung-khong-nhan-duoc-tien</v>
      </c>
      <c r="C48" s="15" t="str">
        <f>IFERROR(__xludf.DUMMYFUNCTION("""COMPUTED_VALUE"""),"tiền chuyển khoản bị treo")</f>
        <v>tiền chuyển khoản bị treo</v>
      </c>
      <c r="D48" s="10">
        <f>IFERROR(__xludf.DUMMYFUNCTION("""COMPUTED_VALUE"""),15.0)</f>
        <v>15</v>
      </c>
    </row>
    <row r="49">
      <c r="A49" s="10">
        <f>IFERROR(__xludf.DUMMYFUNCTION("""COMPUTED_VALUE"""),17.0)</f>
        <v>17</v>
      </c>
      <c r="B49" s="13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C49" s="15" t="str">
        <f>IFERROR(__xludf.DUMMYFUNCTION("""COMPUTED_VALUE"""),"bao nhiêu tuổi được mở tài khoản ngân hàng")</f>
        <v>bao nhiêu tuổi được mở tài khoản ngân hàng</v>
      </c>
      <c r="D49" s="10">
        <f>IFERROR(__xludf.DUMMYFUNCTION("""COMPUTED_VALUE"""),14.0)</f>
        <v>14</v>
      </c>
    </row>
    <row r="50">
      <c r="A50" s="10">
        <f>IFERROR(__xludf.DUMMYFUNCTION("""COMPUTED_VALUE"""),17.0)</f>
        <v>17</v>
      </c>
      <c r="B50" s="13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C50" s="15" t="str">
        <f>IFERROR(__xludf.DUMMYFUNCTION("""COMPUTED_VALUE"""),"độ tuổi mở tài khoản ngân hàng")</f>
        <v>độ tuổi mở tài khoản ngân hàng</v>
      </c>
      <c r="D50" s="10">
        <f>IFERROR(__xludf.DUMMYFUNCTION("""COMPUTED_VALUE"""),14.0)</f>
        <v>14</v>
      </c>
    </row>
    <row r="51">
      <c r="A51" s="10">
        <f>IFERROR(__xludf.DUMMYFUNCTION("""COMPUTED_VALUE"""),18.0)</f>
        <v>18</v>
      </c>
      <c r="B51" s="13" t="str">
        <f>IFERROR(__xludf.DUMMYFUNCTION("""COMPUTED_VALUE"""),"https://techcombank.com/thong-tin/blog/mo-tai-khoan-ngan-hang-duoi-18-tuoi")</f>
        <v>https://techcombank.com/thong-tin/blog/mo-tai-khoan-ngan-hang-duoi-18-tuoi</v>
      </c>
      <c r="C51" s="15" t="str">
        <f>IFERROR(__xludf.DUMMYFUNCTION("""COMPUTED_VALUE"""),"mở tài khoản ngân hàng dưới 18 tuổi")</f>
        <v>mở tài khoản ngân hàng dưới 18 tuổi</v>
      </c>
      <c r="D51" s="10">
        <f>IFERROR(__xludf.DUMMYFUNCTION("""COMPUTED_VALUE"""),8.0)</f>
        <v>8</v>
      </c>
    </row>
    <row r="52">
      <c r="A52" s="10">
        <f>IFERROR(__xludf.DUMMYFUNCTION("""COMPUTED_VALUE"""),18.0)</f>
        <v>18</v>
      </c>
      <c r="B52" s="13" t="str">
        <f>IFERROR(__xludf.DUMMYFUNCTION("""COMPUTED_VALUE"""),"https://techcombank.com/thong-tin/blog/mo-tai-khoan-ngan-hang-duoi-18-tuoi")</f>
        <v>https://techcombank.com/thong-tin/blog/mo-tai-khoan-ngan-hang-duoi-18-tuoi</v>
      </c>
      <c r="C52" s="15" t="str">
        <f>IFERROR(__xludf.DUMMYFUNCTION("""COMPUTED_VALUE"""),"mở tài khoản ngân hàng cho học sinh")</f>
        <v>mở tài khoản ngân hàng cho học sinh</v>
      </c>
      <c r="D52" s="10">
        <f>IFERROR(__xludf.DUMMYFUNCTION("""COMPUTED_VALUE"""),7.0)</f>
        <v>7</v>
      </c>
    </row>
    <row r="53">
      <c r="A53" s="10">
        <f>IFERROR(__xludf.DUMMYFUNCTION("""COMPUTED_VALUE"""),19.0)</f>
        <v>19</v>
      </c>
      <c r="B53" s="13" t="str">
        <f>IFERROR(__xludf.DUMMYFUNCTION("""COMPUTED_VALUE"""),"https://techcombank.com/thong-tin/blog/nap-tien-vao-tai-khoan-ngan-hang")</f>
        <v>https://techcombank.com/thong-tin/blog/nap-tien-vao-tai-khoan-ngan-hang</v>
      </c>
      <c r="C53" s="15" t="str">
        <f>IFERROR(__xludf.DUMMYFUNCTION("""COMPUTED_VALUE"""),"nạp tiền vào tài khoản ngân hàng")</f>
        <v>nạp tiền vào tài khoản ngân hàng</v>
      </c>
      <c r="D53" s="10">
        <f>IFERROR(__xludf.DUMMYFUNCTION("""COMPUTED_VALUE"""),16.0)</f>
        <v>16</v>
      </c>
    </row>
    <row r="54">
      <c r="A54" s="10">
        <f>IFERROR(__xludf.DUMMYFUNCTION("""COMPUTED_VALUE"""),19.0)</f>
        <v>19</v>
      </c>
      <c r="B54" s="13" t="str">
        <f>IFERROR(__xludf.DUMMYFUNCTION("""COMPUTED_VALUE"""),"https://techcombank.com/thong-tin/blog/nap-tien-vao-tai-khoan-ngan-hang")</f>
        <v>https://techcombank.com/thong-tin/blog/nap-tien-vao-tai-khoan-ngan-hang</v>
      </c>
      <c r="C54" s="15" t="str">
        <f>IFERROR(__xludf.DUMMYFUNCTION("""COMPUTED_VALUE"""),"nộp tiền vào tài khoản")</f>
        <v>nộp tiền vào tài khoản</v>
      </c>
      <c r="D54" s="10">
        <f>IFERROR(__xludf.DUMMYFUNCTION("""COMPUTED_VALUE"""),16.0)</f>
        <v>16</v>
      </c>
    </row>
    <row r="55">
      <c r="A55" s="10">
        <f>IFERROR(__xludf.DUMMYFUNCTION("""COMPUTED_VALUE"""),20.0)</f>
        <v>20</v>
      </c>
      <c r="B55" s="13" t="str">
        <f>IFERROR(__xludf.DUMMYFUNCTION("""COMPUTED_VALUE"""),"https://techcombank.com/thong-tin/blog/cach-sao-ke-tai-khoan-ngan-hang")</f>
        <v>https://techcombank.com/thong-tin/blog/cach-sao-ke-tai-khoan-ngan-hang</v>
      </c>
      <c r="C55" s="15" t="str">
        <f>IFERROR(__xludf.DUMMYFUNCTION("""COMPUTED_VALUE"""),"cách sao kê tài khoản ngân hàng")</f>
        <v>cách sao kê tài khoản ngân hàng</v>
      </c>
      <c r="D55" s="10">
        <f>IFERROR(__xludf.DUMMYFUNCTION("""COMPUTED_VALUE"""),22.0)</f>
        <v>22</v>
      </c>
    </row>
    <row r="56">
      <c r="A56" s="10">
        <f>IFERROR(__xludf.DUMMYFUNCTION("""COMPUTED_VALUE"""),20.0)</f>
        <v>20</v>
      </c>
      <c r="B56" s="13" t="str">
        <f>IFERROR(__xludf.DUMMYFUNCTION("""COMPUTED_VALUE"""),"https://techcombank.com/thong-tin/blog/cach-sao-ke-tai-khoan-ngan-hang")</f>
        <v>https://techcombank.com/thong-tin/blog/cach-sao-ke-tai-khoan-ngan-hang</v>
      </c>
      <c r="C56" s="15" t="str">
        <f>IFERROR(__xludf.DUMMYFUNCTION("""COMPUTED_VALUE"""),"sao kê tài khoản ngân hàng")</f>
        <v>sao kê tài khoản ngân hàng</v>
      </c>
      <c r="D56" s="10">
        <f>IFERROR(__xludf.DUMMYFUNCTION("""COMPUTED_VALUE"""),21.0)</f>
        <v>21</v>
      </c>
    </row>
    <row r="57">
      <c r="A57" s="10">
        <f>IFERROR(__xludf.DUMMYFUNCTION("""COMPUTED_VALUE"""),21.0)</f>
        <v>21</v>
      </c>
      <c r="B57" s="13" t="str">
        <f>IFERROR(__xludf.DUMMYFUNCTION("""COMPUTED_VALUE"""),"https://techcombank.com/thong-tin/blog/day-so-phat-tai-phat-loc")</f>
        <v>https://techcombank.com/thong-tin/blog/day-so-phat-tai-phat-loc</v>
      </c>
      <c r="C57" s="15" t="str">
        <f>IFERROR(__xludf.DUMMYFUNCTION("""COMPUTED_VALUE"""),"dãy số phát tài phát lộc")</f>
        <v>dãy số phát tài phát lộc</v>
      </c>
      <c r="D57" s="10">
        <f>IFERROR(__xludf.DUMMYFUNCTION("""COMPUTED_VALUE"""),6.0)</f>
        <v>6</v>
      </c>
    </row>
    <row r="58">
      <c r="A58" s="10">
        <f>IFERROR(__xludf.DUMMYFUNCTION("""COMPUTED_VALUE"""),21.0)</f>
        <v>21</v>
      </c>
      <c r="B58" s="13" t="str">
        <f>IFERROR(__xludf.DUMMYFUNCTION("""COMPUTED_VALUE"""),"https://techcombank.com/thong-tin/blog/day-so-phat-tai-phat-loc")</f>
        <v>https://techcombank.com/thong-tin/blog/day-so-phat-tai-phat-loc</v>
      </c>
      <c r="C58" s="15" t="str">
        <f>IFERROR(__xludf.DUMMYFUNCTION("""COMPUTED_VALUE"""),"số tài khoản phát tài phát lộc")</f>
        <v>số tài khoản phát tài phát lộc</v>
      </c>
      <c r="D58" s="10">
        <f>IFERROR(__xludf.DUMMYFUNCTION("""COMPUTED_VALUE"""),6.0)</f>
        <v>6</v>
      </c>
    </row>
    <row r="59">
      <c r="A59" s="10">
        <f>IFERROR(__xludf.DUMMYFUNCTION("""COMPUTED_VALUE"""),22.0)</f>
        <v>22</v>
      </c>
      <c r="B59" s="13" t="str">
        <f>IFERROR(__xludf.DUMMYFUNCTION("""COMPUTED_VALUE"""),"https://techcombank.com/thong-tin/blog/kiem-tra-thue-thu-nhap-ca-nhan")</f>
        <v>https://techcombank.com/thong-tin/blog/kiem-tra-thue-thu-nhap-ca-nhan</v>
      </c>
      <c r="C59" s="15" t="str">
        <f>IFERROR(__xludf.DUMMYFUNCTION("""COMPUTED_VALUE"""),"kiểm tra thuế TNCN online")</f>
        <v>kiểm tra thuế TNCN online</v>
      </c>
      <c r="D59" s="10">
        <f>IFERROR(__xludf.DUMMYFUNCTION("""COMPUTED_VALUE"""),6.0)</f>
        <v>6</v>
      </c>
    </row>
    <row r="60">
      <c r="A60" s="10">
        <f>IFERROR(__xludf.DUMMYFUNCTION("""COMPUTED_VALUE"""),22.0)</f>
        <v>22</v>
      </c>
      <c r="B60" s="13" t="str">
        <f>IFERROR(__xludf.DUMMYFUNCTION("""COMPUTED_VALUE"""),"https://techcombank.com/thong-tin/blog/kiem-tra-thue-thu-nhap-ca-nhan")</f>
        <v>https://techcombank.com/thong-tin/blog/kiem-tra-thue-thu-nhap-ca-nhan</v>
      </c>
      <c r="C60" s="15" t="str">
        <f>IFERROR(__xludf.DUMMYFUNCTION("""COMPUTED_VALUE"""),"kiểm tra thuế thu nhập cá nhân")</f>
        <v>kiểm tra thuế thu nhập cá nhân</v>
      </c>
      <c r="D60" s="10">
        <f>IFERROR(__xludf.DUMMYFUNCTION("""COMPUTED_VALUE"""),6.0)</f>
        <v>6</v>
      </c>
    </row>
    <row r="61">
      <c r="A61" s="10">
        <f>IFERROR(__xludf.DUMMYFUNCTION("""COMPUTED_VALUE"""),22.0)</f>
        <v>22</v>
      </c>
      <c r="B61" s="13" t="str">
        <f>IFERROR(__xludf.DUMMYFUNCTION("""COMPUTED_VALUE"""),"https://techcombank.com/thong-tin/blog/kiem-tra-thue-thu-nhap-ca-nhan")</f>
        <v>https://techcombank.com/thong-tin/blog/kiem-tra-thue-thu-nhap-ca-nhan</v>
      </c>
      <c r="C61" s="15" t="str">
        <f>IFERROR(__xludf.DUMMYFUNCTION("""COMPUTED_VALUE"""),"tra cứu thuế TNCN")</f>
        <v>tra cứu thuế TNCN</v>
      </c>
      <c r="D61" s="10">
        <f>IFERROR(__xludf.DUMMYFUNCTION("""COMPUTED_VALUE"""),6.0)</f>
        <v>6</v>
      </c>
    </row>
    <row r="62">
      <c r="A62" s="10">
        <f>IFERROR(__xludf.DUMMYFUNCTION("""COMPUTED_VALUE"""),23.0)</f>
        <v>23</v>
      </c>
      <c r="B62" s="13" t="str">
        <f>IFERROR(__xludf.DUMMYFUNCTION("""COMPUTED_VALUE"""),"https://techcombank.com/thong-tin/blog/ten-dang-nhap-tai-khoan-ngan-hang-la-gi")</f>
        <v>https://techcombank.com/thong-tin/blog/ten-dang-nhap-tai-khoan-ngan-hang-la-gi</v>
      </c>
      <c r="C62" s="15" t="str">
        <f>IFERROR(__xludf.DUMMYFUNCTION("""COMPUTED_VALUE"""),"tên đăng nhập tài khoản ngân hàng")</f>
        <v>tên đăng nhập tài khoản ngân hàng</v>
      </c>
      <c r="D62" s="10">
        <f>IFERROR(__xludf.DUMMYFUNCTION("""COMPUTED_VALUE"""),17.0)</f>
        <v>17</v>
      </c>
    </row>
    <row r="63">
      <c r="A63" s="10">
        <f>IFERROR(__xludf.DUMMYFUNCTION("""COMPUTED_VALUE"""),23.0)</f>
        <v>23</v>
      </c>
      <c r="B63" s="13" t="str">
        <f>IFERROR(__xludf.DUMMYFUNCTION("""COMPUTED_VALUE"""),"https://techcombank.com/thong-tin/blog/ten-dang-nhap-tai-khoan-ngan-hang-la-gi")</f>
        <v>https://techcombank.com/thong-tin/blog/ten-dang-nhap-tai-khoan-ngan-hang-la-gi</v>
      </c>
      <c r="C63" s="15" t="str">
        <f>IFERROR(__xludf.DUMMYFUNCTION("""COMPUTED_VALUE"""),"tên đăng nhập")</f>
        <v>tên đăng nhập</v>
      </c>
      <c r="D63" s="10">
        <f>IFERROR(__xludf.DUMMYFUNCTION("""COMPUTED_VALUE"""),16.0)</f>
        <v>16</v>
      </c>
    </row>
    <row r="64">
      <c r="A64" s="10">
        <f>IFERROR(__xludf.DUMMYFUNCTION("""COMPUTED_VALUE"""),24.0)</f>
        <v>24</v>
      </c>
      <c r="B64" s="13" t="str">
        <f>IFERROR(__xludf.DUMMYFUNCTION("""COMPUTED_VALUE"""),"https://techcombank.com/thong-tin/blog/thue-thu-nhap-ca-nhan")</f>
        <v>https://techcombank.com/thong-tin/blog/thue-thu-nhap-ca-nhan</v>
      </c>
      <c r="C64" s="15" t="str">
        <f>IFERROR(__xludf.DUMMYFUNCTION("""COMPUTED_VALUE"""),"thuế TNCN")</f>
        <v>thuế TNCN</v>
      </c>
      <c r="D64" s="10">
        <f>IFERROR(__xludf.DUMMYFUNCTION("""COMPUTED_VALUE"""),6.0)</f>
        <v>6</v>
      </c>
    </row>
    <row r="65">
      <c r="A65" s="10">
        <f>IFERROR(__xludf.DUMMYFUNCTION("""COMPUTED_VALUE"""),24.0)</f>
        <v>24</v>
      </c>
      <c r="B65" s="13" t="str">
        <f>IFERROR(__xludf.DUMMYFUNCTION("""COMPUTED_VALUE"""),"https://techcombank.com/thong-tin/blog/thue-thu-nhap-ca-nhan")</f>
        <v>https://techcombank.com/thong-tin/blog/thue-thu-nhap-ca-nhan</v>
      </c>
      <c r="C65" s="15" t="str">
        <f>IFERROR(__xludf.DUMMYFUNCTION("""COMPUTED_VALUE"""),"thuế thu nhập cá nhân")</f>
        <v>thuế thu nhập cá nhân</v>
      </c>
      <c r="D65" s="10">
        <f>IFERROR(__xludf.DUMMYFUNCTION("""COMPUTED_VALUE"""),6.0)</f>
        <v>6</v>
      </c>
    </row>
    <row r="66">
      <c r="A66" s="10">
        <f>IFERROR(__xludf.DUMMYFUNCTION("""COMPUTED_VALUE"""),24.0)</f>
        <v>24</v>
      </c>
      <c r="B66" s="13" t="str">
        <f>IFERROR(__xludf.DUMMYFUNCTION("""COMPUTED_VALUE"""),"https://techcombank.com/thong-tin/blog/thue-thu-nhap-ca-nhan")</f>
        <v>https://techcombank.com/thong-tin/blog/thue-thu-nhap-ca-nhan</v>
      </c>
      <c r="C66" s="15" t="str">
        <f>IFERROR(__xludf.DUMMYFUNCTION("""COMPUTED_VALUE"""),"mức đóng thuế thu nhập cá nhân")</f>
        <v>mức đóng thuế thu nhập cá nhân</v>
      </c>
      <c r="D66" s="10">
        <f>IFERROR(__xludf.DUMMYFUNCTION("""COMPUTED_VALUE"""),5.0)</f>
        <v>5</v>
      </c>
    </row>
    <row r="67">
      <c r="A67" s="10">
        <f>IFERROR(__xludf.DUMMYFUNCTION("""COMPUTED_VALUE"""),25.0)</f>
        <v>25</v>
      </c>
      <c r="B67" s="13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C67" s="15" t="str">
        <f>IFERROR(__xludf.DUMMYFUNCTION("""COMPUTED_VALUE"""),"rút tiền bằng mã QR")</f>
        <v>rút tiền bằng mã QR</v>
      </c>
      <c r="D67" s="10">
        <f>IFERROR(__xludf.DUMMYFUNCTION("""COMPUTED_VALUE"""),20.0)</f>
        <v>20</v>
      </c>
    </row>
    <row r="68">
      <c r="A68" s="10">
        <f>IFERROR(__xludf.DUMMYFUNCTION("""COMPUTED_VALUE"""),25.0)</f>
        <v>25</v>
      </c>
      <c r="B68" s="13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C68" s="15" t="str">
        <f>IFERROR(__xludf.DUMMYFUNCTION("""COMPUTED_VALUE"""),"cách rút tiền bằng mã QR")</f>
        <v>cách rút tiền bằng mã QR</v>
      </c>
      <c r="D68" s="10">
        <f>IFERROR(__xludf.DUMMYFUNCTION("""COMPUTED_VALUE"""),19.0)</f>
        <v>19</v>
      </c>
    </row>
    <row r="69">
      <c r="A69" s="10">
        <f>IFERROR(__xludf.DUMMYFUNCTION("""COMPUTED_VALUE"""),25.0)</f>
        <v>25</v>
      </c>
      <c r="B69" s="13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C69" s="15" t="str">
        <f>IFERROR(__xludf.DUMMYFUNCTION("""COMPUTED_VALUE"""),"rút tiền không cần thẻ")</f>
        <v>rút tiền không cần thẻ</v>
      </c>
      <c r="D69" s="10">
        <f>IFERROR(__xludf.DUMMYFUNCTION("""COMPUTED_VALUE"""),19.0)</f>
        <v>19</v>
      </c>
    </row>
    <row r="70">
      <c r="A70" s="10">
        <f>IFERROR(__xludf.DUMMYFUNCTION("""COMPUTED_VALUE"""),26.0)</f>
        <v>26</v>
      </c>
      <c r="B70" s="13" t="str">
        <f>IFERROR(__xludf.DUMMYFUNCTION("""COMPUTED_VALUE"""),"https://techcombank.com/thong-tin/blog/cach-quet-nfc-cccd-tren-iphone")</f>
        <v>https://techcombank.com/thong-tin/blog/cach-quet-nfc-cccd-tren-iphone</v>
      </c>
      <c r="C70" s="15" t="str">
        <f>IFERROR(__xludf.DUMMYFUNCTION("""COMPUTED_VALUE"""),"quét NFC CCCD")</f>
        <v>quét NFC CCCD</v>
      </c>
      <c r="D70" s="10">
        <f>IFERROR(__xludf.DUMMYFUNCTION("""COMPUTED_VALUE"""),5.0)</f>
        <v>5</v>
      </c>
    </row>
    <row r="71">
      <c r="A71" s="10">
        <f>IFERROR(__xludf.DUMMYFUNCTION("""COMPUTED_VALUE"""),26.0)</f>
        <v>26</v>
      </c>
      <c r="B71" s="13" t="str">
        <f>IFERROR(__xludf.DUMMYFUNCTION("""COMPUTED_VALUE"""),"https://techcombank.com/thong-tin/blog/cach-quet-nfc-cccd-tren-iphone")</f>
        <v>https://techcombank.com/thong-tin/blog/cach-quet-nfc-cccd-tren-iphone</v>
      </c>
      <c r="C71" s="15" t="str">
        <f>IFERROR(__xludf.DUMMYFUNCTION("""COMPUTED_VALUE"""),"quét NFC CCCD trên iPhone")</f>
        <v>quét NFC CCCD trên iPhone</v>
      </c>
      <c r="D71" s="10">
        <f>IFERROR(__xludf.DUMMYFUNCTION("""COMPUTED_VALUE"""),5.0)</f>
        <v>5</v>
      </c>
    </row>
    <row r="72">
      <c r="A72" s="10">
        <f>IFERROR(__xludf.DUMMYFUNCTION("""COMPUTED_VALUE"""),26.0)</f>
        <v>26</v>
      </c>
      <c r="B72" s="13" t="str">
        <f>IFERROR(__xludf.DUMMYFUNCTION("""COMPUTED_VALUE"""),"https://techcombank.com/thong-tin/blog/cach-quet-nfc-cccd-tren-iphone")</f>
        <v>https://techcombank.com/thong-tin/blog/cach-quet-nfc-cccd-tren-iphone</v>
      </c>
      <c r="C72" s="15" t="str">
        <f>IFERROR(__xludf.DUMMYFUNCTION("""COMPUTED_VALUE"""),"cách quét NFC căn cước")</f>
        <v>cách quét NFC căn cước</v>
      </c>
      <c r="D72" s="10">
        <f>IFERROR(__xludf.DUMMYFUNCTION("""COMPUTED_VALUE"""),4.0)</f>
        <v>4</v>
      </c>
    </row>
    <row r="73">
      <c r="A73" s="10">
        <f>IFERROR(__xludf.DUMMYFUNCTION("""COMPUTED_VALUE"""),27.0)</f>
        <v>27</v>
      </c>
      <c r="B73" s="13" t="str">
        <f>IFERROR(__xludf.DUMMYFUNCTION("""COMPUTED_VALUE"""),"https://techcombank.com/thong-tin/blog/eco-card")</f>
        <v>https://techcombank.com/thong-tin/blog/eco-card</v>
      </c>
      <c r="C73" s="15" t="str">
        <f>IFERROR(__xludf.DUMMYFUNCTION("""COMPUTED_VALUE"""),"Techcombank Eco")</f>
        <v>Techcombank Eco</v>
      </c>
      <c r="D73" s="10">
        <f>IFERROR(__xludf.DUMMYFUNCTION("""COMPUTED_VALUE"""),15.0)</f>
        <v>15</v>
      </c>
    </row>
    <row r="74">
      <c r="A74" s="10">
        <f>IFERROR(__xludf.DUMMYFUNCTION("""COMPUTED_VALUE"""),27.0)</f>
        <v>27</v>
      </c>
      <c r="B74" s="13" t="str">
        <f>IFERROR(__xludf.DUMMYFUNCTION("""COMPUTED_VALUE"""),"https://techcombank.com/thong-tin/blog/eco-card")</f>
        <v>https://techcombank.com/thong-tin/blog/eco-card</v>
      </c>
      <c r="C74" s="15" t="str">
        <f>IFERROR(__xludf.DUMMYFUNCTION("""COMPUTED_VALUE"""),"eco card")</f>
        <v>eco card</v>
      </c>
      <c r="D74" s="10">
        <f>IFERROR(__xludf.DUMMYFUNCTION("""COMPUTED_VALUE"""),15.0)</f>
        <v>15</v>
      </c>
    </row>
    <row r="75">
      <c r="A75" s="10">
        <f>IFERROR(__xludf.DUMMYFUNCTION("""COMPUTED_VALUE"""),27.0)</f>
        <v>27</v>
      </c>
      <c r="B75" s="13" t="str">
        <f>IFERROR(__xludf.DUMMYFUNCTION("""COMPUTED_VALUE"""),"https://techcombank.com/thong-tin/blog/eco-card")</f>
        <v>https://techcombank.com/thong-tin/blog/eco-card</v>
      </c>
      <c r="C75" s="15" t="str">
        <f>IFERROR(__xludf.DUMMYFUNCTION("""COMPUTED_VALUE"""),"thẻ Eco")</f>
        <v>thẻ Eco</v>
      </c>
      <c r="D75" s="10">
        <f>IFERROR(__xludf.DUMMYFUNCTION("""COMPUTED_VALUE"""),15.0)</f>
        <v>15</v>
      </c>
    </row>
    <row r="76">
      <c r="A76" s="10">
        <f>IFERROR(__xludf.DUMMYFUNCTION("""COMPUTED_VALUE"""),28.0)</f>
        <v>28</v>
      </c>
      <c r="B76" s="13" t="str">
        <f>IFERROR(__xludf.DUMMYFUNCTION("""COMPUTED_VALUE"""),"https://techcombank.com/thong-tin/blog/cic-la-gi")</f>
        <v>https://techcombank.com/thong-tin/blog/cic-la-gi</v>
      </c>
      <c r="C76" s="15" t="str">
        <f>IFERROR(__xludf.DUMMYFUNCTION("""COMPUTED_VALUE"""),"CIC")</f>
        <v>CIC</v>
      </c>
      <c r="D76" s="10">
        <f>IFERROR(__xludf.DUMMYFUNCTION("""COMPUTED_VALUE"""),5.0)</f>
        <v>5</v>
      </c>
    </row>
    <row r="77">
      <c r="A77" s="10">
        <f>IFERROR(__xludf.DUMMYFUNCTION("""COMPUTED_VALUE"""),28.0)</f>
        <v>28</v>
      </c>
      <c r="B77" s="13" t="str">
        <f>IFERROR(__xludf.DUMMYFUNCTION("""COMPUTED_VALUE"""),"https://techcombank.com/thong-tin/blog/cic-la-gi")</f>
        <v>https://techcombank.com/thong-tin/blog/cic-la-gi</v>
      </c>
      <c r="C77" s="15" t="str">
        <f>IFERROR(__xludf.DUMMYFUNCTION("""COMPUTED_VALUE"""),"CIC là gì")</f>
        <v>CIC là gì</v>
      </c>
      <c r="D77" s="10">
        <f>IFERROR(__xludf.DUMMYFUNCTION("""COMPUTED_VALUE"""),5.0)</f>
        <v>5</v>
      </c>
    </row>
    <row r="78">
      <c r="A78" s="10">
        <f>IFERROR(__xludf.DUMMYFUNCTION("""COMPUTED_VALUE"""),28.0)</f>
        <v>28</v>
      </c>
      <c r="B78" s="13" t="str">
        <f>IFERROR(__xludf.DUMMYFUNCTION("""COMPUTED_VALUE"""),"https://techcombank.com/thong-tin/blog/cic-la-gi")</f>
        <v>https://techcombank.com/thong-tin/blog/cic-la-gi</v>
      </c>
      <c r="C78" s="15" t="str">
        <f>IFERROR(__xludf.DUMMYFUNCTION("""COMPUTED_VALUE"""),"Trung tâm Thông tin Tín dụng (CIC)")</f>
        <v>Trung tâm Thông tin Tín dụng (CIC)</v>
      </c>
      <c r="D78" s="10">
        <f>IFERROR(__xludf.DUMMYFUNCTION("""COMPUTED_VALUE"""),4.0)</f>
        <v>4</v>
      </c>
    </row>
    <row r="79">
      <c r="A79" s="10">
        <f>IFERROR(__xludf.DUMMYFUNCTION("""COMPUTED_VALUE"""),28.0)</f>
        <v>28</v>
      </c>
      <c r="B79" s="13" t="str">
        <f>IFERROR(__xludf.DUMMYFUNCTION("""COMPUTED_VALUE"""),"https://techcombank.com/thong-tin/blog/cic-la-gi")</f>
        <v>https://techcombank.com/thong-tin/blog/cic-la-gi</v>
      </c>
      <c r="C79" s="15" t="str">
        <f>IFERROR(__xludf.DUMMYFUNCTION("""COMPUTED_VALUE"""),"kiểm tra CIC")</f>
        <v>kiểm tra CIC</v>
      </c>
      <c r="D79" s="10">
        <f>IFERROR(__xludf.DUMMYFUNCTION("""COMPUTED_VALUE"""),4.0)</f>
        <v>4</v>
      </c>
    </row>
    <row r="80">
      <c r="A80" s="10">
        <f>IFERROR(__xludf.DUMMYFUNCTION("""COMPUTED_VALUE"""),28.0)</f>
        <v>28</v>
      </c>
      <c r="B80" s="13" t="str">
        <f>IFERROR(__xludf.DUMMYFUNCTION("""COMPUTED_VALUE"""),"https://techcombank.com/thong-tin/blog/cic-la-gi")</f>
        <v>https://techcombank.com/thong-tin/blog/cic-la-gi</v>
      </c>
      <c r="C80" s="15" t="str">
        <f>IFERROR(__xludf.DUMMYFUNCTION("""COMPUTED_VALUE"""),"tra cứu CIC cá nhân")</f>
        <v>tra cứu CIC cá nhân</v>
      </c>
      <c r="D80" s="10">
        <f>IFERROR(__xludf.DUMMYFUNCTION("""COMPUTED_VALUE"""),4.0)</f>
        <v>4</v>
      </c>
    </row>
    <row r="81">
      <c r="A81" s="10">
        <f>IFERROR(__xludf.DUMMYFUNCTION("""COMPUTED_VALUE"""),29.0)</f>
        <v>29</v>
      </c>
      <c r="B81" s="13" t="str">
        <f>IFERROR(__xludf.DUMMYFUNCTION("""COMPUTED_VALUE"""),"https://techcombank.com/thong-tin/blog/rut-tien-mat-tu-the-tin-dung")</f>
        <v>https://techcombank.com/thong-tin/blog/rut-tien-mat-tu-the-tin-dung</v>
      </c>
      <c r="C81" s="15" t="str">
        <f>IFERROR(__xludf.DUMMYFUNCTION("""COMPUTED_VALUE"""),"cách rút tiền thẻ tín dụng")</f>
        <v>cách rút tiền thẻ tín dụng</v>
      </c>
      <c r="D81" s="10">
        <f>IFERROR(__xludf.DUMMYFUNCTION("""COMPUTED_VALUE"""),12.0)</f>
        <v>12</v>
      </c>
    </row>
    <row r="82">
      <c r="A82" s="10">
        <f>IFERROR(__xludf.DUMMYFUNCTION("""COMPUTED_VALUE"""),29.0)</f>
        <v>29</v>
      </c>
      <c r="B82" s="13" t="str">
        <f>IFERROR(__xludf.DUMMYFUNCTION("""COMPUTED_VALUE"""),"https://techcombank.com/thong-tin/blog/rut-tien-mat-tu-the-tin-dung")</f>
        <v>https://techcombank.com/thong-tin/blog/rut-tien-mat-tu-the-tin-dung</v>
      </c>
      <c r="C82" s="15" t="str">
        <f>IFERROR(__xludf.DUMMYFUNCTION("""COMPUTED_VALUE"""),"rút tiền mặt từ thẻ tín dụng")</f>
        <v>rút tiền mặt từ thẻ tín dụng</v>
      </c>
      <c r="D82" s="10">
        <f>IFERROR(__xludf.DUMMYFUNCTION("""COMPUTED_VALUE"""),12.0)</f>
        <v>12</v>
      </c>
    </row>
    <row r="83">
      <c r="A83" s="10">
        <f>IFERROR(__xludf.DUMMYFUNCTION("""COMPUTED_VALUE"""),29.0)</f>
        <v>29</v>
      </c>
      <c r="B83" s="13" t="str">
        <f>IFERROR(__xludf.DUMMYFUNCTION("""COMPUTED_VALUE"""),"https://techcombank.com/thong-tin/blog/rut-tien-mat-tu-the-tin-dung")</f>
        <v>https://techcombank.com/thong-tin/blog/rut-tien-mat-tu-the-tin-dung</v>
      </c>
      <c r="C83" s="15" t="str">
        <f>IFERROR(__xludf.DUMMYFUNCTION("""COMPUTED_VALUE"""),"rút tiền thẻ tín dụng")</f>
        <v>rút tiền thẻ tín dụng</v>
      </c>
      <c r="D83" s="10">
        <f>IFERROR(__xludf.DUMMYFUNCTION("""COMPUTED_VALUE"""),12.0)</f>
        <v>12</v>
      </c>
    </row>
    <row r="84">
      <c r="A84" s="10">
        <f>IFERROR(__xludf.DUMMYFUNCTION("""COMPUTED_VALUE"""),30.0)</f>
        <v>30</v>
      </c>
      <c r="B84" s="13" t="str">
        <f>IFERROR(__xludf.DUMMYFUNCTION("""COMPUTED_VALUE"""),"https://techcombank.com/thong-tin/blog/lam-the-tin-dung")</f>
        <v>https://techcombank.com/thong-tin/blog/lam-the-tin-dung</v>
      </c>
      <c r="C84" s="15" t="str">
        <f>IFERROR(__xludf.DUMMYFUNCTION("""COMPUTED_VALUE"""),"làm thẻ tín dụng")</f>
        <v>làm thẻ tín dụng</v>
      </c>
      <c r="D84" s="10">
        <f>IFERROR(__xludf.DUMMYFUNCTION("""COMPUTED_VALUE"""),47.0)</f>
        <v>47</v>
      </c>
    </row>
    <row r="85">
      <c r="A85" s="10">
        <f>IFERROR(__xludf.DUMMYFUNCTION("""COMPUTED_VALUE"""),30.0)</f>
        <v>30</v>
      </c>
      <c r="B85" s="13" t="str">
        <f>IFERROR(__xludf.DUMMYFUNCTION("""COMPUTED_VALUE"""),"https://techcombank.com/thong-tin/blog/lam-the-tin-dung")</f>
        <v>https://techcombank.com/thong-tin/blog/lam-the-tin-dung</v>
      </c>
      <c r="C85" s="15" t="str">
        <f>IFERROR(__xludf.DUMMYFUNCTION("""COMPUTED_VALUE"""),"mở thẻ tín dụng")</f>
        <v>mở thẻ tín dụng</v>
      </c>
      <c r="D85" s="10">
        <f>IFERROR(__xludf.DUMMYFUNCTION("""COMPUTED_VALUE"""),46.0)</f>
        <v>46</v>
      </c>
    </row>
    <row r="86">
      <c r="A86" s="10">
        <f>IFERROR(__xludf.DUMMYFUNCTION("""COMPUTED_VALUE"""),31.0)</f>
        <v>31</v>
      </c>
      <c r="B86" s="13" t="str">
        <f>IFERROR(__xludf.DUMMYFUNCTION("""COMPUTED_VALUE"""),"https://techcombank.com/khach-hang-ca-nhan/chi-tieu/the/the-tin-dung/techcombank-everyday")</f>
        <v>https://techcombank.com/khach-hang-ca-nhan/chi-tieu/the/the-tin-dung/techcombank-everyday</v>
      </c>
      <c r="C86" s="15" t="str">
        <f>IFERROR(__xludf.DUMMYFUNCTION("""COMPUTED_VALUE"""),"Techcombank Everyday")</f>
        <v>Techcombank Everyday</v>
      </c>
      <c r="D86" s="10">
        <f>IFERROR(__xludf.DUMMYFUNCTION("""COMPUTED_VALUE"""),39.0)</f>
        <v>39</v>
      </c>
    </row>
    <row r="87">
      <c r="A87" s="10">
        <f>IFERROR(__xludf.DUMMYFUNCTION("""COMPUTED_VALUE"""),31.0)</f>
        <v>31</v>
      </c>
      <c r="B87" s="13" t="str">
        <f>IFERROR(__xludf.DUMMYFUNCTION("""COMPUTED_VALUE"""),"https://techcombank.com/khach-hang-ca-nhan/chi-tieu/the/the-tin-dung/techcombank-everyday")</f>
        <v>https://techcombank.com/khach-hang-ca-nhan/chi-tieu/the/the-tin-dung/techcombank-everyday</v>
      </c>
      <c r="C87" s="15" t="str">
        <f>IFERROR(__xludf.DUMMYFUNCTION("""COMPUTED_VALUE"""),"thẻ tín dụng Techcombank Everyday")</f>
        <v>thẻ tín dụng Techcombank Everyday</v>
      </c>
      <c r="D87" s="10">
        <f>IFERROR(__xludf.DUMMYFUNCTION("""COMPUTED_VALUE"""),39.0)</f>
        <v>39</v>
      </c>
    </row>
    <row r="88">
      <c r="A88" s="10">
        <f>IFERROR(__xludf.DUMMYFUNCTION("""COMPUTED_VALUE"""),32.0)</f>
        <v>32</v>
      </c>
      <c r="B88" s="13" t="str">
        <f>IFERROR(__xludf.DUMMYFUNCTION("""COMPUTED_VALUE"""),"https://techcombank.com/thong-tin/blog/the-tin-dung-hoan-tien")</f>
        <v>https://techcombank.com/thong-tin/blog/the-tin-dung-hoan-tien</v>
      </c>
      <c r="C88" s="15" t="str">
        <f>IFERROR(__xludf.DUMMYFUNCTION("""COMPUTED_VALUE"""),"thẻ hoàn tiền")</f>
        <v>thẻ hoàn tiền</v>
      </c>
      <c r="D88" s="10">
        <f>IFERROR(__xludf.DUMMYFUNCTION("""COMPUTED_VALUE"""),26.0)</f>
        <v>26</v>
      </c>
    </row>
    <row r="89">
      <c r="A89" s="10">
        <f>IFERROR(__xludf.DUMMYFUNCTION("""COMPUTED_VALUE"""),32.0)</f>
        <v>32</v>
      </c>
      <c r="B89" s="13" t="str">
        <f>IFERROR(__xludf.DUMMYFUNCTION("""COMPUTED_VALUE"""),"https://techcombank.com/thong-tin/blog/the-tin-dung-hoan-tien")</f>
        <v>https://techcombank.com/thong-tin/blog/the-tin-dung-hoan-tien</v>
      </c>
      <c r="C89" s="15" t="str">
        <f>IFERROR(__xludf.DUMMYFUNCTION("""COMPUTED_VALUE"""),"thẻ tín dụng hoàn tiền")</f>
        <v>thẻ tín dụng hoàn tiền</v>
      </c>
      <c r="D89" s="10">
        <f>IFERROR(__xludf.DUMMYFUNCTION("""COMPUTED_VALUE"""),26.0)</f>
        <v>26</v>
      </c>
    </row>
    <row r="90">
      <c r="A90" s="10">
        <f>IFERROR(__xludf.DUMMYFUNCTION("""COMPUTED_VALUE"""),32.0)</f>
        <v>32</v>
      </c>
      <c r="B90" s="13" t="str">
        <f>IFERROR(__xludf.DUMMYFUNCTION("""COMPUTED_VALUE"""),"https://techcombank.com/thong-tin/blog/the-tin-dung-hoan-tien")</f>
        <v>https://techcombank.com/thong-tin/blog/the-tin-dung-hoan-tien</v>
      </c>
      <c r="C90" s="15" t="str">
        <f>IFERROR(__xludf.DUMMYFUNCTION("""COMPUTED_VALUE"""),"thẻ cashback")</f>
        <v>thẻ cashback</v>
      </c>
      <c r="D90" s="10">
        <f>IFERROR(__xludf.DUMMYFUNCTION("""COMPUTED_VALUE"""),25.0)</f>
        <v>25</v>
      </c>
    </row>
    <row r="91">
      <c r="A91" s="10">
        <f>IFERROR(__xludf.DUMMYFUNCTION("""COMPUTED_VALUE"""),33.0)</f>
        <v>33</v>
      </c>
      <c r="B91" s="13" t="str">
        <f>IFERROR(__xludf.DUMMYFUNCTION("""COMPUTED_VALUE"""),"https://techcombank.com/thong-tin/blog/cach-huy-the-tin-dung")</f>
        <v>https://techcombank.com/thong-tin/blog/cach-huy-the-tin-dung</v>
      </c>
      <c r="C91" s="15" t="str">
        <f>IFERROR(__xludf.DUMMYFUNCTION("""COMPUTED_VALUE"""),"cách hủy thẻ tín dụng")</f>
        <v>cách hủy thẻ tín dụng</v>
      </c>
      <c r="D91" s="10">
        <f>IFERROR(__xludf.DUMMYFUNCTION("""COMPUTED_VALUE"""),39.0)</f>
        <v>39</v>
      </c>
    </row>
    <row r="92">
      <c r="A92" s="10">
        <f>IFERROR(__xludf.DUMMYFUNCTION("""COMPUTED_VALUE"""),33.0)</f>
        <v>33</v>
      </c>
      <c r="B92" s="13" t="str">
        <f>IFERROR(__xludf.DUMMYFUNCTION("""COMPUTED_VALUE"""),"https://techcombank.com/thong-tin/blog/cach-huy-the-tin-dung")</f>
        <v>https://techcombank.com/thong-tin/blog/cach-huy-the-tin-dung</v>
      </c>
      <c r="C92" s="15" t="str">
        <f>IFERROR(__xludf.DUMMYFUNCTION("""COMPUTED_VALUE"""),"hủy thẻ tín dụng")</f>
        <v>hủy thẻ tín dụng</v>
      </c>
      <c r="D92" s="10">
        <f>IFERROR(__xludf.DUMMYFUNCTION("""COMPUTED_VALUE"""),38.0)</f>
        <v>38</v>
      </c>
    </row>
    <row r="93">
      <c r="A93" s="10">
        <f>IFERROR(__xludf.DUMMYFUNCTION("""COMPUTED_VALUE"""),34.0)</f>
        <v>34</v>
      </c>
      <c r="B93" s="13" t="str">
        <f>IFERROR(__xludf.DUMMYFUNCTION("""COMPUTED_VALUE"""),"https://techcombank.com/thong-tin/blog/xep-hang-tin-dung")</f>
        <v>https://techcombank.com/thong-tin/blog/xep-hang-tin-dung</v>
      </c>
      <c r="C93" s="15" t="str">
        <f>IFERROR(__xludf.DUMMYFUNCTION("""COMPUTED_VALUE"""),"xếp hạng tín dụng")</f>
        <v>xếp hạng tín dụng</v>
      </c>
      <c r="D93" s="10">
        <f>IFERROR(__xludf.DUMMYFUNCTION("""COMPUTED_VALUE"""),18.0)</f>
        <v>18</v>
      </c>
    </row>
    <row r="94">
      <c r="A94" s="10">
        <f>IFERROR(__xludf.DUMMYFUNCTION("""COMPUTED_VALUE"""),34.0)</f>
        <v>34</v>
      </c>
      <c r="B94" s="13" t="str">
        <f>IFERROR(__xludf.DUMMYFUNCTION("""COMPUTED_VALUE"""),"https://techcombank.com/thong-tin/blog/xep-hang-tin-dung")</f>
        <v>https://techcombank.com/thong-tin/blog/xep-hang-tin-dung</v>
      </c>
      <c r="C94" s="15" t="str">
        <f>IFERROR(__xludf.DUMMYFUNCTION("""COMPUTED_VALUE"""),"xếp hạng tín dụng cá nhân")</f>
        <v>xếp hạng tín dụng cá nhân</v>
      </c>
      <c r="D94" s="10">
        <f>IFERROR(__xludf.DUMMYFUNCTION("""COMPUTED_VALUE"""),17.0)</f>
        <v>17</v>
      </c>
    </row>
    <row r="95">
      <c r="A95" s="10">
        <f>IFERROR(__xludf.DUMMYFUNCTION("""COMPUTED_VALUE"""),35.0)</f>
        <v>35</v>
      </c>
      <c r="B95" s="13" t="str">
        <f>IFERROR(__xludf.DUMMYFUNCTION("""COMPUTED_VALUE"""),"https://techcombank.com/thong-tin/blog/cach-thanh-toan-the-tin-dung")</f>
        <v>https://techcombank.com/thong-tin/blog/cach-thanh-toan-the-tin-dung</v>
      </c>
      <c r="C95" s="15" t="str">
        <f>IFERROR(__xludf.DUMMYFUNCTION("""COMPUTED_VALUE"""),"cách thanh toán thẻ tín dụng")</f>
        <v>cách thanh toán thẻ tín dụng</v>
      </c>
      <c r="D95" s="10">
        <f>IFERROR(__xludf.DUMMYFUNCTION("""COMPUTED_VALUE"""),29.0)</f>
        <v>29</v>
      </c>
    </row>
    <row r="96">
      <c r="A96" s="10">
        <f>IFERROR(__xludf.DUMMYFUNCTION("""COMPUTED_VALUE"""),35.0)</f>
        <v>35</v>
      </c>
      <c r="B96" s="13" t="str">
        <f>IFERROR(__xludf.DUMMYFUNCTION("""COMPUTED_VALUE"""),"https://techcombank.com/thong-tin/blog/cach-thanh-toan-the-tin-dung")</f>
        <v>https://techcombank.com/thong-tin/blog/cach-thanh-toan-the-tin-dung</v>
      </c>
      <c r="C96" s="15" t="str">
        <f>IFERROR(__xludf.DUMMYFUNCTION("""COMPUTED_VALUE"""),"thanh toán dư nợ thẻ tín dụng")</f>
        <v>thanh toán dư nợ thẻ tín dụng</v>
      </c>
      <c r="D96" s="10">
        <f>IFERROR(__xludf.DUMMYFUNCTION("""COMPUTED_VALUE"""),29.0)</f>
        <v>29</v>
      </c>
    </row>
    <row r="97">
      <c r="A97" s="10">
        <f>IFERROR(__xludf.DUMMYFUNCTION("""COMPUTED_VALUE"""),35.0)</f>
        <v>35</v>
      </c>
      <c r="B97" s="13" t="str">
        <f>IFERROR(__xludf.DUMMYFUNCTION("""COMPUTED_VALUE"""),"https://techcombank.com/thong-tin/blog/cach-thanh-toan-the-tin-dung")</f>
        <v>https://techcombank.com/thong-tin/blog/cach-thanh-toan-the-tin-dung</v>
      </c>
      <c r="C97" s="15" t="str">
        <f>IFERROR(__xludf.DUMMYFUNCTION("""COMPUTED_VALUE"""),"trả nợ thẻ tín dụng")</f>
        <v>trả nợ thẻ tín dụng</v>
      </c>
      <c r="D97" s="10">
        <f>IFERROR(__xludf.DUMMYFUNCTION("""COMPUTED_VALUE"""),28.0)</f>
        <v>28</v>
      </c>
    </row>
    <row r="98">
      <c r="A98" s="10">
        <f>IFERROR(__xludf.DUMMYFUNCTION("""COMPUTED_VALUE"""),36.0)</f>
        <v>36</v>
      </c>
      <c r="B98" s="13" t="str">
        <f>IFERROR(__xludf.DUMMYFUNCTION("""COMPUTED_VALUE"""),"https://techcombank.com/thong-tin/blog/chung-chi-tien-gui-la-gi")</f>
        <v>https://techcombank.com/thong-tin/blog/chung-chi-tien-gui-la-gi</v>
      </c>
      <c r="C98" s="15" t="str">
        <f>IFERROR(__xludf.DUMMYFUNCTION("""COMPUTED_VALUE"""),"chứng chỉ tiền gửi")</f>
        <v>chứng chỉ tiền gửi</v>
      </c>
      <c r="D98" s="10">
        <f>IFERROR(__xludf.DUMMYFUNCTION("""COMPUTED_VALUE"""),24.0)</f>
        <v>24</v>
      </c>
    </row>
    <row r="99">
      <c r="A99" s="10">
        <f>IFERROR(__xludf.DUMMYFUNCTION("""COMPUTED_VALUE"""),36.0)</f>
        <v>36</v>
      </c>
      <c r="B99" s="13" t="str">
        <f>IFERROR(__xludf.DUMMYFUNCTION("""COMPUTED_VALUE"""),"https://techcombank.com/thong-tin/blog/chung-chi-tien-gui-la-gi")</f>
        <v>https://techcombank.com/thong-tin/blog/chung-chi-tien-gui-la-gi</v>
      </c>
      <c r="C99" s="15" t="str">
        <f>IFERROR(__xludf.DUMMYFUNCTION("""COMPUTED_VALUE"""),"chứng chỉ tiền gửi là gì")</f>
        <v>chứng chỉ tiền gửi là gì</v>
      </c>
      <c r="D99" s="10">
        <f>IFERROR(__xludf.DUMMYFUNCTION("""COMPUTED_VALUE"""),24.0)</f>
        <v>24</v>
      </c>
    </row>
    <row r="100">
      <c r="A100" s="10">
        <f>IFERROR(__xludf.DUMMYFUNCTION("""COMPUTED_VALUE"""),37.0)</f>
        <v>37</v>
      </c>
      <c r="B100" s="13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C100" s="15" t="str">
        <f>IFERROR(__xludf.DUMMYFUNCTION("""COMPUTED_VALUE"""),"lãi suất chứng chỉ tiền gửi")</f>
        <v>lãi suất chứng chỉ tiền gửi</v>
      </c>
      <c r="D100" s="10">
        <f>IFERROR(__xludf.DUMMYFUNCTION("""COMPUTED_VALUE"""),5.0)</f>
        <v>5</v>
      </c>
    </row>
    <row r="101">
      <c r="A101" s="10">
        <f>IFERROR(__xludf.DUMMYFUNCTION("""COMPUTED_VALUE"""),37.0)</f>
        <v>37</v>
      </c>
      <c r="B101" s="13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C101" s="15" t="str">
        <f>IFERROR(__xludf.DUMMYFUNCTION("""COMPUTED_VALUE"""),"lãi suất chứng chỉ tiền gửi các ngân hàng")</f>
        <v>lãi suất chứng chỉ tiền gửi các ngân hàng</v>
      </c>
      <c r="D101" s="10">
        <f>IFERROR(__xludf.DUMMYFUNCTION("""COMPUTED_VALUE"""),5.0)</f>
        <v>5</v>
      </c>
    </row>
    <row r="102">
      <c r="A102" s="10">
        <f>IFERROR(__xludf.DUMMYFUNCTION("""COMPUTED_VALUE"""),37.0)</f>
        <v>37</v>
      </c>
      <c r="B102" s="13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C102" s="15" t="str">
        <f>IFERROR(__xludf.DUMMYFUNCTION("""COMPUTED_VALUE"""),"lợi suất chứng chỉ tiền gửi")</f>
        <v>lợi suất chứng chỉ tiền gửi</v>
      </c>
      <c r="D102" s="10">
        <f>IFERROR(__xludf.DUMMYFUNCTION("""COMPUTED_VALUE"""),4.0)</f>
        <v>4</v>
      </c>
    </row>
    <row r="103">
      <c r="A103" s="10">
        <f>IFERROR(__xludf.DUMMYFUNCTION("""COMPUTED_VALUE"""),38.0)</f>
        <v>38</v>
      </c>
      <c r="B103" s="13" t="str">
        <f>IFERROR(__xludf.DUMMYFUNCTION("""COMPUTED_VALUE"""),"https://techcombank.com/thong-tin/blog/1-te-bang-bao-nhieu-tien-viet-nam")</f>
        <v>https://techcombank.com/thong-tin/blog/1-te-bang-bao-nhieu-tien-viet-nam</v>
      </c>
      <c r="C103" s="15" t="str">
        <f>IFERROR(__xludf.DUMMYFUNCTION("""COMPUTED_VALUE"""),"1 Tệ bằng bao nhiêu tiền Việt")</f>
        <v>1 Tệ bằng bao nhiêu tiền Việt</v>
      </c>
      <c r="D103" s="10">
        <f>IFERROR(__xludf.DUMMYFUNCTION("""COMPUTED_VALUE"""),10.0)</f>
        <v>10</v>
      </c>
    </row>
    <row r="104">
      <c r="A104" s="10">
        <f>IFERROR(__xludf.DUMMYFUNCTION("""COMPUTED_VALUE"""),38.0)</f>
        <v>38</v>
      </c>
      <c r="B104" s="13" t="str">
        <f>IFERROR(__xludf.DUMMYFUNCTION("""COMPUTED_VALUE"""),"https://techcombank.com/thong-tin/blog/1-te-bang-bao-nhieu-tien-viet-nam")</f>
        <v>https://techcombank.com/thong-tin/blog/1-te-bang-bao-nhieu-tien-viet-nam</v>
      </c>
      <c r="C104" s="15" t="str">
        <f>IFERROR(__xludf.DUMMYFUNCTION("""COMPUTED_VALUE"""),"tỷ giá Nhân dân tệ")</f>
        <v>tỷ giá Nhân dân tệ</v>
      </c>
      <c r="D104" s="10">
        <f>IFERROR(__xludf.DUMMYFUNCTION("""COMPUTED_VALUE"""),10.0)</f>
        <v>10</v>
      </c>
    </row>
    <row r="105">
      <c r="A105" s="10">
        <f>IFERROR(__xludf.DUMMYFUNCTION("""COMPUTED_VALUE"""),39.0)</f>
        <v>39</v>
      </c>
      <c r="B105" s="13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C105" s="15" t="str">
        <f>IFERROR(__xludf.DUMMYFUNCTION("""COMPUTED_VALUE"""),"1 đô bằng bao nhiêu tiền Việt")</f>
        <v>1 đô bằng bao nhiêu tiền Việt</v>
      </c>
      <c r="D105" s="10">
        <f>IFERROR(__xludf.DUMMYFUNCTION("""COMPUTED_VALUE"""),4.0)</f>
        <v>4</v>
      </c>
    </row>
    <row r="106">
      <c r="A106" s="10">
        <f>IFERROR(__xludf.DUMMYFUNCTION("""COMPUTED_VALUE"""),39.0)</f>
        <v>39</v>
      </c>
      <c r="B106" s="13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C106" s="15" t="str">
        <f>IFERROR(__xludf.DUMMYFUNCTION("""COMPUTED_VALUE"""),"1 đô la Mỹ bằng bao nhiêu tiền Việt")</f>
        <v>1 đô la Mỹ bằng bao nhiêu tiền Việt</v>
      </c>
      <c r="D106" s="10">
        <f>IFERROR(__xludf.DUMMYFUNCTION("""COMPUTED_VALUE"""),4.0)</f>
        <v>4</v>
      </c>
    </row>
    <row r="107">
      <c r="A107" s="10">
        <f>IFERROR(__xludf.DUMMYFUNCTION("""COMPUTED_VALUE"""),39.0)</f>
        <v>39</v>
      </c>
      <c r="B107" s="13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C107" s="15" t="str">
        <f>IFERROR(__xludf.DUMMYFUNCTION("""COMPUTED_VALUE"""),"tỷ giá USD/VND")</f>
        <v>tỷ giá USD/VND</v>
      </c>
      <c r="D107" s="10">
        <f>IFERROR(__xludf.DUMMYFUNCTION("""COMPUTED_VALUE"""),4.0)</f>
        <v>4</v>
      </c>
    </row>
    <row r="108">
      <c r="A108" s="10">
        <f>IFERROR(__xludf.DUMMYFUNCTION("""COMPUTED_VALUE"""),40.0)</f>
        <v>40</v>
      </c>
      <c r="B108" s="13" t="str">
        <f>IFERROR(__xludf.DUMMYFUNCTION("""COMPUTED_VALUE"""),"https://techcombank.com/thong-tin/blog/tien-nhat")</f>
        <v>https://techcombank.com/thong-tin/blog/tien-nhat</v>
      </c>
      <c r="C108" s="15" t="str">
        <f>IFERROR(__xludf.DUMMYFUNCTION("""COMPUTED_VALUE"""),"tiền Nhật")</f>
        <v>tiền Nhật</v>
      </c>
      <c r="D108" s="10">
        <f>IFERROR(__xludf.DUMMYFUNCTION("""COMPUTED_VALUE"""),4.0)</f>
        <v>4</v>
      </c>
    </row>
    <row r="109">
      <c r="A109" s="10">
        <f>IFERROR(__xludf.DUMMYFUNCTION("""COMPUTED_VALUE"""),40.0)</f>
        <v>40</v>
      </c>
      <c r="B109" s="13" t="str">
        <f>IFERROR(__xludf.DUMMYFUNCTION("""COMPUTED_VALUE"""),"https://techcombank.com/thong-tin/blog/tien-nhat")</f>
        <v>https://techcombank.com/thong-tin/blog/tien-nhat</v>
      </c>
      <c r="C109" s="15" t="str">
        <f>IFERROR(__xludf.DUMMYFUNCTION("""COMPUTED_VALUE"""),"tiền Yên Nhật")</f>
        <v>tiền Yên Nhật</v>
      </c>
      <c r="D109" s="10">
        <f>IFERROR(__xludf.DUMMYFUNCTION("""COMPUTED_VALUE"""),4.0)</f>
        <v>4</v>
      </c>
    </row>
    <row r="110">
      <c r="A110" s="10">
        <f>IFERROR(__xludf.DUMMYFUNCTION("""COMPUTED_VALUE"""),41.0)</f>
        <v>41</v>
      </c>
      <c r="B110" s="13" t="str">
        <f>IFERROR(__xludf.DUMMYFUNCTION("""COMPUTED_VALUE"""),"https://techcombank.com/thong-tin/blog/1-yen-bang-bao-nhieu-tien-viet-nam")</f>
        <v>https://techcombank.com/thong-tin/blog/1-yen-bang-bao-nhieu-tien-viet-nam</v>
      </c>
      <c r="C110" s="15" t="str">
        <f>IFERROR(__xludf.DUMMYFUNCTION("""COMPUTED_VALUE"""),"1 Yên bằng bao nhiêu tiền Việt")</f>
        <v>1 Yên bằng bao nhiêu tiền Việt</v>
      </c>
      <c r="D110" s="10">
        <f>IFERROR(__xludf.DUMMYFUNCTION("""COMPUTED_VALUE"""),4.0)</f>
        <v>4</v>
      </c>
    </row>
    <row r="111">
      <c r="A111" s="10">
        <f>IFERROR(__xludf.DUMMYFUNCTION("""COMPUTED_VALUE"""),41.0)</f>
        <v>41</v>
      </c>
      <c r="B111" s="13" t="str">
        <f>IFERROR(__xludf.DUMMYFUNCTION("""COMPUTED_VALUE"""),"https://techcombank.com/thong-tin/blog/1-yen-bang-bao-nhieu-tien-viet-nam")</f>
        <v>https://techcombank.com/thong-tin/blog/1-yen-bang-bao-nhieu-tien-viet-nam</v>
      </c>
      <c r="C111" s="15" t="str">
        <f>IFERROR(__xludf.DUMMYFUNCTION("""COMPUTED_VALUE"""),"tỷ giá Yên Nhật")</f>
        <v>tỷ giá Yên Nhật</v>
      </c>
      <c r="D111" s="10">
        <f>IFERROR(__xludf.DUMMYFUNCTION("""COMPUTED_VALUE"""),3.0)</f>
        <v>3</v>
      </c>
    </row>
    <row r="112">
      <c r="A112" s="10">
        <f>IFERROR(__xludf.DUMMYFUNCTION("""COMPUTED_VALUE"""),42.0)</f>
        <v>42</v>
      </c>
      <c r="B112" s="13" t="str">
        <f>IFERROR(__xludf.DUMMYFUNCTION("""COMPUTED_VALUE"""),"https://techcombank.com/thong-tin/blog/1-won-bang-bao-nhieu-tien-viet")</f>
        <v>https://techcombank.com/thong-tin/blog/1-won-bang-bao-nhieu-tien-viet</v>
      </c>
      <c r="C112" s="15" t="str">
        <f>IFERROR(__xludf.DUMMYFUNCTION("""COMPUTED_VALUE"""),"1 Won bằng bao nhiêu tiền Việt")</f>
        <v>1 Won bằng bao nhiêu tiền Việt</v>
      </c>
      <c r="D112" s="10">
        <f>IFERROR(__xludf.DUMMYFUNCTION("""COMPUTED_VALUE"""),3.0)</f>
        <v>3</v>
      </c>
    </row>
    <row r="113">
      <c r="A113" s="10">
        <f>IFERROR(__xludf.DUMMYFUNCTION("""COMPUTED_VALUE"""),42.0)</f>
        <v>42</v>
      </c>
      <c r="B113" s="13" t="str">
        <f>IFERROR(__xludf.DUMMYFUNCTION("""COMPUTED_VALUE"""),"https://techcombank.com/thong-tin/blog/1-won-bang-bao-nhieu-tien-viet")</f>
        <v>https://techcombank.com/thong-tin/blog/1-won-bang-bao-nhieu-tien-viet</v>
      </c>
      <c r="C113" s="15" t="str">
        <f>IFERROR(__xludf.DUMMYFUNCTION("""COMPUTED_VALUE"""),"tỷ giá Won")</f>
        <v>tỷ giá Won</v>
      </c>
      <c r="D113" s="10">
        <f>IFERROR(__xludf.DUMMYFUNCTION("""COMPUTED_VALUE"""),2.0)</f>
        <v>2</v>
      </c>
    </row>
    <row r="114">
      <c r="A114" s="10">
        <f>IFERROR(__xludf.DUMMYFUNCTION("""COMPUTED_VALUE"""),43.0)</f>
        <v>43</v>
      </c>
      <c r="B114" s="13" t="str">
        <f>IFERROR(__xludf.DUMMYFUNCTION("""COMPUTED_VALUE"""),"https://techcombank.com/thong-tin/blog/tien-dai-loan")</f>
        <v>https://techcombank.com/thong-tin/blog/tien-dai-loan</v>
      </c>
      <c r="C114" s="15" t="str">
        <f>IFERROR(__xludf.DUMMYFUNCTION("""COMPUTED_VALUE"""),"Tân Đài tệ")</f>
        <v>Tân Đài tệ</v>
      </c>
      <c r="D114" s="10">
        <f>IFERROR(__xludf.DUMMYFUNCTION("""COMPUTED_VALUE"""),2.0)</f>
        <v>2</v>
      </c>
    </row>
    <row r="115">
      <c r="A115" s="10">
        <f>IFERROR(__xludf.DUMMYFUNCTION("""COMPUTED_VALUE"""),43.0)</f>
        <v>43</v>
      </c>
      <c r="B115" s="13" t="str">
        <f>IFERROR(__xludf.DUMMYFUNCTION("""COMPUTED_VALUE"""),"https://techcombank.com/thong-tin/blog/tien-dai-loan")</f>
        <v>https://techcombank.com/thong-tin/blog/tien-dai-loan</v>
      </c>
      <c r="C115" s="15" t="str">
        <f>IFERROR(__xludf.DUMMYFUNCTION("""COMPUTED_VALUE"""),"tiền Đài Loan")</f>
        <v>tiền Đài Loan</v>
      </c>
      <c r="D115" s="10">
        <f>IFERROR(__xludf.DUMMYFUNCTION("""COMPUTED_VALUE"""),2.0)</f>
        <v>2</v>
      </c>
    </row>
    <row r="116">
      <c r="A116" s="10">
        <f>IFERROR(__xludf.DUMMYFUNCTION("""COMPUTED_VALUE"""),43.0)</f>
        <v>43</v>
      </c>
      <c r="B116" s="13" t="str">
        <f>IFERROR(__xludf.DUMMYFUNCTION("""COMPUTED_VALUE"""),"https://techcombank.com/thong-tin/blog/tien-dai-loan")</f>
        <v>https://techcombank.com/thong-tin/blog/tien-dai-loan</v>
      </c>
      <c r="C116" s="15" t="str">
        <f>IFERROR(__xludf.DUMMYFUNCTION("""COMPUTED_VALUE"""),"tỷ giá Đài tệ")</f>
        <v>tỷ giá Đài tệ</v>
      </c>
      <c r="D116" s="10">
        <f>IFERROR(__xludf.DUMMYFUNCTION("""COMPUTED_VALUE"""),1.0)</f>
        <v>1</v>
      </c>
    </row>
    <row r="117">
      <c r="A117" s="10">
        <f>IFERROR(__xludf.DUMMYFUNCTION("""COMPUTED_VALUE"""),44.0)</f>
        <v>44</v>
      </c>
      <c r="B117" s="13" t="str">
        <f>IFERROR(__xludf.DUMMYFUNCTION("""COMPUTED_VALUE"""),"https://techcombank.com/thong-tin/blog/1-man-bang-bao-nhieu-tien-viet")</f>
        <v>https://techcombank.com/thong-tin/blog/1-man-bang-bao-nhieu-tien-viet</v>
      </c>
      <c r="C117" s="15" t="str">
        <f>IFERROR(__xludf.DUMMYFUNCTION("""COMPUTED_VALUE"""),"1 Man bằng bao nhiêu tiền Việt")</f>
        <v>1 Man bằng bao nhiêu tiền Việt</v>
      </c>
      <c r="D117" s="10">
        <f>IFERROR(__xludf.DUMMYFUNCTION("""COMPUTED_VALUE"""),4.0)</f>
        <v>4</v>
      </c>
    </row>
    <row r="118">
      <c r="A118" s="10">
        <f>IFERROR(__xludf.DUMMYFUNCTION("""COMPUTED_VALUE"""),44.0)</f>
        <v>44</v>
      </c>
      <c r="B118" s="13" t="str">
        <f>IFERROR(__xludf.DUMMYFUNCTION("""COMPUTED_VALUE"""),"https://techcombank.com/thong-tin/blog/1-man-bang-bao-nhieu-tien-viet")</f>
        <v>https://techcombank.com/thong-tin/blog/1-man-bang-bao-nhieu-tien-viet</v>
      </c>
      <c r="C118" s="15" t="str">
        <f>IFERROR(__xludf.DUMMYFUNCTION("""COMPUTED_VALUE"""),"1 Man Nhật")</f>
        <v>1 Man Nhật</v>
      </c>
      <c r="D118" s="10">
        <f>IFERROR(__xludf.DUMMYFUNCTION("""COMPUTED_VALUE"""),3.0)</f>
        <v>3</v>
      </c>
    </row>
    <row r="119">
      <c r="A119" s="10">
        <f>IFERROR(__xludf.DUMMYFUNCTION("""COMPUTED_VALUE"""),45.0)</f>
        <v>45</v>
      </c>
      <c r="B119" s="13" t="str">
        <f>IFERROR(__xludf.DUMMYFUNCTION("""COMPUTED_VALUE"""),"https://techcombank.com/thong-tin/blog/tien-thai-lan")</f>
        <v>https://techcombank.com/thong-tin/blog/tien-thai-lan</v>
      </c>
      <c r="C119" s="15" t="str">
        <f>IFERROR(__xludf.DUMMYFUNCTION("""COMPUTED_VALUE"""),"tiền Baht Thái")</f>
        <v>tiền Baht Thái</v>
      </c>
      <c r="D119" s="10">
        <f>IFERROR(__xludf.DUMMYFUNCTION("""COMPUTED_VALUE"""),2.0)</f>
        <v>2</v>
      </c>
    </row>
    <row r="120">
      <c r="A120" s="10">
        <f>IFERROR(__xludf.DUMMYFUNCTION("""COMPUTED_VALUE"""),45.0)</f>
        <v>45</v>
      </c>
      <c r="B120" s="13" t="str">
        <f>IFERROR(__xludf.DUMMYFUNCTION("""COMPUTED_VALUE"""),"https://techcombank.com/thong-tin/blog/tien-thai-lan")</f>
        <v>https://techcombank.com/thong-tin/blog/tien-thai-lan</v>
      </c>
      <c r="C120" s="15" t="str">
        <f>IFERROR(__xludf.DUMMYFUNCTION("""COMPUTED_VALUE"""),"tiền Thái Lan")</f>
        <v>tiền Thái Lan</v>
      </c>
      <c r="D120" s="10">
        <f>IFERROR(__xludf.DUMMYFUNCTION("""COMPUTED_VALUE"""),2.0)</f>
        <v>2</v>
      </c>
    </row>
    <row r="121">
      <c r="A121" s="10">
        <f>IFERROR(__xludf.DUMMYFUNCTION("""COMPUTED_VALUE"""),45.0)</f>
        <v>45</v>
      </c>
      <c r="B121" s="13" t="str">
        <f>IFERROR(__xludf.DUMMYFUNCTION("""COMPUTED_VALUE"""),"https://techcombank.com/thong-tin/blog/tien-thai-lan")</f>
        <v>https://techcombank.com/thong-tin/blog/tien-thai-lan</v>
      </c>
      <c r="C121" s="15" t="str">
        <f>IFERROR(__xludf.DUMMYFUNCTION("""COMPUTED_VALUE"""),"tiền Baht")</f>
        <v>tiền Baht</v>
      </c>
      <c r="D121" s="10">
        <f>IFERROR(__xludf.DUMMYFUNCTION("""COMPUTED_VALUE"""),1.0)</f>
        <v>1</v>
      </c>
    </row>
    <row r="122">
      <c r="A122" s="10">
        <f>IFERROR(__xludf.DUMMYFUNCTION("""COMPUTED_VALUE"""),46.0)</f>
        <v>46</v>
      </c>
      <c r="B122" s="13" t="str">
        <f>IFERROR(__xludf.DUMMYFUNCTION("""COMPUTED_VALUE"""),"https://techcombank.com/thong-tin/blog/1-trieu-do-bang-bao-nhieu-tien-viet")</f>
        <v>https://techcombank.com/thong-tin/blog/1-trieu-do-bang-bao-nhieu-tien-viet</v>
      </c>
      <c r="C122" s="15" t="str">
        <f>IFERROR(__xludf.DUMMYFUNCTION("""COMPUTED_VALUE"""),"1 triệu đô bằng bao nhiêu tiền Việt")</f>
        <v>1 triệu đô bằng bao nhiêu tiền Việt</v>
      </c>
      <c r="D122" s="10">
        <f>IFERROR(__xludf.DUMMYFUNCTION("""COMPUTED_VALUE"""),13.0)</f>
        <v>13</v>
      </c>
    </row>
    <row r="123">
      <c r="A123" s="10">
        <f>IFERROR(__xludf.DUMMYFUNCTION("""COMPUTED_VALUE"""),47.0)</f>
        <v>47</v>
      </c>
      <c r="B123" s="13" t="str">
        <f>IFERROR(__xludf.DUMMYFUNCTION("""COMPUTED_VALUE"""),"https://techcombank.com/thong-tin/blog/1000-won-bang-bao-nhieu-tien-viet")</f>
        <v>https://techcombank.com/thong-tin/blog/1000-won-bang-bao-nhieu-tien-viet</v>
      </c>
      <c r="C123" s="15" t="str">
        <f>IFERROR(__xludf.DUMMYFUNCTION("""COMPUTED_VALUE"""),"1,000 won")</f>
        <v>1,000 won</v>
      </c>
      <c r="D123" s="10">
        <f>IFERROR(__xludf.DUMMYFUNCTION("""COMPUTED_VALUE"""),2.0)</f>
        <v>2</v>
      </c>
    </row>
    <row r="124">
      <c r="A124" s="10">
        <f>IFERROR(__xludf.DUMMYFUNCTION("""COMPUTED_VALUE"""),47.0)</f>
        <v>47</v>
      </c>
      <c r="B124" s="13" t="str">
        <f>IFERROR(__xludf.DUMMYFUNCTION("""COMPUTED_VALUE"""),"https://techcombank.com/thong-tin/blog/1000-won-bang-bao-nhieu-tien-viet")</f>
        <v>https://techcombank.com/thong-tin/blog/1000-won-bang-bao-nhieu-tien-viet</v>
      </c>
      <c r="C124" s="15" t="str">
        <f>IFERROR(__xludf.DUMMYFUNCTION("""COMPUTED_VALUE"""),"1000 Won bằng bao nhiêu tiền Việt")</f>
        <v>1000 Won bằng bao nhiêu tiền Việt</v>
      </c>
      <c r="D124" s="10">
        <f>IFERROR(__xludf.DUMMYFUNCTION("""COMPUTED_VALUE"""),2.0)</f>
        <v>2</v>
      </c>
    </row>
    <row r="125">
      <c r="A125" s="10">
        <f>IFERROR(__xludf.DUMMYFUNCTION("""COMPUTED_VALUE"""),48.0)</f>
        <v>48</v>
      </c>
      <c r="B125" s="13" t="str">
        <f>IFERROR(__xludf.DUMMYFUNCTION("""COMPUTED_VALUE"""),"https://techcombank.com/thong-tin/blog/cach-nhan-tien-tu-nuoc-ngoai-ve-viet-nam")</f>
        <v>https://techcombank.com/thong-tin/blog/cach-nhan-tien-tu-nuoc-ngoai-ve-viet-nam</v>
      </c>
      <c r="C125" s="15" t="str">
        <f>IFERROR(__xludf.DUMMYFUNCTION("""COMPUTED_VALUE"""),"cách nhận tiền từ nước ngoài về Việt Nam")</f>
        <v>cách nhận tiền từ nước ngoài về Việt Nam</v>
      </c>
      <c r="D125" s="10">
        <f>IFERROR(__xludf.DUMMYFUNCTION("""COMPUTED_VALUE"""),12.0)</f>
        <v>12</v>
      </c>
    </row>
    <row r="126">
      <c r="A126" s="10">
        <f>IFERROR(__xludf.DUMMYFUNCTION("""COMPUTED_VALUE"""),48.0)</f>
        <v>48</v>
      </c>
      <c r="B126" s="13" t="str">
        <f>IFERROR(__xludf.DUMMYFUNCTION("""COMPUTED_VALUE"""),"https://techcombank.com/thong-tin/blog/cach-nhan-tien-tu-nuoc-ngoai-ve-viet-nam")</f>
        <v>https://techcombank.com/thong-tin/blog/cach-nhan-tien-tu-nuoc-ngoai-ve-viet-nam</v>
      </c>
      <c r="C126" s="15" t="str">
        <f>IFERROR(__xludf.DUMMYFUNCTION("""COMPUTED_VALUE"""),"nhận tiền từ nước ngoài")</f>
        <v>nhận tiền từ nước ngoài</v>
      </c>
      <c r="D126" s="10">
        <f>IFERROR(__xludf.DUMMYFUNCTION("""COMPUTED_VALUE"""),12.0)</f>
        <v>12</v>
      </c>
    </row>
    <row r="127">
      <c r="A127" s="10">
        <f>IFERROR(__xludf.DUMMYFUNCTION("""COMPUTED_VALUE"""),48.0)</f>
        <v>48</v>
      </c>
      <c r="B127" s="13" t="str">
        <f>IFERROR(__xludf.DUMMYFUNCTION("""COMPUTED_VALUE"""),"https://techcombank.com/thong-tin/blog/cach-nhan-tien-tu-nuoc-ngoai-ve-viet-nam")</f>
        <v>https://techcombank.com/thong-tin/blog/cach-nhan-tien-tu-nuoc-ngoai-ve-viet-nam</v>
      </c>
      <c r="C127" s="15" t="str">
        <f>IFERROR(__xludf.DUMMYFUNCTION("""COMPUTED_VALUE"""),"nhận kiều hối")</f>
        <v>nhận kiều hối</v>
      </c>
      <c r="D127" s="10">
        <f>IFERROR(__xludf.DUMMYFUNCTION("""COMPUTED_VALUE"""),11.0)</f>
        <v>11</v>
      </c>
    </row>
    <row r="128">
      <c r="A128" s="10">
        <f>IFERROR(__xludf.DUMMYFUNCTION("""COMPUTED_VALUE"""),49.0)</f>
        <v>49</v>
      </c>
      <c r="B128" s="13" t="str">
        <f>IFERROR(__xludf.DUMMYFUNCTION("""COMPUTED_VALUE"""),"https://techcombank.com/thong-tin/blog/doi-tien-do-o-dau")</f>
        <v>https://techcombank.com/thong-tin/blog/doi-tien-do-o-dau</v>
      </c>
      <c r="C128" s="15" t="str">
        <f>IFERROR(__xludf.DUMMYFUNCTION("""COMPUTED_VALUE"""),"đổi USD ở đâu")</f>
        <v>đổi USD ở đâu</v>
      </c>
      <c r="D128" s="10">
        <f>IFERROR(__xludf.DUMMYFUNCTION("""COMPUTED_VALUE"""),26.0)</f>
        <v>26</v>
      </c>
    </row>
    <row r="129">
      <c r="A129" s="10">
        <f>IFERROR(__xludf.DUMMYFUNCTION("""COMPUTED_VALUE"""),49.0)</f>
        <v>49</v>
      </c>
      <c r="B129" s="13" t="str">
        <f>IFERROR(__xludf.DUMMYFUNCTION("""COMPUTED_VALUE"""),"https://techcombank.com/thong-tin/blog/doi-tien-do-o-dau")</f>
        <v>https://techcombank.com/thong-tin/blog/doi-tien-do-o-dau</v>
      </c>
      <c r="C129" s="15" t="str">
        <f>IFERROR(__xludf.DUMMYFUNCTION("""COMPUTED_VALUE"""),"đổi tiền đô ở đâu")</f>
        <v>đổi tiền đô ở đâu</v>
      </c>
      <c r="D129" s="10">
        <f>IFERROR(__xludf.DUMMYFUNCTION("""COMPUTED_VALUE"""),26.0)</f>
        <v>26</v>
      </c>
    </row>
    <row r="130">
      <c r="A130" s="10">
        <f>IFERROR(__xludf.DUMMYFUNCTION("""COMPUTED_VALUE"""),50.0)</f>
        <v>50</v>
      </c>
      <c r="B130" s="13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C130" s="15" t="str">
        <f>IFERROR(__xludf.DUMMYFUNCTION("""COMPUTED_VALUE"""),"vay ngân hàng 1 tỷ mỗi tháng trả bao nhiêu")</f>
        <v>vay ngân hàng 1 tỷ mỗi tháng trả bao nhiêu</v>
      </c>
      <c r="D130" s="10">
        <f>IFERROR(__xludf.DUMMYFUNCTION("""COMPUTED_VALUE"""),22.0)</f>
        <v>22</v>
      </c>
    </row>
    <row r="131">
      <c r="A131" s="10">
        <f>IFERROR(__xludf.DUMMYFUNCTION("""COMPUTED_VALUE"""),50.0)</f>
        <v>50</v>
      </c>
      <c r="B131" s="13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C131" s="15" t="str">
        <f>IFERROR(__xludf.DUMMYFUNCTION("""COMPUTED_VALUE"""),"vay 1 tỷ mỗi tháng trả bao nhiêu")</f>
        <v>vay 1 tỷ mỗi tháng trả bao nhiêu</v>
      </c>
      <c r="D131" s="10">
        <f>IFERROR(__xludf.DUMMYFUNCTION("""COMPUTED_VALUE"""),21.0)</f>
        <v>21</v>
      </c>
    </row>
    <row r="132">
      <c r="A132" s="10">
        <f>IFERROR(__xludf.DUMMYFUNCTION("""COMPUTED_VALUE"""),50.0)</f>
        <v>50</v>
      </c>
      <c r="B132" s="13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C132" s="15" t="str">
        <f>IFERROR(__xludf.DUMMYFUNCTION("""COMPUTED_VALUE"""),"vay 1 tỷ trong 20 năm mỗi tháng trả bao nhiêu")</f>
        <v>vay 1 tỷ trong 20 năm mỗi tháng trả bao nhiêu</v>
      </c>
      <c r="D132" s="10">
        <f>IFERROR(__xludf.DUMMYFUNCTION("""COMPUTED_VALUE"""),21.0)</f>
        <v>21</v>
      </c>
    </row>
    <row r="133">
      <c r="A133" s="10">
        <f>IFERROR(__xludf.DUMMYFUNCTION("""COMPUTED_VALUE"""),51.0)</f>
        <v>51</v>
      </c>
      <c r="B133" s="13" t="str">
        <f>IFERROR(__xludf.DUMMYFUNCTION("""COMPUTED_VALUE"""),"https://techcombank.com/thong-tin/blog/traveloka-voucher")</f>
        <v>https://techcombank.com/thong-tin/blog/traveloka-voucher</v>
      </c>
      <c r="C133" s="15" t="str">
        <f>IFERROR(__xludf.DUMMYFUNCTION("""COMPUTED_VALUE"""),"voucher Traveloka")</f>
        <v>voucher Traveloka</v>
      </c>
      <c r="D133" s="10">
        <f>IFERROR(__xludf.DUMMYFUNCTION("""COMPUTED_VALUE"""),32.0)</f>
        <v>32</v>
      </c>
    </row>
    <row r="134">
      <c r="A134" s="10">
        <f>IFERROR(__xludf.DUMMYFUNCTION("""COMPUTED_VALUE"""),51.0)</f>
        <v>51</v>
      </c>
      <c r="B134" s="13" t="str">
        <f>IFERROR(__xludf.DUMMYFUNCTION("""COMPUTED_VALUE"""),"https://techcombank.com/thong-tin/blog/traveloka-voucher")</f>
        <v>https://techcombank.com/thong-tin/blog/traveloka-voucher</v>
      </c>
      <c r="C134" s="15" t="str">
        <f>IFERROR(__xludf.DUMMYFUNCTION("""COMPUTED_VALUE"""),"cách lấy voucher Traveloka")</f>
        <v>cách lấy voucher Traveloka</v>
      </c>
      <c r="D134" s="10">
        <f>IFERROR(__xludf.DUMMYFUNCTION("""COMPUTED_VALUE"""),31.0)</f>
        <v>31</v>
      </c>
    </row>
    <row r="135">
      <c r="A135" s="10">
        <f>IFERROR(__xludf.DUMMYFUNCTION("""COMPUTED_VALUE"""),52.0)</f>
        <v>52</v>
      </c>
      <c r="B135" s="13" t="str">
        <f>IFERROR(__xludf.DUMMYFUNCTION("""COMPUTED_VALUE"""),"https://techcombank.com/thong-tin/blog/ho-kinh-doanh-dong-thue-nhu-nao")</f>
        <v>https://techcombank.com/thong-tin/blog/ho-kinh-doanh-dong-thue-nhu-nao</v>
      </c>
      <c r="C135" s="15" t="str">
        <f>IFERROR(__xludf.DUMMYFUNCTION("""COMPUTED_VALUE"""),"hộ kinh doanh đóng thuế như thế nào")</f>
        <v>hộ kinh doanh đóng thuế như thế nào</v>
      </c>
      <c r="D135" s="10">
        <f>IFERROR(__xludf.DUMMYFUNCTION("""COMPUTED_VALUE"""),22.0)</f>
        <v>22</v>
      </c>
    </row>
    <row r="136">
      <c r="A136" s="10">
        <f>IFERROR(__xludf.DUMMYFUNCTION("""COMPUTED_VALUE"""),52.0)</f>
        <v>52</v>
      </c>
      <c r="B136" s="13" t="str">
        <f>IFERROR(__xludf.DUMMYFUNCTION("""COMPUTED_VALUE"""),"https://techcombank.com/thong-tin/blog/ho-kinh-doanh-dong-thue-nhu-nao")</f>
        <v>https://techcombank.com/thong-tin/blog/ho-kinh-doanh-dong-thue-nhu-nao</v>
      </c>
      <c r="C136" s="15" t="str">
        <f>IFERROR(__xludf.DUMMYFUNCTION("""COMPUTED_VALUE"""),"hộ kinh doanh đóng thuế")</f>
        <v>hộ kinh doanh đóng thuế</v>
      </c>
      <c r="D136" s="10">
        <f>IFERROR(__xludf.DUMMYFUNCTION("""COMPUTED_VALUE"""),21.0)</f>
        <v>21</v>
      </c>
    </row>
    <row r="137">
      <c r="A137" s="10">
        <f>IFERROR(__xludf.DUMMYFUNCTION("""COMPUTED_VALUE"""),52.0)</f>
        <v>52</v>
      </c>
      <c r="B137" s="13" t="str">
        <f>IFERROR(__xludf.DUMMYFUNCTION("""COMPUTED_VALUE"""),"https://techcombank.com/thong-tin/blog/ho-kinh-doanh-dong-thue-nhu-nao")</f>
        <v>https://techcombank.com/thong-tin/blog/ho-kinh-doanh-dong-thue-nhu-nao</v>
      </c>
      <c r="C137" s="15" t="str">
        <f>IFERROR(__xludf.DUMMYFUNCTION("""COMPUTED_VALUE"""),"nghĩa vụ thuế hộ kinh doanh")</f>
        <v>nghĩa vụ thuế hộ kinh doanh</v>
      </c>
      <c r="D137" s="10">
        <f>IFERROR(__xludf.DUMMYFUNCTION("""COMPUTED_VALUE"""),21.0)</f>
        <v>21</v>
      </c>
    </row>
    <row r="138">
      <c r="A138" s="10">
        <f>IFERROR(__xludf.DUMMYFUNCTION("""COMPUTED_VALUE"""),52.0)</f>
        <v>52</v>
      </c>
      <c r="B138" s="13" t="str">
        <f>IFERROR(__xludf.DUMMYFUNCTION("""COMPUTED_VALUE"""),"https://techcombank.com/thong-tin/blog/ho-kinh-doanh-dong-thue-nhu-nao")</f>
        <v>https://techcombank.com/thong-tin/blog/ho-kinh-doanh-dong-thue-nhu-nao</v>
      </c>
      <c r="C138" s="15" t="str">
        <f>IFERROR(__xludf.DUMMYFUNCTION("""COMPUTED_VALUE"""),"thuế hộ kinh doanh")</f>
        <v>thuế hộ kinh doanh</v>
      </c>
      <c r="D138" s="10">
        <f>IFERROR(__xludf.DUMMYFUNCTION("""COMPUTED_VALUE"""),21.0)</f>
        <v>21</v>
      </c>
    </row>
    <row r="139">
      <c r="A139" s="10">
        <f>IFERROR(__xludf.DUMMYFUNCTION("""COMPUTED_VALUE"""),53.0)</f>
        <v>53</v>
      </c>
      <c r="B139" s="13" t="str">
        <f>IFERROR(__xludf.DUMMYFUNCTION("""COMPUTED_VALUE"""),"https://techcombank.com/thong-tin/blog/mo-hinh-kinh-doanh-la-gi")</f>
        <v>https://techcombank.com/thong-tin/blog/mo-hinh-kinh-doanh-la-gi</v>
      </c>
      <c r="C139" s="15" t="str">
        <f>IFERROR(__xludf.DUMMYFUNCTION("""COMPUTED_VALUE"""),"mô hình kinh doanh là gì")</f>
        <v>mô hình kinh doanh là gì</v>
      </c>
      <c r="D139" s="10">
        <f>IFERROR(__xludf.DUMMYFUNCTION("""COMPUTED_VALUE"""),10.0)</f>
        <v>10</v>
      </c>
    </row>
    <row r="140">
      <c r="A140" s="10">
        <f>IFERROR(__xludf.DUMMYFUNCTION("""COMPUTED_VALUE"""),53.0)</f>
        <v>53</v>
      </c>
      <c r="B140" s="13" t="str">
        <f>IFERROR(__xludf.DUMMYFUNCTION("""COMPUTED_VALUE"""),"https://techcombank.com/thong-tin/blog/mo-hinh-kinh-doanh-la-gi")</f>
        <v>https://techcombank.com/thong-tin/blog/mo-hinh-kinh-doanh-la-gi</v>
      </c>
      <c r="C140" s="15" t="str">
        <f>IFERROR(__xludf.DUMMYFUNCTION("""COMPUTED_VALUE"""),"mô hình kinh doanh")</f>
        <v>mô hình kinh doanh</v>
      </c>
      <c r="D140" s="10">
        <f>IFERROR(__xludf.DUMMYFUNCTION("""COMPUTED_VALUE"""),9.0)</f>
        <v>9</v>
      </c>
    </row>
    <row r="141">
      <c r="A141" s="10">
        <f>IFERROR(__xludf.DUMMYFUNCTION("""COMPUTED_VALUE"""),54.0)</f>
        <v>54</v>
      </c>
      <c r="B141" s="13" t="str">
        <f>IFERROR(__xludf.DUMMYFUNCTION("""COMPUTED_VALUE"""),"https://techcombank.com/thong-tin/blog/gui-ma-qr-ngan-hang")</f>
        <v>https://techcombank.com/thong-tin/blog/gui-ma-qr-ngan-hang</v>
      </c>
      <c r="C141" s="15" t="str">
        <f>IFERROR(__xludf.DUMMYFUNCTION("""COMPUTED_VALUE"""),"cách gửi mã QR ngân hàng")</f>
        <v>cách gửi mã QR ngân hàng</v>
      </c>
      <c r="D141" s="10">
        <f>IFERROR(__xludf.DUMMYFUNCTION("""COMPUTED_VALUE"""),13.0)</f>
        <v>13</v>
      </c>
    </row>
    <row r="142">
      <c r="A142" s="10">
        <f>IFERROR(__xludf.DUMMYFUNCTION("""COMPUTED_VALUE"""),54.0)</f>
        <v>54</v>
      </c>
      <c r="B142" s="13" t="str">
        <f>IFERROR(__xludf.DUMMYFUNCTION("""COMPUTED_VALUE"""),"https://techcombank.com/thong-tin/blog/gui-ma-qr-ngan-hang")</f>
        <v>https://techcombank.com/thong-tin/blog/gui-ma-qr-ngan-hang</v>
      </c>
      <c r="C142" s="15" t="str">
        <f>IFERROR(__xludf.DUMMYFUNCTION("""COMPUTED_VALUE"""),"gửi mã QR ngân hàng")</f>
        <v>gửi mã QR ngân hàng</v>
      </c>
      <c r="D142" s="10">
        <f>IFERROR(__xludf.DUMMYFUNCTION("""COMPUTED_VALUE"""),13.0)</f>
        <v>13</v>
      </c>
    </row>
    <row r="143">
      <c r="A143" s="10">
        <f>IFERROR(__xludf.DUMMYFUNCTION("""COMPUTED_VALUE"""),55.0)</f>
        <v>55</v>
      </c>
      <c r="B143" s="13" t="str">
        <f>IFERROR(__xludf.DUMMYFUNCTION("""COMPUTED_VALUE"""),"https://techcombank.com/thong-tin/blog/mo-tai-khoan-ho-kinh-doanh")</f>
        <v>https://techcombank.com/thong-tin/blog/mo-tai-khoan-ho-kinh-doanh</v>
      </c>
      <c r="C143" s="15" t="str">
        <f>IFERROR(__xludf.DUMMYFUNCTION("""COMPUTED_VALUE"""),"mở tài khoản hộ kinh doanh")</f>
        <v>mở tài khoản hộ kinh doanh</v>
      </c>
      <c r="D143" s="10">
        <f>IFERROR(__xludf.DUMMYFUNCTION("""COMPUTED_VALUE"""),18.0)</f>
        <v>18</v>
      </c>
    </row>
    <row r="144">
      <c r="A144" s="10">
        <f>IFERROR(__xludf.DUMMYFUNCTION("""COMPUTED_VALUE"""),55.0)</f>
        <v>55</v>
      </c>
      <c r="B144" s="13" t="str">
        <f>IFERROR(__xludf.DUMMYFUNCTION("""COMPUTED_VALUE"""),"https://techcombank.com/thong-tin/blog/mo-tai-khoan-ho-kinh-doanh")</f>
        <v>https://techcombank.com/thong-tin/blog/mo-tai-khoan-ho-kinh-doanh</v>
      </c>
      <c r="C144" s="15" t="str">
        <f>IFERROR(__xludf.DUMMYFUNCTION("""COMPUTED_VALUE"""),"cách mở tài khoản hộ kinh doanh")</f>
        <v>cách mở tài khoản hộ kinh doanh</v>
      </c>
      <c r="D144" s="10">
        <f>IFERROR(__xludf.DUMMYFUNCTION("""COMPUTED_VALUE"""),17.0)</f>
        <v>17</v>
      </c>
    </row>
    <row r="145">
      <c r="A145" s="10">
        <f>IFERROR(__xludf.DUMMYFUNCTION("""COMPUTED_VALUE"""),55.0)</f>
        <v>55</v>
      </c>
      <c r="B145" s="13" t="str">
        <f>IFERROR(__xludf.DUMMYFUNCTION("""COMPUTED_VALUE"""),"https://techcombank.com/thong-tin/blog/mo-tai-khoan-ho-kinh-doanh")</f>
        <v>https://techcombank.com/thong-tin/blog/mo-tai-khoan-ho-kinh-doanh</v>
      </c>
      <c r="C145" s="15" t="str">
        <f>IFERROR(__xludf.DUMMYFUNCTION("""COMPUTED_VALUE"""),"tài khoản hộ kinh doanh")</f>
        <v>tài khoản hộ kinh doanh</v>
      </c>
      <c r="D145" s="10">
        <f>IFERROR(__xludf.DUMMYFUNCTION("""COMPUTED_VALUE"""),17.0)</f>
        <v>17</v>
      </c>
    </row>
    <row r="146">
      <c r="A146" s="10">
        <f>IFERROR(__xludf.DUMMYFUNCTION("""COMPUTED_VALUE"""),56.0)</f>
        <v>56</v>
      </c>
      <c r="B146" s="13" t="str">
        <f>IFERROR(__xludf.DUMMYFUNCTION("""COMPUTED_VALUE"""),"https://techcombank.com/thong-tin/blog/cach-tinh-thue-ho-kinh-doanh-nho-le")</f>
        <v>https://techcombank.com/thong-tin/blog/cach-tinh-thue-ho-kinh-doanh-nho-le</v>
      </c>
      <c r="C146" s="15" t="str">
        <f>IFERROR(__xludf.DUMMYFUNCTION("""COMPUTED_VALUE"""),"cách tính thuế hộ kinh doanh nhỏ lẻ")</f>
        <v>cách tính thuế hộ kinh doanh nhỏ lẻ</v>
      </c>
      <c r="D146" s="10">
        <f>IFERROR(__xludf.DUMMYFUNCTION("""COMPUTED_VALUE"""),27.0)</f>
        <v>27</v>
      </c>
    </row>
    <row r="147">
      <c r="A147" s="10">
        <f>IFERROR(__xludf.DUMMYFUNCTION("""COMPUTED_VALUE"""),56.0)</f>
        <v>56</v>
      </c>
      <c r="B147" s="13" t="str">
        <f>IFERROR(__xludf.DUMMYFUNCTION("""COMPUTED_VALUE"""),"https://techcombank.com/thong-tin/blog/cach-tinh-thue-ho-kinh-doanh-nho-le")</f>
        <v>https://techcombank.com/thong-tin/blog/cach-tinh-thue-ho-kinh-doanh-nho-le</v>
      </c>
      <c r="C147" s="15" t="str">
        <f>IFERROR(__xludf.DUMMYFUNCTION("""COMPUTED_VALUE"""),"cách tính thuế hộ kinh doanh")</f>
        <v>cách tính thuế hộ kinh doanh</v>
      </c>
      <c r="D147" s="10">
        <f>IFERROR(__xludf.DUMMYFUNCTION("""COMPUTED_VALUE"""),26.0)</f>
        <v>26</v>
      </c>
    </row>
    <row r="148">
      <c r="A148" s="10">
        <f>IFERROR(__xludf.DUMMYFUNCTION("""COMPUTED_VALUE"""),57.0)</f>
        <v>57</v>
      </c>
      <c r="B148" s="13" t="str">
        <f>IFERROR(__xludf.DUMMYFUNCTION("""COMPUTED_VALUE"""),"https://techcombank.com/thong-tin/blog/cach-tinh-lai-vay-ngan-hang")</f>
        <v>https://techcombank.com/thong-tin/blog/cach-tinh-lai-vay-ngan-hang</v>
      </c>
      <c r="C148" s="15" t="str">
        <f>IFERROR(__xludf.DUMMYFUNCTION("""COMPUTED_VALUE"""),"cách tính lãi suất vay ngân hàng")</f>
        <v>cách tính lãi suất vay ngân hàng</v>
      </c>
      <c r="D148" s="10">
        <f>IFERROR(__xludf.DUMMYFUNCTION("""COMPUTED_VALUE"""),17.0)</f>
        <v>17</v>
      </c>
    </row>
    <row r="149">
      <c r="A149" s="10">
        <f>IFERROR(__xludf.DUMMYFUNCTION("""COMPUTED_VALUE"""),57.0)</f>
        <v>57</v>
      </c>
      <c r="B149" s="13" t="str">
        <f>IFERROR(__xludf.DUMMYFUNCTION("""COMPUTED_VALUE"""),"https://techcombank.com/thong-tin/blog/cach-tinh-lai-vay-ngan-hang")</f>
        <v>https://techcombank.com/thong-tin/blog/cach-tinh-lai-vay-ngan-hang</v>
      </c>
      <c r="C149" s="15" t="str">
        <f>IFERROR(__xludf.DUMMYFUNCTION("""COMPUTED_VALUE"""),"cách tính lãi vay ngân hàng")</f>
        <v>cách tính lãi vay ngân hàng</v>
      </c>
      <c r="D149" s="10">
        <f>IFERROR(__xludf.DUMMYFUNCTION("""COMPUTED_VALUE"""),17.0)</f>
        <v>17</v>
      </c>
    </row>
    <row r="150">
      <c r="A150" s="10">
        <f>IFERROR(__xludf.DUMMYFUNCTION("""COMPUTED_VALUE"""),57.0)</f>
        <v>57</v>
      </c>
      <c r="B150" s="13" t="str">
        <f>IFERROR(__xludf.DUMMYFUNCTION("""COMPUTED_VALUE"""),"https://techcombank.com/thong-tin/blog/cach-tinh-lai-vay-ngan-hang")</f>
        <v>https://techcombank.com/thong-tin/blog/cach-tinh-lai-vay-ngan-hang</v>
      </c>
      <c r="C150" s="15" t="str">
        <f>IFERROR(__xludf.DUMMYFUNCTION("""COMPUTED_VALUE"""),"công thức tính lãi vay")</f>
        <v>công thức tính lãi vay</v>
      </c>
      <c r="D150" s="10">
        <f>IFERROR(__xludf.DUMMYFUNCTION("""COMPUTED_VALUE"""),16.0)</f>
        <v>16</v>
      </c>
    </row>
    <row r="151">
      <c r="A151" s="10">
        <f>IFERROR(__xludf.DUMMYFUNCTION("""COMPUTED_VALUE"""),57.0)</f>
        <v>57</v>
      </c>
      <c r="B151" s="13" t="str">
        <f>IFERROR(__xludf.DUMMYFUNCTION("""COMPUTED_VALUE"""),"https://techcombank.com/thong-tin/blog/cach-tinh-lai-vay-ngan-hang")</f>
        <v>https://techcombank.com/thong-tin/blog/cach-tinh-lai-vay-ngan-hang</v>
      </c>
      <c r="C151" s="15" t="str">
        <f>IFERROR(__xludf.DUMMYFUNCTION("""COMPUTED_VALUE"""),"tính lãi vay theo dư nợ giảm dần")</f>
        <v>tính lãi vay theo dư nợ giảm dần</v>
      </c>
      <c r="D151" s="10">
        <f>IFERROR(__xludf.DUMMYFUNCTION("""COMPUTED_VALUE"""),16.0)</f>
        <v>16</v>
      </c>
    </row>
    <row r="152">
      <c r="A152" s="10">
        <f>IFERROR(__xludf.DUMMYFUNCTION("""COMPUTED_VALUE"""),58.0)</f>
        <v>58</v>
      </c>
      <c r="B152" s="13" t="str">
        <f>IFERROR(__xludf.DUMMYFUNCTION("""COMPUTED_VALUE"""),"https://techcombank.com/thong-tin/blog/lai-suat-vay-the-chap-so-do")</f>
        <v>https://techcombank.com/thong-tin/blog/lai-suat-vay-the-chap-so-do</v>
      </c>
      <c r="C152" s="15" t="str">
        <f>IFERROR(__xludf.DUMMYFUNCTION("""COMPUTED_VALUE"""),"lãi suất vay thế chấp sổ hồng")</f>
        <v>lãi suất vay thế chấp sổ hồng</v>
      </c>
      <c r="D152" s="10">
        <f>IFERROR(__xludf.DUMMYFUNCTION("""COMPUTED_VALUE"""),8.0)</f>
        <v>8</v>
      </c>
    </row>
    <row r="153">
      <c r="A153" s="10">
        <f>IFERROR(__xludf.DUMMYFUNCTION("""COMPUTED_VALUE"""),58.0)</f>
        <v>58</v>
      </c>
      <c r="B153" s="13" t="str">
        <f>IFERROR(__xludf.DUMMYFUNCTION("""COMPUTED_VALUE"""),"https://techcombank.com/thong-tin/blog/lai-suat-vay-the-chap-so-do")</f>
        <v>https://techcombank.com/thong-tin/blog/lai-suat-vay-the-chap-so-do</v>
      </c>
      <c r="C153" s="15" t="str">
        <f>IFERROR(__xludf.DUMMYFUNCTION("""COMPUTED_VALUE"""),"lãi suất vay thế chấp sổ đỏ")</f>
        <v>lãi suất vay thế chấp sổ đỏ</v>
      </c>
      <c r="D153" s="10">
        <f>IFERROR(__xludf.DUMMYFUNCTION("""COMPUTED_VALUE"""),8.0)</f>
        <v>8</v>
      </c>
    </row>
    <row r="154">
      <c r="A154" s="10">
        <f>IFERROR(__xludf.DUMMYFUNCTION("""COMPUTED_VALUE"""),58.0)</f>
        <v>58</v>
      </c>
      <c r="B154" s="13" t="str">
        <f>IFERROR(__xludf.DUMMYFUNCTION("""COMPUTED_VALUE"""),"https://techcombank.com/thong-tin/blog/lai-suat-vay-the-chap-so-do")</f>
        <v>https://techcombank.com/thong-tin/blog/lai-suat-vay-the-chap-so-do</v>
      </c>
      <c r="C154" s="15" t="str">
        <f>IFERROR(__xludf.DUMMYFUNCTION("""COMPUTED_VALUE"""),"vay thế chấp sổ đỏ")</f>
        <v>vay thế chấp sổ đỏ</v>
      </c>
      <c r="D154" s="10">
        <f>IFERROR(__xludf.DUMMYFUNCTION("""COMPUTED_VALUE"""),8.0)</f>
        <v>8</v>
      </c>
    </row>
    <row r="155">
      <c r="A155" s="10">
        <f>IFERROR(__xludf.DUMMYFUNCTION("""COMPUTED_VALUE"""),58.0)</f>
        <v>58</v>
      </c>
      <c r="B155" s="13" t="str">
        <f>IFERROR(__xludf.DUMMYFUNCTION("""COMPUTED_VALUE"""),"https://techcombank.com/thong-tin/blog/lai-suat-vay-the-chap-so-do")</f>
        <v>https://techcombank.com/thong-tin/blog/lai-suat-vay-the-chap-so-do</v>
      </c>
      <c r="C155" s="15" t="str">
        <f>IFERROR(__xludf.DUMMYFUNCTION("""COMPUTED_VALUE"""),"vay thế chấp sổ đỏ ngân hàng")</f>
        <v>vay thế chấp sổ đỏ ngân hàng</v>
      </c>
      <c r="D155" s="10">
        <f>IFERROR(__xludf.DUMMYFUNCTION("""COMPUTED_VALUE"""),8.0)</f>
        <v>8</v>
      </c>
    </row>
    <row r="156">
      <c r="A156" s="10">
        <f>IFERROR(__xludf.DUMMYFUNCTION("""COMPUTED_VALUE"""),59.0)</f>
        <v>59</v>
      </c>
      <c r="B156" s="13" t="str">
        <f>IFERROR(__xludf.DUMMYFUNCTION("""COMPUTED_VALUE"""),"https://techcombank.com/thong-tin/blog/ho-so-thu-tuc-xoa-the-chap")</f>
        <v>https://techcombank.com/thong-tin/blog/ho-so-thu-tuc-xoa-the-chap</v>
      </c>
      <c r="C156" s="15" t="str">
        <f>IFERROR(__xludf.DUMMYFUNCTION("""COMPUTED_VALUE"""),"hồ sơ thủ tục xóa thế chấp")</f>
        <v>hồ sơ thủ tục xóa thế chấp</v>
      </c>
      <c r="D156" s="10">
        <f>IFERROR(__xludf.DUMMYFUNCTION("""COMPUTED_VALUE"""),10.0)</f>
        <v>10</v>
      </c>
    </row>
    <row r="157">
      <c r="A157" s="10">
        <f>IFERROR(__xludf.DUMMYFUNCTION("""COMPUTED_VALUE"""),59.0)</f>
        <v>59</v>
      </c>
      <c r="B157" s="13" t="str">
        <f>IFERROR(__xludf.DUMMYFUNCTION("""COMPUTED_VALUE"""),"https://techcombank.com/thong-tin/blog/ho-so-thu-tuc-xoa-the-chap")</f>
        <v>https://techcombank.com/thong-tin/blog/ho-so-thu-tuc-xoa-the-chap</v>
      </c>
      <c r="C157" s="15" t="str">
        <f>IFERROR(__xludf.DUMMYFUNCTION("""COMPUTED_VALUE"""),"thủ tục xóa thế chấp")</f>
        <v>thủ tục xóa thế chấp</v>
      </c>
      <c r="D157" s="10">
        <f>IFERROR(__xludf.DUMMYFUNCTION("""COMPUTED_VALUE"""),10.0)</f>
        <v>10</v>
      </c>
    </row>
    <row r="158">
      <c r="A158" s="10">
        <f>IFERROR(__xludf.DUMMYFUNCTION("""COMPUTED_VALUE"""),59.0)</f>
        <v>59</v>
      </c>
      <c r="B158" s="13" t="str">
        <f>IFERROR(__xludf.DUMMYFUNCTION("""COMPUTED_VALUE"""),"https://techcombank.com/thong-tin/blog/ho-so-thu-tuc-xoa-the-chap")</f>
        <v>https://techcombank.com/thong-tin/blog/ho-so-thu-tuc-xoa-the-chap</v>
      </c>
      <c r="C158" s="15" t="str">
        <f>IFERROR(__xludf.DUMMYFUNCTION("""COMPUTED_VALUE"""),"thủ tục giải chấp sổ đỏ")</f>
        <v>thủ tục giải chấp sổ đỏ</v>
      </c>
      <c r="D158" s="10">
        <f>IFERROR(__xludf.DUMMYFUNCTION("""COMPUTED_VALUE"""),9.0)</f>
        <v>9</v>
      </c>
    </row>
    <row r="159">
      <c r="A159" s="10">
        <f>IFERROR(__xludf.DUMMYFUNCTION("""COMPUTED_VALUE"""),59.0)</f>
        <v>59</v>
      </c>
      <c r="B159" s="13" t="str">
        <f>IFERROR(__xludf.DUMMYFUNCTION("""COMPUTED_VALUE"""),"https://techcombank.com/thong-tin/blog/ho-so-thu-tuc-xoa-the-chap")</f>
        <v>https://techcombank.com/thong-tin/blog/ho-so-thu-tuc-xoa-the-chap</v>
      </c>
      <c r="C159" s="15" t="str">
        <f>IFERROR(__xludf.DUMMYFUNCTION("""COMPUTED_VALUE"""),"xóa thế chấp sổ đỏ")</f>
        <v>xóa thế chấp sổ đỏ</v>
      </c>
      <c r="D159" s="10">
        <f>IFERROR(__xludf.DUMMYFUNCTION("""COMPUTED_VALUE"""),9.0)</f>
        <v>9</v>
      </c>
    </row>
    <row r="160">
      <c r="A160" s="10">
        <f>IFERROR(__xludf.DUMMYFUNCTION("""COMPUTED_VALUE"""),60.0)</f>
        <v>60</v>
      </c>
      <c r="B160" s="13" t="str">
        <f>IFERROR(__xludf.DUMMYFUNCTION("""COMPUTED_VALUE"""),"https://techcombank.com/thong-tin/blog/lai-suat-tiet-kiem")</f>
        <v>https://techcombank.com/thong-tin/blog/lai-suat-tiet-kiem</v>
      </c>
      <c r="C160" s="15" t="str">
        <f>IFERROR(__xludf.DUMMYFUNCTION("""COMPUTED_VALUE"""),"lãi suất gửi tiết kiệm")</f>
        <v>lãi suất gửi tiết kiệm</v>
      </c>
      <c r="D160" s="10">
        <f>IFERROR(__xludf.DUMMYFUNCTION("""COMPUTED_VALUE"""),14.0)</f>
        <v>14</v>
      </c>
    </row>
    <row r="161">
      <c r="A161" s="10">
        <f>IFERROR(__xludf.DUMMYFUNCTION("""COMPUTED_VALUE"""),60.0)</f>
        <v>60</v>
      </c>
      <c r="B161" s="13" t="str">
        <f>IFERROR(__xludf.DUMMYFUNCTION("""COMPUTED_VALUE"""),"https://techcombank.com/thong-tin/blog/lai-suat-tiet-kiem")</f>
        <v>https://techcombank.com/thong-tin/blog/lai-suat-tiet-kiem</v>
      </c>
      <c r="C161" s="15" t="str">
        <f>IFERROR(__xludf.DUMMYFUNCTION("""COMPUTED_VALUE"""),"lãi suất tiết kiệm")</f>
        <v>lãi suất tiết kiệm</v>
      </c>
      <c r="D161" s="10">
        <f>IFERROR(__xludf.DUMMYFUNCTION("""COMPUTED_VALUE"""),14.0)</f>
        <v>14</v>
      </c>
    </row>
    <row r="162">
      <c r="A162" s="10">
        <f>IFERROR(__xludf.DUMMYFUNCTION("""COMPUTED_VALUE"""),60.0)</f>
        <v>60</v>
      </c>
      <c r="B162" s="13" t="str">
        <f>IFERROR(__xludf.DUMMYFUNCTION("""COMPUTED_VALUE"""),"https://techcombank.com/thong-tin/blog/lai-suat-tiet-kiem")</f>
        <v>https://techcombank.com/thong-tin/blog/lai-suat-tiet-kiem</v>
      </c>
      <c r="C162" s="15" t="str">
        <f>IFERROR(__xludf.DUMMYFUNCTION("""COMPUTED_VALUE"""),"lãi suất tiết kiệm các ngân hàng")</f>
        <v>lãi suất tiết kiệm các ngân hàng</v>
      </c>
      <c r="D162" s="10">
        <f>IFERROR(__xludf.DUMMYFUNCTION("""COMPUTED_VALUE"""),14.0)</f>
        <v>14</v>
      </c>
    </row>
    <row r="163">
      <c r="A163" s="10">
        <f>IFERROR(__xludf.DUMMYFUNCTION("""COMPUTED_VALUE"""),61.0)</f>
        <v>61</v>
      </c>
      <c r="B163" s="13" t="str">
        <f>IFERROR(__xludf.DUMMYFUNCTION("""COMPUTED_VALUE"""),"https://techcombank.com/thong-tin/blog/cach-tinh-lai-suat-tien-gui-tiet-kiem")</f>
        <v>https://techcombank.com/thong-tin/blog/cach-tinh-lai-suat-tien-gui-tiet-kiem</v>
      </c>
      <c r="C163" s="15" t="str">
        <f>IFERROR(__xludf.DUMMYFUNCTION("""COMPUTED_VALUE"""),"cách tính lãi suất tiền gửi tiết kiệm")</f>
        <v>cách tính lãi suất tiền gửi tiết kiệm</v>
      </c>
      <c r="D163" s="10">
        <f>IFERROR(__xludf.DUMMYFUNCTION("""COMPUTED_VALUE"""),27.0)</f>
        <v>27</v>
      </c>
    </row>
    <row r="164">
      <c r="A164" s="10">
        <f>IFERROR(__xludf.DUMMYFUNCTION("""COMPUTED_VALUE"""),61.0)</f>
        <v>61</v>
      </c>
      <c r="B164" s="13" t="str">
        <f>IFERROR(__xludf.DUMMYFUNCTION("""COMPUTED_VALUE"""),"https://techcombank.com/thong-tin/blog/cach-tinh-lai-suat-tien-gui-tiet-kiem")</f>
        <v>https://techcombank.com/thong-tin/blog/cach-tinh-lai-suat-tien-gui-tiet-kiem</v>
      </c>
      <c r="C164" s="15" t="str">
        <f>IFERROR(__xludf.DUMMYFUNCTION("""COMPUTED_VALUE"""),"công thức tính lãi tiết kiệm")</f>
        <v>công thức tính lãi tiết kiệm</v>
      </c>
      <c r="D164" s="10">
        <f>IFERROR(__xludf.DUMMYFUNCTION("""COMPUTED_VALUE"""),26.0)</f>
        <v>26</v>
      </c>
    </row>
    <row r="165">
      <c r="A165" s="10">
        <f>IFERROR(__xludf.DUMMYFUNCTION("""COMPUTED_VALUE"""),62.0)</f>
        <v>62</v>
      </c>
      <c r="B165" s="13" t="str">
        <f>IFERROR(__xludf.DUMMYFUNCTION("""COMPUTED_VALUE"""),"https://techcombank.com/thong-tin/blog/rut-tien-tiet-kiem-truoc-thoi-han")</f>
        <v>https://techcombank.com/thong-tin/blog/rut-tien-tiet-kiem-truoc-thoi-han</v>
      </c>
      <c r="C165" s="15" t="str">
        <f>IFERROR(__xludf.DUMMYFUNCTION("""COMPUTED_VALUE"""),"rút tiền tiết kiệm trước thời hạn")</f>
        <v>rút tiền tiết kiệm trước thời hạn</v>
      </c>
      <c r="D165" s="10">
        <f>IFERROR(__xludf.DUMMYFUNCTION("""COMPUTED_VALUE"""),10.0)</f>
        <v>10</v>
      </c>
    </row>
    <row r="166">
      <c r="A166" s="10">
        <f>IFERROR(__xludf.DUMMYFUNCTION("""COMPUTED_VALUE"""),62.0)</f>
        <v>62</v>
      </c>
      <c r="B166" s="13" t="str">
        <f>IFERROR(__xludf.DUMMYFUNCTION("""COMPUTED_VALUE"""),"https://techcombank.com/thong-tin/blog/rut-tien-tiet-kiem-truoc-thoi-han")</f>
        <v>https://techcombank.com/thong-tin/blog/rut-tien-tiet-kiem-truoc-thoi-han</v>
      </c>
      <c r="C166" s="15" t="str">
        <f>IFERROR(__xludf.DUMMYFUNCTION("""COMPUTED_VALUE"""),"rút tiết kiệm trước hạn")</f>
        <v>rút tiết kiệm trước hạn</v>
      </c>
      <c r="D166" s="10">
        <f>IFERROR(__xludf.DUMMYFUNCTION("""COMPUTED_VALUE"""),9.0)</f>
        <v>9</v>
      </c>
    </row>
    <row r="167">
      <c r="A167" s="10">
        <f>IFERROR(__xludf.DUMMYFUNCTION("""COMPUTED_VALUE"""),63.0)</f>
        <v>63</v>
      </c>
      <c r="B167" s="13" t="str">
        <f>IFERROR(__xludf.DUMMYFUNCTION("""COMPUTED_VALUE"""),"https://techcombank.com/thong-tin/blog/so-tiet-kiem-ngan-hang")</f>
        <v>https://techcombank.com/thong-tin/blog/so-tiet-kiem-ngan-hang</v>
      </c>
      <c r="C167" s="15" t="str">
        <f>IFERROR(__xludf.DUMMYFUNCTION("""COMPUTED_VALUE"""),"sổ tiết kiệm ngân hàng")</f>
        <v>sổ tiết kiệm ngân hàng</v>
      </c>
      <c r="D167" s="10">
        <f>IFERROR(__xludf.DUMMYFUNCTION("""COMPUTED_VALUE"""),21.0)</f>
        <v>21</v>
      </c>
    </row>
    <row r="168">
      <c r="A168" s="10">
        <f>IFERROR(__xludf.DUMMYFUNCTION("""COMPUTED_VALUE"""),63.0)</f>
        <v>63</v>
      </c>
      <c r="B168" s="13" t="str">
        <f>IFERROR(__xludf.DUMMYFUNCTION("""COMPUTED_VALUE"""),"https://techcombank.com/thong-tin/blog/so-tiet-kiem-ngan-hang")</f>
        <v>https://techcombank.com/thong-tin/blog/so-tiet-kiem-ngan-hang</v>
      </c>
      <c r="C168" s="15" t="str">
        <f>IFERROR(__xludf.DUMMYFUNCTION("""COMPUTED_VALUE"""),"sổ tiết kiệm")</f>
        <v>sổ tiết kiệm</v>
      </c>
      <c r="D168" s="10">
        <f>IFERROR(__xludf.DUMMYFUNCTION("""COMPUTED_VALUE"""),20.0)</f>
        <v>20</v>
      </c>
    </row>
    <row r="169">
      <c r="A169" s="10">
        <f>IFERROR(__xludf.DUMMYFUNCTION("""COMPUTED_VALUE"""),64.0)</f>
        <v>64</v>
      </c>
      <c r="B169" s="13" t="str">
        <f>IFERROR(__xludf.DUMMYFUNCTION("""COMPUTED_VALUE"""),"https://techcombank.com/thong-tin/blog/cach-tiet-kiem-tien")</f>
        <v>https://techcombank.com/thong-tin/blog/cach-tiet-kiem-tien</v>
      </c>
      <c r="C169" s="15" t="str">
        <f>IFERROR(__xludf.DUMMYFUNCTION("""COMPUTED_VALUE"""),"cách tiết kiệm tiền")</f>
        <v>cách tiết kiệm tiền</v>
      </c>
      <c r="D169" s="10">
        <f>IFERROR(__xludf.DUMMYFUNCTION("""COMPUTED_VALUE"""),37.0)</f>
        <v>37</v>
      </c>
    </row>
    <row r="170">
      <c r="A170" s="10">
        <f>IFERROR(__xludf.DUMMYFUNCTION("""COMPUTED_VALUE"""),64.0)</f>
        <v>64</v>
      </c>
      <c r="B170" s="13" t="str">
        <f>IFERROR(__xludf.DUMMYFUNCTION("""COMPUTED_VALUE"""),"https://techcombank.com/thong-tin/blog/cach-tiet-kiem-tien")</f>
        <v>https://techcombank.com/thong-tin/blog/cach-tiet-kiem-tien</v>
      </c>
      <c r="C170" s="15" t="str">
        <f>IFERROR(__xludf.DUMMYFUNCTION("""COMPUTED_VALUE"""),"cách tiết kiệm tiền hiệu quả")</f>
        <v>cách tiết kiệm tiền hiệu quả</v>
      </c>
      <c r="D170" s="10">
        <f>IFERROR(__xludf.DUMMYFUNCTION("""COMPUTED_VALUE"""),36.0)</f>
        <v>36</v>
      </c>
    </row>
    <row r="171">
      <c r="A171" s="10">
        <f>IFERROR(__xludf.DUMMYFUNCTION("""COMPUTED_VALUE"""),65.0)</f>
        <v>65</v>
      </c>
      <c r="B171" s="13" t="str">
        <f>IFERROR(__xludf.DUMMYFUNCTION("""COMPUTED_VALUE"""),"https://techcombank.com/thong-tin/blog/rui-ro-khi-gui-tiet-kiem-online")</f>
        <v>https://techcombank.com/thong-tin/blog/rui-ro-khi-gui-tiet-kiem-online</v>
      </c>
      <c r="C171" s="15" t="str">
        <f>IFERROR(__xludf.DUMMYFUNCTION("""COMPUTED_VALUE"""),"gửi tiết kiệm online có an toàn không")</f>
        <v>gửi tiết kiệm online có an toàn không</v>
      </c>
      <c r="D171" s="10">
        <f>IFERROR(__xludf.DUMMYFUNCTION("""COMPUTED_VALUE"""),21.0)</f>
        <v>21</v>
      </c>
    </row>
    <row r="172">
      <c r="A172" s="10">
        <f>IFERROR(__xludf.DUMMYFUNCTION("""COMPUTED_VALUE"""),65.0)</f>
        <v>65</v>
      </c>
      <c r="B172" s="13" t="str">
        <f>IFERROR(__xludf.DUMMYFUNCTION("""COMPUTED_VALUE"""),"https://techcombank.com/thong-tin/blog/rui-ro-khi-gui-tiet-kiem-online")</f>
        <v>https://techcombank.com/thong-tin/blog/rui-ro-khi-gui-tiet-kiem-online</v>
      </c>
      <c r="C172" s="15" t="str">
        <f>IFERROR(__xludf.DUMMYFUNCTION("""COMPUTED_VALUE"""),"rủi ro khi gửi tiết kiệm online")</f>
        <v>rủi ro khi gửi tiết kiệm online</v>
      </c>
      <c r="D172" s="10">
        <f>IFERROR(__xludf.DUMMYFUNCTION("""COMPUTED_VALUE"""),21.0)</f>
        <v>21</v>
      </c>
    </row>
    <row r="173">
      <c r="A173" s="10">
        <f>IFERROR(__xludf.DUMMYFUNCTION("""COMPUTED_VALUE"""),66.0)</f>
        <v>66</v>
      </c>
      <c r="B173" s="13" t="str">
        <f>IFERROR(__xludf.DUMMYFUNCTION("""COMPUTED_VALUE"""),"https://techcombank.com/cong-cu-tien-ich/cong-cu-tinh-toan/bang-tinh-lai-suat-vay")</f>
        <v>https://techcombank.com/cong-cu-tien-ich/cong-cu-tinh-toan/bang-tinh-lai-suat-vay</v>
      </c>
      <c r="C173" s="15" t="str">
        <f>IFERROR(__xludf.DUMMYFUNCTION("""COMPUTED_VALUE"""),"bảng tính lãi suất vay")</f>
        <v>bảng tính lãi suất vay</v>
      </c>
      <c r="D173" s="10">
        <f>IFERROR(__xludf.DUMMYFUNCTION("""COMPUTED_VALUE"""),20.0)</f>
        <v>20</v>
      </c>
    </row>
    <row r="174">
      <c r="A174" s="10">
        <f>IFERROR(__xludf.DUMMYFUNCTION("""COMPUTED_VALUE"""),66.0)</f>
        <v>66</v>
      </c>
      <c r="B174" s="13" t="str">
        <f>IFERROR(__xludf.DUMMYFUNCTION("""COMPUTED_VALUE"""),"https://techcombank.com/cong-cu-tien-ich/cong-cu-tinh-toan/bang-tinh-lai-suat-vay")</f>
        <v>https://techcombank.com/cong-cu-tien-ich/cong-cu-tinh-toan/bang-tinh-lai-suat-vay</v>
      </c>
      <c r="C174" s="15" t="str">
        <f>IFERROR(__xludf.DUMMYFUNCTION("""COMPUTED_VALUE"""),"công cụ tính lãi suất vay ngân hàng")</f>
        <v>công cụ tính lãi suất vay ngân hàng</v>
      </c>
      <c r="D174" s="10">
        <f>IFERROR(__xludf.DUMMYFUNCTION("""COMPUTED_VALUE"""),20.0)</f>
        <v>20</v>
      </c>
    </row>
    <row r="175">
      <c r="A175" s="10">
        <f>IFERROR(__xludf.DUMMYFUNCTION("""COMPUTED_VALUE"""),66.0)</f>
        <v>66</v>
      </c>
      <c r="B175" s="13" t="str">
        <f>IFERROR(__xludf.DUMMYFUNCTION("""COMPUTED_VALUE"""),"https://techcombank.com/cong-cu-tien-ich/cong-cu-tinh-toan/bang-tinh-lai-suat-vay")</f>
        <v>https://techcombank.com/cong-cu-tien-ich/cong-cu-tinh-toan/bang-tinh-lai-suat-vay</v>
      </c>
      <c r="C175" s="15" t="str">
        <f>IFERROR(__xludf.DUMMYFUNCTION("""COMPUTED_VALUE"""),"công cụ tính lãi vay")</f>
        <v>công cụ tính lãi vay</v>
      </c>
      <c r="D175" s="10">
        <f>IFERROR(__xludf.DUMMYFUNCTION("""COMPUTED_VALUE"""),20.0)</f>
        <v>20</v>
      </c>
    </row>
    <row r="176">
      <c r="A176" s="10">
        <f>IFERROR(__xludf.DUMMYFUNCTION("""COMPUTED_VALUE"""),67.0)</f>
        <v>67</v>
      </c>
      <c r="B176" s="13" t="str">
        <f>IFERROR(__xludf.DUMMYFUNCTION("""COMPUTED_VALUE"""),"https://techcombank.com/cong-cu-tien-ich/cong-cu-tinh-toan/bang-tinh-lai-suat-tiet-kiem")</f>
        <v>https://techcombank.com/cong-cu-tien-ich/cong-cu-tinh-toan/bang-tinh-lai-suat-tiet-kiem</v>
      </c>
      <c r="C176" s="15" t="str">
        <f>IFERROR(__xludf.DUMMYFUNCTION("""COMPUTED_VALUE"""),"bảng tính lãi suất tiết kiệm")</f>
        <v>bảng tính lãi suất tiết kiệm</v>
      </c>
      <c r="D176" s="10">
        <f>IFERROR(__xludf.DUMMYFUNCTION("""COMPUTED_VALUE"""),31.0)</f>
        <v>31</v>
      </c>
    </row>
    <row r="177">
      <c r="A177" s="10">
        <f>IFERROR(__xludf.DUMMYFUNCTION("""COMPUTED_VALUE"""),67.0)</f>
        <v>67</v>
      </c>
      <c r="B177" s="13" t="str">
        <f>IFERROR(__xludf.DUMMYFUNCTION("""COMPUTED_VALUE"""),"https://techcombank.com/cong-cu-tien-ich/cong-cu-tinh-toan/bang-tinh-lai-suat-tiet-kiem")</f>
        <v>https://techcombank.com/cong-cu-tien-ich/cong-cu-tinh-toan/bang-tinh-lai-suat-tiet-kiem</v>
      </c>
      <c r="C177" s="15" t="str">
        <f>IFERROR(__xludf.DUMMYFUNCTION("""COMPUTED_VALUE"""),"công cụ tính lãi tiết kiệm")</f>
        <v>công cụ tính lãi tiết kiệm</v>
      </c>
      <c r="D177" s="10">
        <f>IFERROR(__xludf.DUMMYFUNCTION("""COMPUTED_VALUE"""),31.0)</f>
        <v>31</v>
      </c>
    </row>
    <row r="178">
      <c r="A178" s="10">
        <f>IFERROR(__xludf.DUMMYFUNCTION("""COMPUTED_VALUE"""),68.0)</f>
        <v>68</v>
      </c>
      <c r="B178" s="13" t="str">
        <f>IFERROR(__xludf.DUMMYFUNCTION("""COMPUTED_VALUE"""),"https://techcombank.com/thong-tin/blog/app-vay-tien-nhanh")</f>
        <v>https://techcombank.com/thong-tin/blog/app-vay-tien-nhanh</v>
      </c>
      <c r="C178" s="15" t="str">
        <f>IFERROR(__xludf.DUMMYFUNCTION("""COMPUTED_VALUE"""),"app vay tiền chỉ cần CCCD")</f>
        <v>app vay tiền chỉ cần CCCD</v>
      </c>
      <c r="D178" s="10">
        <f>IFERROR(__xludf.DUMMYFUNCTION("""COMPUTED_VALUE"""),6.0)</f>
        <v>6</v>
      </c>
    </row>
    <row r="179">
      <c r="A179" s="10">
        <f>IFERROR(__xludf.DUMMYFUNCTION("""COMPUTED_VALUE"""),68.0)</f>
        <v>68</v>
      </c>
      <c r="B179" s="13" t="str">
        <f>IFERROR(__xludf.DUMMYFUNCTION("""COMPUTED_VALUE"""),"https://techcombank.com/thong-tin/blog/app-vay-tien-nhanh")</f>
        <v>https://techcombank.com/thong-tin/blog/app-vay-tien-nhanh</v>
      </c>
      <c r="C179" s="15" t="str">
        <f>IFERROR(__xludf.DUMMYFUNCTION("""COMPUTED_VALUE"""),"app vay tiền nhanh")</f>
        <v>app vay tiền nhanh</v>
      </c>
      <c r="D179" s="10">
        <f>IFERROR(__xludf.DUMMYFUNCTION("""COMPUTED_VALUE"""),6.0)</f>
        <v>6</v>
      </c>
    </row>
    <row r="180">
      <c r="A180" s="10">
        <f>IFERROR(__xludf.DUMMYFUNCTION("""COMPUTED_VALUE"""),68.0)</f>
        <v>68</v>
      </c>
      <c r="B180" s="13" t="str">
        <f>IFERROR(__xludf.DUMMYFUNCTION("""COMPUTED_VALUE"""),"https://techcombank.com/thong-tin/blog/app-vay-tien-nhanh")</f>
        <v>https://techcombank.com/thong-tin/blog/app-vay-tien-nhanh</v>
      </c>
      <c r="C180" s="15" t="str">
        <f>IFERROR(__xludf.DUMMYFUNCTION("""COMPUTED_VALUE"""),"vay tiền online")</f>
        <v>vay tiền online</v>
      </c>
      <c r="D180" s="10">
        <f>IFERROR(__xludf.DUMMYFUNCTION("""COMPUTED_VALUE"""),5.0)</f>
        <v>5</v>
      </c>
    </row>
    <row r="181">
      <c r="A181" s="10">
        <f>IFERROR(__xludf.DUMMYFUNCTION("""COMPUTED_VALUE"""),69.0)</f>
        <v>69</v>
      </c>
      <c r="B181" s="13" t="str">
        <f>IFERROR(__xludf.DUMMYFUNCTION("""COMPUTED_VALUE"""),"https://techcombank.com/thong-tin/blog/lai-suat-vay-ngan-hang")</f>
        <v>https://techcombank.com/thong-tin/blog/lai-suat-vay-ngan-hang</v>
      </c>
      <c r="C181" s="15" t="str">
        <f>IFERROR(__xludf.DUMMYFUNCTION("""COMPUTED_VALUE"""),"lãi suất vay ngân hàng")</f>
        <v>lãi suất vay ngân hàng</v>
      </c>
      <c r="D181" s="10">
        <f>IFERROR(__xludf.DUMMYFUNCTION("""COMPUTED_VALUE"""),8.0)</f>
        <v>8</v>
      </c>
    </row>
    <row r="182">
      <c r="A182" s="10">
        <f>IFERROR(__xludf.DUMMYFUNCTION("""COMPUTED_VALUE"""),69.0)</f>
        <v>69</v>
      </c>
      <c r="B182" s="13" t="str">
        <f>IFERROR(__xludf.DUMMYFUNCTION("""COMPUTED_VALUE"""),"https://techcombank.com/thong-tin/blog/lai-suat-vay-ngan-hang")</f>
        <v>https://techcombank.com/thong-tin/blog/lai-suat-vay-ngan-hang</v>
      </c>
      <c r="C182" s="15" t="str">
        <f>IFERROR(__xludf.DUMMYFUNCTION("""COMPUTED_VALUE"""),"lãi suất vay ngân hàng mới nhất")</f>
        <v>lãi suất vay ngân hàng mới nhất</v>
      </c>
      <c r="D182" s="10">
        <f>IFERROR(__xludf.DUMMYFUNCTION("""COMPUTED_VALUE"""),8.0)</f>
        <v>8</v>
      </c>
    </row>
    <row r="183">
      <c r="A183" s="10">
        <f>IFERROR(__xludf.DUMMYFUNCTION("""COMPUTED_VALUE"""),70.0)</f>
        <v>70</v>
      </c>
      <c r="B183" s="13" t="str">
        <f>IFERROR(__xludf.DUMMYFUNCTION("""COMPUTED_VALUE"""),"https://techcombank.com/thong-tin/blog/vay-thau-chi-la-gi")</f>
        <v>https://techcombank.com/thong-tin/blog/vay-thau-chi-la-gi</v>
      </c>
      <c r="C183" s="15" t="str">
        <f>IFERROR(__xludf.DUMMYFUNCTION("""COMPUTED_VALUE"""),"vay thấu chi là gì")</f>
        <v>vay thấu chi là gì</v>
      </c>
      <c r="D183" s="10">
        <f>IFERROR(__xludf.DUMMYFUNCTION("""COMPUTED_VALUE"""),5.0)</f>
        <v>5</v>
      </c>
    </row>
    <row r="184">
      <c r="A184" s="10">
        <f>IFERROR(__xludf.DUMMYFUNCTION("""COMPUTED_VALUE"""),70.0)</f>
        <v>70</v>
      </c>
      <c r="B184" s="13" t="str">
        <f>IFERROR(__xludf.DUMMYFUNCTION("""COMPUTED_VALUE"""),"https://techcombank.com/thong-tin/blog/vay-thau-chi-la-gi")</f>
        <v>https://techcombank.com/thong-tin/blog/vay-thau-chi-la-gi</v>
      </c>
      <c r="C184" s="15" t="str">
        <f>IFERROR(__xludf.DUMMYFUNCTION("""COMPUTED_VALUE"""),"vay thấu chi")</f>
        <v>vay thấu chi</v>
      </c>
      <c r="D184" s="10">
        <f>IFERROR(__xludf.DUMMYFUNCTION("""COMPUTED_VALUE"""),4.0)</f>
        <v>4</v>
      </c>
    </row>
    <row r="185">
      <c r="A185" s="10">
        <f>IFERROR(__xludf.DUMMYFUNCTION("""COMPUTED_VALUE"""),71.0)</f>
        <v>71</v>
      </c>
      <c r="B185" s="13" t="str">
        <f>IFERROR(__xludf.DUMMYFUNCTION("""COMPUTED_VALUE"""),"https://techcombank.com/thong-tin/blog/kiem-tra-no-xau")</f>
        <v>https://techcombank.com/thong-tin/blog/kiem-tra-no-xau</v>
      </c>
      <c r="C185" s="15" t="str">
        <f>IFERROR(__xludf.DUMMYFUNCTION("""COMPUTED_VALUE"""),"kiểm tra nợ xấu")</f>
        <v>kiểm tra nợ xấu</v>
      </c>
      <c r="D185" s="10">
        <f>IFERROR(__xludf.DUMMYFUNCTION("""COMPUTED_VALUE"""),8.0)</f>
        <v>8</v>
      </c>
    </row>
    <row r="186">
      <c r="A186" s="10">
        <f>IFERROR(__xludf.DUMMYFUNCTION("""COMPUTED_VALUE"""),71.0)</f>
        <v>71</v>
      </c>
      <c r="B186" s="13" t="str">
        <f>IFERROR(__xludf.DUMMYFUNCTION("""COMPUTED_VALUE"""),"https://techcombank.com/thong-tin/blog/kiem-tra-no-xau")</f>
        <v>https://techcombank.com/thong-tin/blog/kiem-tra-no-xau</v>
      </c>
      <c r="C186" s="15" t="str">
        <f>IFERROR(__xludf.DUMMYFUNCTION("""COMPUTED_VALUE"""),"tra cứu nợ xấu")</f>
        <v>tra cứu nợ xấu</v>
      </c>
      <c r="D186" s="10">
        <f>IFERROR(__xludf.DUMMYFUNCTION("""COMPUTED_VALUE"""),8.0)</f>
        <v>8</v>
      </c>
    </row>
    <row r="187">
      <c r="A187" s="10">
        <f>IFERROR(__xludf.DUMMYFUNCTION("""COMPUTED_VALUE"""),72.0)</f>
        <v>72</v>
      </c>
      <c r="B187" s="13" t="str">
        <f>IFERROR(__xludf.DUMMYFUNCTION("""COMPUTED_VALUE"""),"https://techcombank.com/thong-tin/blog/nen-vay-tin-chap-o-dau")</f>
        <v>https://techcombank.com/thong-tin/blog/nen-vay-tin-chap-o-dau</v>
      </c>
      <c r="C187" s="15" t="str">
        <f>IFERROR(__xludf.DUMMYFUNCTION("""COMPUTED_VALUE"""),"nên vay tín chấp ở đâu")</f>
        <v>nên vay tín chấp ở đâu</v>
      </c>
      <c r="D187" s="10">
        <f>IFERROR(__xludf.DUMMYFUNCTION("""COMPUTED_VALUE"""),31.0)</f>
        <v>31</v>
      </c>
    </row>
    <row r="188">
      <c r="A188" s="10">
        <f>IFERROR(__xludf.DUMMYFUNCTION("""COMPUTED_VALUE"""),73.0)</f>
        <v>73</v>
      </c>
      <c r="B188" s="13" t="str">
        <f>IFERROR(__xludf.DUMMYFUNCTION("""COMPUTED_VALUE"""),"https://techcombank.com/thong-tin/blog/no-xau-la-gi")</f>
        <v>https://techcombank.com/thong-tin/blog/no-xau-la-gi</v>
      </c>
      <c r="C188" s="15" t="str">
        <f>IFERROR(__xludf.DUMMYFUNCTION("""COMPUTED_VALUE"""),"nợ xấu")</f>
        <v>nợ xấu</v>
      </c>
      <c r="D188" s="10">
        <f>IFERROR(__xludf.DUMMYFUNCTION("""COMPUTED_VALUE"""),8.0)</f>
        <v>8</v>
      </c>
    </row>
    <row r="189">
      <c r="A189" s="10">
        <f>IFERROR(__xludf.DUMMYFUNCTION("""COMPUTED_VALUE"""),73.0)</f>
        <v>73</v>
      </c>
      <c r="B189" s="13" t="str">
        <f>IFERROR(__xludf.DUMMYFUNCTION("""COMPUTED_VALUE"""),"https://techcombank.com/thong-tin/blog/no-xau-la-gi")</f>
        <v>https://techcombank.com/thong-tin/blog/no-xau-la-gi</v>
      </c>
      <c r="C189" s="15" t="str">
        <f>IFERROR(__xludf.DUMMYFUNCTION("""COMPUTED_VALUE"""),"nợ xấu là gì")</f>
        <v>nợ xấu là gì</v>
      </c>
      <c r="D189" s="10">
        <f>IFERROR(__xludf.DUMMYFUNCTION("""COMPUTED_VALUE"""),8.0)</f>
        <v>8</v>
      </c>
    </row>
    <row r="190">
      <c r="A190" s="10">
        <f>IFERROR(__xludf.DUMMYFUNCTION("""COMPUTED_VALUE"""),74.0)</f>
        <v>74</v>
      </c>
      <c r="B190" s="13" t="str">
        <f>IFERROR(__xludf.DUMMYFUNCTION("""COMPUTED_VALUE"""),"https://techcombank.com/thong-tin/blog/vay-tin-chap-khong-tra-duoc-co-sao-khong")</f>
        <v>https://techcombank.com/thong-tin/blog/vay-tin-chap-khong-tra-duoc-co-sao-khong</v>
      </c>
      <c r="C190" s="15" t="str">
        <f>IFERROR(__xludf.DUMMYFUNCTION("""COMPUTED_VALUE"""),"vay tín chấp không trả được có sao không")</f>
        <v>vay tín chấp không trả được có sao không</v>
      </c>
      <c r="D190" s="10">
        <f>IFERROR(__xludf.DUMMYFUNCTION("""COMPUTED_VALUE"""),34.0)</f>
        <v>34</v>
      </c>
    </row>
    <row r="191">
      <c r="A191" s="10">
        <f>IFERROR(__xludf.DUMMYFUNCTION("""COMPUTED_VALUE"""),75.0)</f>
        <v>75</v>
      </c>
      <c r="B191" s="13" t="str">
        <f>IFERROR(__xludf.DUMMYFUNCTION("""COMPUTED_VALUE"""),"https://techcombank.com/thong-tin/blog/phuong-phap-dau-tu-chung-chi-quy")</f>
        <v>https://techcombank.com/thong-tin/blog/phuong-phap-dau-tu-chung-chi-quy</v>
      </c>
      <c r="C191" s="15" t="str">
        <f>IFERROR(__xludf.DUMMYFUNCTION("""COMPUTED_VALUE"""),"phương pháp đầu tư chứng chỉ quỹ")</f>
        <v>phương pháp đầu tư chứng chỉ quỹ</v>
      </c>
      <c r="D191" s="10">
        <f>IFERROR(__xludf.DUMMYFUNCTION("""COMPUTED_VALUE"""),21.0)</f>
        <v>21</v>
      </c>
    </row>
    <row r="192">
      <c r="A192" s="10">
        <f>IFERROR(__xludf.DUMMYFUNCTION("""COMPUTED_VALUE"""),75.0)</f>
        <v>75</v>
      </c>
      <c r="B192" s="13" t="str">
        <f>IFERROR(__xludf.DUMMYFUNCTION("""COMPUTED_VALUE"""),"https://techcombank.com/thong-tin/blog/phuong-phap-dau-tu-chung-chi-quy")</f>
        <v>https://techcombank.com/thong-tin/blog/phuong-phap-dau-tu-chung-chi-quy</v>
      </c>
      <c r="C192" s="15" t="str">
        <f>IFERROR(__xludf.DUMMYFUNCTION("""COMPUTED_VALUE"""),"cách đầu tư chứng chỉ quỹ")</f>
        <v>cách đầu tư chứng chỉ quỹ</v>
      </c>
      <c r="D192" s="10">
        <f>IFERROR(__xludf.DUMMYFUNCTION("""COMPUTED_VALUE"""),20.0)</f>
        <v>20</v>
      </c>
    </row>
    <row r="193">
      <c r="A193" s="10">
        <f>IFERROR(__xludf.DUMMYFUNCTION("""COMPUTED_VALUE"""),75.0)</f>
        <v>75</v>
      </c>
      <c r="B193" s="13" t="str">
        <f>IFERROR(__xludf.DUMMYFUNCTION("""COMPUTED_VALUE"""),"https://techcombank.com/thong-tin/blog/phuong-phap-dau-tu-chung-chi-quy")</f>
        <v>https://techcombank.com/thong-tin/blog/phuong-phap-dau-tu-chung-chi-quy</v>
      </c>
      <c r="C193" s="15" t="str">
        <f>IFERROR(__xludf.DUMMYFUNCTION("""COMPUTED_VALUE"""),"đầu tư chứng chỉ quỹ cho người mới")</f>
        <v>đầu tư chứng chỉ quỹ cho người mới</v>
      </c>
      <c r="D193" s="10">
        <f>IFERROR(__xludf.DUMMYFUNCTION("""COMPUTED_VALUE"""),20.0)</f>
        <v>20</v>
      </c>
    </row>
    <row r="194">
      <c r="A194" s="10"/>
      <c r="B194" s="15"/>
      <c r="C194" s="15"/>
      <c r="D194" s="10"/>
    </row>
    <row r="195">
      <c r="A195" s="10"/>
      <c r="B195" s="15"/>
      <c r="C195" s="15"/>
      <c r="D195" s="10"/>
    </row>
    <row r="196">
      <c r="A196" s="10"/>
      <c r="B196" s="15"/>
      <c r="C196" s="15"/>
      <c r="D196" s="10"/>
    </row>
    <row r="197">
      <c r="A197" s="10"/>
      <c r="B197" s="15"/>
      <c r="C197" s="15"/>
      <c r="D197" s="10"/>
    </row>
    <row r="198">
      <c r="A198" s="10"/>
      <c r="B198" s="15"/>
      <c r="C198" s="15"/>
      <c r="D198" s="10"/>
    </row>
    <row r="199">
      <c r="A199" s="10"/>
      <c r="B199" s="15"/>
      <c r="C199" s="15"/>
      <c r="D199" s="10"/>
    </row>
    <row r="200">
      <c r="A200" s="10"/>
      <c r="B200" s="15"/>
      <c r="C200" s="15"/>
      <c r="D200" s="10"/>
    </row>
    <row r="201">
      <c r="A201" s="10"/>
      <c r="B201" s="15"/>
      <c r="C201" s="15"/>
      <c r="D201" s="10"/>
    </row>
    <row r="202">
      <c r="A202" s="10"/>
      <c r="B202" s="15"/>
      <c r="C202" s="15"/>
      <c r="D202" s="10"/>
    </row>
    <row r="203">
      <c r="A203" s="10"/>
      <c r="B203" s="15"/>
      <c r="C203" s="15"/>
      <c r="D203" s="10"/>
    </row>
    <row r="204">
      <c r="A204" s="10"/>
      <c r="B204" s="15"/>
      <c r="C204" s="15"/>
      <c r="D204" s="10"/>
    </row>
    <row r="205">
      <c r="A205" s="10"/>
      <c r="B205" s="15"/>
      <c r="C205" s="15"/>
      <c r="D205" s="10"/>
    </row>
    <row r="206">
      <c r="A206" s="10"/>
      <c r="B206" s="15"/>
      <c r="C206" s="15"/>
      <c r="D206" s="10"/>
    </row>
    <row r="207">
      <c r="A207" s="10"/>
      <c r="B207" s="15"/>
      <c r="C207" s="15"/>
      <c r="D207" s="10"/>
    </row>
    <row r="208">
      <c r="A208" s="10"/>
      <c r="B208" s="15"/>
      <c r="C208" s="15"/>
      <c r="D208" s="10"/>
    </row>
    <row r="209">
      <c r="A209" s="10"/>
      <c r="B209" s="15"/>
      <c r="C209" s="15"/>
      <c r="D209" s="10"/>
    </row>
    <row r="210">
      <c r="A210" s="10"/>
      <c r="B210" s="15"/>
      <c r="C210" s="15"/>
      <c r="D210" s="10"/>
    </row>
    <row r="211">
      <c r="A211" s="10"/>
      <c r="B211" s="15"/>
      <c r="C211" s="15"/>
      <c r="D211" s="10"/>
    </row>
    <row r="212">
      <c r="A212" s="10"/>
      <c r="B212" s="15"/>
      <c r="C212" s="15"/>
      <c r="D212" s="10"/>
    </row>
    <row r="213">
      <c r="A213" s="10"/>
      <c r="B213" s="15"/>
      <c r="C213" s="15"/>
      <c r="D213" s="10"/>
    </row>
    <row r="214">
      <c r="A214" s="10"/>
      <c r="B214" s="15"/>
      <c r="C214" s="15"/>
      <c r="D214" s="10"/>
    </row>
    <row r="215">
      <c r="A215" s="10"/>
      <c r="B215" s="15"/>
      <c r="C215" s="15"/>
      <c r="D215" s="10"/>
    </row>
    <row r="216">
      <c r="A216" s="10"/>
      <c r="B216" s="15"/>
      <c r="C216" s="15"/>
      <c r="D216" s="10"/>
    </row>
    <row r="217">
      <c r="A217" s="10"/>
      <c r="B217" s="15"/>
      <c r="C217" s="15"/>
      <c r="D217" s="10"/>
    </row>
    <row r="218">
      <c r="A218" s="10"/>
      <c r="B218" s="15"/>
      <c r="C218" s="15"/>
      <c r="D218" s="10"/>
    </row>
    <row r="219">
      <c r="A219" s="10"/>
      <c r="B219" s="15"/>
      <c r="C219" s="15"/>
      <c r="D219" s="10"/>
    </row>
    <row r="220">
      <c r="A220" s="10"/>
      <c r="B220" s="15"/>
      <c r="C220" s="15"/>
      <c r="D220" s="10"/>
    </row>
    <row r="221">
      <c r="A221" s="10"/>
      <c r="B221" s="15"/>
      <c r="C221" s="15"/>
      <c r="D221" s="10"/>
    </row>
    <row r="222">
      <c r="A222" s="10"/>
      <c r="B222" s="15"/>
      <c r="C222" s="15"/>
      <c r="D222" s="10"/>
    </row>
    <row r="223">
      <c r="A223" s="10"/>
      <c r="B223" s="15"/>
      <c r="C223" s="15"/>
      <c r="D223" s="10"/>
    </row>
    <row r="224">
      <c r="A224" s="10"/>
      <c r="B224" s="15"/>
      <c r="C224" s="15"/>
      <c r="D224" s="10"/>
    </row>
    <row r="225">
      <c r="A225" s="10"/>
      <c r="B225" s="15"/>
      <c r="C225" s="15"/>
      <c r="D225" s="10"/>
    </row>
    <row r="226">
      <c r="A226" s="10"/>
      <c r="B226" s="15"/>
      <c r="C226" s="15"/>
      <c r="D226" s="10"/>
    </row>
    <row r="227">
      <c r="A227" s="10"/>
      <c r="B227" s="15"/>
      <c r="C227" s="15"/>
      <c r="D227" s="10"/>
    </row>
    <row r="228">
      <c r="A228" s="10"/>
      <c r="B228" s="15"/>
      <c r="C228" s="15"/>
      <c r="D228" s="10"/>
    </row>
    <row r="229">
      <c r="A229" s="10"/>
      <c r="B229" s="15"/>
      <c r="C229" s="15"/>
      <c r="D229" s="10"/>
    </row>
    <row r="230">
      <c r="A230" s="10"/>
      <c r="B230" s="15"/>
      <c r="C230" s="15"/>
      <c r="D230" s="10"/>
    </row>
    <row r="231">
      <c r="A231" s="10"/>
      <c r="B231" s="15"/>
      <c r="C231" s="15"/>
      <c r="D231" s="10"/>
    </row>
    <row r="232">
      <c r="A232" s="10"/>
      <c r="B232" s="15"/>
      <c r="C232" s="15"/>
      <c r="D232" s="10"/>
    </row>
    <row r="233">
      <c r="A233" s="10"/>
      <c r="B233" s="15"/>
      <c r="C233" s="15"/>
      <c r="D233" s="10"/>
    </row>
    <row r="234">
      <c r="A234" s="10"/>
      <c r="B234" s="15"/>
      <c r="C234" s="15"/>
      <c r="D234" s="10"/>
    </row>
    <row r="235">
      <c r="A235" s="10"/>
      <c r="B235" s="15"/>
      <c r="C235" s="15"/>
      <c r="D235" s="10"/>
    </row>
    <row r="236">
      <c r="A236" s="10"/>
      <c r="B236" s="15"/>
      <c r="C236" s="15"/>
      <c r="D236" s="10"/>
    </row>
    <row r="237">
      <c r="A237" s="10"/>
      <c r="B237" s="15"/>
      <c r="C237" s="15"/>
      <c r="D237" s="10"/>
    </row>
    <row r="238">
      <c r="A238" s="10"/>
      <c r="B238" s="15"/>
      <c r="C238" s="15"/>
      <c r="D238" s="10"/>
    </row>
    <row r="239">
      <c r="A239" s="10"/>
      <c r="B239" s="15"/>
      <c r="C239" s="15"/>
      <c r="D239" s="10"/>
    </row>
    <row r="240">
      <c r="A240" s="10"/>
      <c r="B240" s="15"/>
      <c r="C240" s="15"/>
      <c r="D240" s="10"/>
    </row>
    <row r="241">
      <c r="A241" s="10"/>
      <c r="B241" s="15"/>
      <c r="C241" s="15"/>
      <c r="D241" s="10"/>
    </row>
    <row r="242">
      <c r="A242" s="10"/>
      <c r="B242" s="15"/>
      <c r="C242" s="15"/>
      <c r="D242" s="10"/>
    </row>
    <row r="243">
      <c r="A243" s="10"/>
      <c r="B243" s="15"/>
      <c r="C243" s="15"/>
      <c r="D243" s="10"/>
    </row>
    <row r="244">
      <c r="A244" s="10"/>
      <c r="B244" s="15"/>
      <c r="C244" s="15"/>
      <c r="D244" s="10"/>
    </row>
    <row r="245">
      <c r="A245" s="10"/>
      <c r="B245" s="15"/>
      <c r="C245" s="15"/>
      <c r="D245" s="10"/>
    </row>
    <row r="246">
      <c r="A246" s="10"/>
      <c r="B246" s="15"/>
      <c r="C246" s="15"/>
      <c r="D246" s="10"/>
    </row>
    <row r="247">
      <c r="A247" s="10"/>
      <c r="B247" s="15"/>
      <c r="C247" s="15"/>
      <c r="D247" s="10"/>
    </row>
    <row r="248">
      <c r="A248" s="10"/>
      <c r="B248" s="15"/>
      <c r="C248" s="15"/>
      <c r="D248" s="10"/>
    </row>
    <row r="249">
      <c r="A249" s="10"/>
      <c r="B249" s="15"/>
      <c r="C249" s="15"/>
      <c r="D249" s="10"/>
    </row>
    <row r="250">
      <c r="A250" s="10"/>
      <c r="B250" s="15"/>
      <c r="C250" s="15"/>
      <c r="D250" s="10"/>
    </row>
    <row r="251">
      <c r="A251" s="10"/>
      <c r="B251" s="15"/>
      <c r="C251" s="15"/>
      <c r="D251" s="10"/>
    </row>
    <row r="252">
      <c r="A252" s="10"/>
      <c r="B252" s="15"/>
      <c r="C252" s="15"/>
      <c r="D252" s="10"/>
    </row>
    <row r="253">
      <c r="A253" s="10"/>
      <c r="B253" s="15"/>
      <c r="C253" s="15"/>
      <c r="D253" s="10"/>
    </row>
    <row r="254">
      <c r="A254" s="10"/>
      <c r="B254" s="15"/>
      <c r="C254" s="15"/>
      <c r="D254" s="10"/>
    </row>
    <row r="255">
      <c r="A255" s="10"/>
      <c r="B255" s="15"/>
      <c r="C255" s="15"/>
      <c r="D255" s="10"/>
    </row>
    <row r="256">
      <c r="A256" s="10"/>
      <c r="B256" s="15"/>
      <c r="C256" s="15"/>
      <c r="D256" s="10"/>
    </row>
    <row r="257">
      <c r="A257" s="10"/>
      <c r="B257" s="15"/>
      <c r="C257" s="15"/>
      <c r="D257" s="10"/>
    </row>
    <row r="258">
      <c r="A258" s="10"/>
      <c r="B258" s="15"/>
      <c r="C258" s="15"/>
      <c r="D258" s="10"/>
    </row>
    <row r="259">
      <c r="A259" s="10"/>
      <c r="B259" s="15"/>
      <c r="C259" s="15"/>
      <c r="D259" s="10"/>
    </row>
    <row r="260">
      <c r="A260" s="10"/>
      <c r="B260" s="15"/>
      <c r="C260" s="15"/>
      <c r="D260" s="10"/>
    </row>
    <row r="261">
      <c r="A261" s="10"/>
      <c r="B261" s="15"/>
      <c r="C261" s="15"/>
      <c r="D261" s="10"/>
    </row>
    <row r="262">
      <c r="A262" s="10"/>
      <c r="B262" s="15"/>
      <c r="C262" s="15"/>
      <c r="D262" s="10"/>
    </row>
    <row r="263">
      <c r="A263" s="10"/>
      <c r="B263" s="15"/>
      <c r="C263" s="15"/>
      <c r="D263" s="10"/>
    </row>
    <row r="264">
      <c r="A264" s="10"/>
      <c r="B264" s="15"/>
      <c r="C264" s="15"/>
      <c r="D264" s="10"/>
    </row>
    <row r="265">
      <c r="A265" s="10"/>
      <c r="B265" s="15"/>
      <c r="C265" s="15"/>
      <c r="D265" s="10"/>
    </row>
    <row r="266">
      <c r="A266" s="10"/>
      <c r="B266" s="15"/>
      <c r="C266" s="15"/>
      <c r="D266" s="10"/>
    </row>
    <row r="267">
      <c r="A267" s="10"/>
      <c r="B267" s="15"/>
      <c r="C267" s="15"/>
      <c r="D267" s="10"/>
    </row>
    <row r="268">
      <c r="A268" s="10"/>
      <c r="B268" s="15"/>
      <c r="C268" s="15"/>
      <c r="D268" s="10"/>
    </row>
    <row r="269">
      <c r="A269" s="10"/>
      <c r="B269" s="15"/>
      <c r="C269" s="15"/>
      <c r="D269" s="10"/>
    </row>
    <row r="270">
      <c r="A270" s="10"/>
      <c r="B270" s="15"/>
      <c r="C270" s="15"/>
      <c r="D270" s="10"/>
    </row>
    <row r="271">
      <c r="A271" s="10"/>
      <c r="B271" s="15"/>
      <c r="C271" s="15"/>
      <c r="D271" s="10"/>
    </row>
    <row r="272">
      <c r="A272" s="10"/>
      <c r="B272" s="15"/>
      <c r="C272" s="15"/>
      <c r="D272" s="10"/>
    </row>
    <row r="273">
      <c r="A273" s="10"/>
      <c r="B273" s="15"/>
      <c r="C273" s="15"/>
      <c r="D273" s="10"/>
    </row>
    <row r="274">
      <c r="A274" s="10"/>
      <c r="B274" s="15"/>
      <c r="C274" s="15"/>
      <c r="D274" s="10"/>
    </row>
    <row r="275">
      <c r="A275" s="10"/>
      <c r="B275" s="15"/>
      <c r="C275" s="15"/>
      <c r="D275" s="10"/>
    </row>
    <row r="276">
      <c r="A276" s="10"/>
      <c r="B276" s="15"/>
      <c r="C276" s="15"/>
      <c r="D276" s="10"/>
    </row>
    <row r="277">
      <c r="A277" s="10"/>
      <c r="B277" s="15"/>
      <c r="C277" s="15"/>
      <c r="D277" s="10"/>
    </row>
    <row r="278">
      <c r="A278" s="10"/>
      <c r="B278" s="15"/>
      <c r="C278" s="15"/>
      <c r="D278" s="10"/>
    </row>
    <row r="279">
      <c r="A279" s="10"/>
      <c r="B279" s="15"/>
      <c r="C279" s="15"/>
      <c r="D279" s="10"/>
    </row>
    <row r="280">
      <c r="A280" s="10"/>
      <c r="B280" s="15"/>
      <c r="C280" s="15"/>
      <c r="D280" s="10"/>
    </row>
    <row r="281">
      <c r="A281" s="10"/>
      <c r="B281" s="15"/>
      <c r="C281" s="15"/>
      <c r="D281" s="10"/>
    </row>
    <row r="282">
      <c r="A282" s="10"/>
      <c r="B282" s="15"/>
      <c r="C282" s="15"/>
      <c r="D282" s="10"/>
    </row>
    <row r="283">
      <c r="A283" s="10"/>
      <c r="B283" s="15"/>
      <c r="C283" s="15"/>
      <c r="D283" s="10"/>
    </row>
    <row r="284">
      <c r="A284" s="10"/>
      <c r="B284" s="15"/>
      <c r="C284" s="15"/>
      <c r="D284" s="10"/>
    </row>
    <row r="285">
      <c r="A285" s="10"/>
      <c r="B285" s="15"/>
      <c r="C285" s="15"/>
      <c r="D285" s="10"/>
    </row>
    <row r="286">
      <c r="A286" s="10"/>
      <c r="B286" s="15"/>
      <c r="C286" s="15"/>
      <c r="D286" s="10"/>
    </row>
    <row r="287">
      <c r="A287" s="10"/>
      <c r="B287" s="15"/>
      <c r="C287" s="15"/>
      <c r="D287" s="10"/>
    </row>
    <row r="288">
      <c r="A288" s="10"/>
      <c r="B288" s="15"/>
      <c r="C288" s="15"/>
      <c r="D288" s="10"/>
    </row>
    <row r="289">
      <c r="A289" s="10"/>
      <c r="B289" s="15"/>
      <c r="C289" s="15"/>
      <c r="D289" s="10"/>
    </row>
    <row r="290">
      <c r="A290" s="10"/>
      <c r="B290" s="15"/>
      <c r="C290" s="15"/>
      <c r="D290" s="10"/>
    </row>
    <row r="291">
      <c r="A291" s="10"/>
      <c r="B291" s="15"/>
      <c r="C291" s="15"/>
      <c r="D291" s="10"/>
    </row>
    <row r="292">
      <c r="A292" s="10"/>
      <c r="B292" s="15"/>
      <c r="C292" s="15"/>
      <c r="D292" s="10"/>
    </row>
    <row r="293">
      <c r="A293" s="10"/>
      <c r="B293" s="15"/>
      <c r="C293" s="15"/>
      <c r="D293" s="10"/>
    </row>
    <row r="294">
      <c r="A294" s="10"/>
      <c r="B294" s="15"/>
      <c r="C294" s="15"/>
      <c r="D294" s="10"/>
    </row>
    <row r="295">
      <c r="A295" s="10"/>
      <c r="B295" s="15"/>
      <c r="C295" s="15"/>
      <c r="D295" s="10"/>
    </row>
    <row r="296">
      <c r="A296" s="10"/>
      <c r="B296" s="15"/>
      <c r="C296" s="15"/>
      <c r="D296" s="10"/>
    </row>
    <row r="297">
      <c r="A297" s="10"/>
      <c r="B297" s="15"/>
      <c r="C297" s="15"/>
      <c r="D297" s="10"/>
    </row>
    <row r="298">
      <c r="A298" s="10"/>
      <c r="B298" s="15"/>
      <c r="C298" s="15"/>
      <c r="D298" s="10"/>
    </row>
    <row r="299">
      <c r="A299" s="10"/>
      <c r="B299" s="15"/>
      <c r="C299" s="15"/>
      <c r="D299" s="10"/>
    </row>
    <row r="300">
      <c r="A300" s="10"/>
      <c r="B300" s="15"/>
      <c r="C300" s="15"/>
      <c r="D300" s="10"/>
    </row>
    <row r="301">
      <c r="A301" s="10"/>
      <c r="B301" s="15"/>
      <c r="C301" s="15"/>
      <c r="D301" s="10"/>
    </row>
    <row r="302">
      <c r="A302" s="10"/>
      <c r="B302" s="15"/>
      <c r="C302" s="15"/>
      <c r="D302" s="10"/>
    </row>
    <row r="303">
      <c r="A303" s="10"/>
      <c r="B303" s="15"/>
      <c r="C303" s="15"/>
      <c r="D303" s="10"/>
    </row>
    <row r="304">
      <c r="A304" s="10"/>
      <c r="B304" s="15"/>
      <c r="C304" s="15"/>
      <c r="D304" s="10"/>
    </row>
    <row r="305">
      <c r="A305" s="10"/>
      <c r="B305" s="15"/>
      <c r="C305" s="15"/>
      <c r="D305" s="10"/>
    </row>
    <row r="306">
      <c r="A306" s="10"/>
      <c r="B306" s="15"/>
      <c r="C306" s="15"/>
      <c r="D306" s="10"/>
    </row>
    <row r="307">
      <c r="A307" s="10"/>
      <c r="B307" s="15"/>
      <c r="C307" s="15"/>
      <c r="D307" s="10"/>
    </row>
    <row r="308">
      <c r="A308" s="10"/>
      <c r="B308" s="15"/>
      <c r="C308" s="15"/>
      <c r="D308" s="10"/>
    </row>
    <row r="309">
      <c r="A309" s="10"/>
      <c r="B309" s="15"/>
      <c r="C309" s="15"/>
      <c r="D309" s="10"/>
    </row>
    <row r="310">
      <c r="A310" s="10"/>
      <c r="B310" s="15"/>
      <c r="C310" s="15"/>
      <c r="D310" s="10"/>
    </row>
    <row r="311">
      <c r="A311" s="10"/>
      <c r="B311" s="15"/>
      <c r="C311" s="15"/>
      <c r="D311" s="10"/>
    </row>
    <row r="312">
      <c r="A312" s="10"/>
      <c r="B312" s="15"/>
      <c r="C312" s="15"/>
      <c r="D312" s="10"/>
    </row>
    <row r="313">
      <c r="A313" s="10"/>
      <c r="B313" s="15"/>
      <c r="C313" s="15"/>
      <c r="D313" s="10"/>
    </row>
    <row r="314">
      <c r="A314" s="10"/>
      <c r="B314" s="15"/>
      <c r="C314" s="15"/>
      <c r="D314" s="10"/>
    </row>
    <row r="315">
      <c r="A315" s="10"/>
      <c r="B315" s="15"/>
      <c r="C315" s="15"/>
      <c r="D315" s="10"/>
    </row>
    <row r="316">
      <c r="A316" s="10"/>
      <c r="B316" s="15"/>
      <c r="C316" s="15"/>
      <c r="D316" s="10"/>
    </row>
    <row r="317">
      <c r="A317" s="10"/>
      <c r="B317" s="15"/>
      <c r="C317" s="15"/>
      <c r="D317" s="10"/>
    </row>
    <row r="318">
      <c r="A318" s="10"/>
      <c r="B318" s="15"/>
      <c r="C318" s="15"/>
      <c r="D318" s="10"/>
    </row>
    <row r="319">
      <c r="A319" s="10"/>
      <c r="B319" s="15"/>
      <c r="C319" s="15"/>
      <c r="D319" s="10"/>
    </row>
    <row r="320">
      <c r="A320" s="10"/>
      <c r="B320" s="15"/>
      <c r="C320" s="15"/>
      <c r="D320" s="10"/>
    </row>
    <row r="321">
      <c r="A321" s="10"/>
      <c r="B321" s="15"/>
      <c r="C321" s="15"/>
      <c r="D321" s="10"/>
    </row>
    <row r="322">
      <c r="A322" s="10"/>
      <c r="B322" s="15"/>
      <c r="C322" s="15"/>
      <c r="D322" s="10"/>
    </row>
    <row r="323">
      <c r="A323" s="10"/>
      <c r="B323" s="15"/>
      <c r="C323" s="15"/>
      <c r="D323" s="10"/>
    </row>
    <row r="324">
      <c r="A324" s="10"/>
      <c r="B324" s="15"/>
      <c r="C324" s="15"/>
      <c r="D324" s="10"/>
    </row>
    <row r="325">
      <c r="A325" s="10"/>
      <c r="B325" s="15"/>
      <c r="C325" s="15"/>
      <c r="D325" s="10"/>
    </row>
    <row r="326">
      <c r="A326" s="10"/>
      <c r="B326" s="15"/>
      <c r="C326" s="15"/>
      <c r="D326" s="10"/>
    </row>
    <row r="327">
      <c r="A327" s="10"/>
      <c r="B327" s="15"/>
      <c r="C327" s="15"/>
      <c r="D327" s="10"/>
    </row>
    <row r="328">
      <c r="A328" s="10"/>
      <c r="B328" s="15"/>
      <c r="C328" s="15"/>
      <c r="D328" s="10"/>
    </row>
    <row r="329">
      <c r="A329" s="10"/>
      <c r="B329" s="15"/>
      <c r="C329" s="15"/>
      <c r="D329" s="10"/>
    </row>
    <row r="330">
      <c r="A330" s="10"/>
      <c r="B330" s="15"/>
      <c r="C330" s="15"/>
      <c r="D330" s="10"/>
    </row>
    <row r="331">
      <c r="A331" s="10"/>
      <c r="B331" s="15"/>
      <c r="C331" s="15"/>
      <c r="D331" s="10"/>
    </row>
    <row r="332">
      <c r="A332" s="10"/>
      <c r="B332" s="15"/>
      <c r="C332" s="15"/>
      <c r="D332" s="10"/>
    </row>
    <row r="333">
      <c r="A333" s="10"/>
      <c r="B333" s="15"/>
      <c r="C333" s="15"/>
      <c r="D333" s="10"/>
    </row>
    <row r="334">
      <c r="A334" s="10"/>
      <c r="B334" s="15"/>
      <c r="C334" s="15"/>
      <c r="D334" s="10"/>
    </row>
    <row r="335">
      <c r="A335" s="10"/>
      <c r="B335" s="15"/>
      <c r="C335" s="15"/>
      <c r="D335" s="10"/>
    </row>
    <row r="336">
      <c r="A336" s="10"/>
      <c r="B336" s="15"/>
      <c r="C336" s="15"/>
      <c r="D336" s="10"/>
    </row>
    <row r="337">
      <c r="A337" s="10"/>
      <c r="B337" s="15"/>
      <c r="C337" s="15"/>
      <c r="D337" s="10"/>
    </row>
    <row r="338">
      <c r="A338" s="10"/>
      <c r="B338" s="15"/>
      <c r="C338" s="15"/>
      <c r="D338" s="10"/>
    </row>
    <row r="339">
      <c r="A339" s="10"/>
      <c r="B339" s="15"/>
      <c r="C339" s="15"/>
      <c r="D339" s="10"/>
    </row>
    <row r="340">
      <c r="A340" s="10"/>
      <c r="B340" s="15"/>
      <c r="C340" s="15"/>
      <c r="D340" s="10"/>
    </row>
    <row r="341">
      <c r="A341" s="10"/>
      <c r="B341" s="15"/>
      <c r="C341" s="15"/>
      <c r="D341" s="10"/>
    </row>
    <row r="342">
      <c r="A342" s="10"/>
      <c r="B342" s="15"/>
      <c r="C342" s="15"/>
      <c r="D342" s="10"/>
    </row>
    <row r="343">
      <c r="A343" s="10"/>
      <c r="B343" s="15"/>
      <c r="C343" s="15"/>
      <c r="D343" s="10"/>
    </row>
    <row r="344">
      <c r="A344" s="10"/>
      <c r="B344" s="15"/>
      <c r="C344" s="15"/>
      <c r="D344" s="10"/>
    </row>
    <row r="345">
      <c r="A345" s="10"/>
      <c r="B345" s="15"/>
      <c r="C345" s="15"/>
      <c r="D345" s="10"/>
    </row>
    <row r="346">
      <c r="A346" s="10"/>
      <c r="B346" s="15"/>
      <c r="C346" s="15"/>
      <c r="D346" s="10"/>
    </row>
    <row r="347">
      <c r="A347" s="10"/>
      <c r="B347" s="15"/>
      <c r="C347" s="15"/>
      <c r="D347" s="10"/>
    </row>
    <row r="348">
      <c r="A348" s="10"/>
      <c r="B348" s="15"/>
      <c r="C348" s="15"/>
      <c r="D348" s="10"/>
    </row>
    <row r="349">
      <c r="A349" s="10"/>
      <c r="B349" s="15"/>
      <c r="C349" s="15"/>
      <c r="D349" s="10"/>
    </row>
    <row r="350">
      <c r="A350" s="10"/>
      <c r="B350" s="15"/>
      <c r="C350" s="15"/>
      <c r="D350" s="10"/>
    </row>
    <row r="351">
      <c r="A351" s="10"/>
      <c r="B351" s="15"/>
      <c r="C351" s="15"/>
      <c r="D351" s="10"/>
    </row>
    <row r="352">
      <c r="A352" s="10"/>
      <c r="B352" s="15"/>
      <c r="C352" s="15"/>
      <c r="D352" s="10"/>
    </row>
    <row r="353">
      <c r="A353" s="10"/>
      <c r="B353" s="15"/>
      <c r="C353" s="15"/>
      <c r="D353" s="10"/>
    </row>
    <row r="354">
      <c r="A354" s="10"/>
      <c r="B354" s="15"/>
      <c r="C354" s="15"/>
      <c r="D354" s="10"/>
    </row>
    <row r="355">
      <c r="A355" s="10"/>
      <c r="B355" s="15"/>
      <c r="C355" s="15"/>
      <c r="D355" s="10"/>
    </row>
    <row r="356">
      <c r="A356" s="10"/>
      <c r="B356" s="15"/>
      <c r="C356" s="15"/>
      <c r="D356" s="10"/>
    </row>
    <row r="357">
      <c r="A357" s="10"/>
      <c r="B357" s="15"/>
      <c r="C357" s="15"/>
      <c r="D357" s="10"/>
    </row>
    <row r="358">
      <c r="A358" s="10"/>
      <c r="B358" s="15"/>
      <c r="C358" s="15"/>
      <c r="D358" s="10"/>
    </row>
    <row r="359">
      <c r="A359" s="10"/>
      <c r="B359" s="15"/>
      <c r="C359" s="15"/>
      <c r="D359" s="10"/>
    </row>
    <row r="360">
      <c r="A360" s="10"/>
      <c r="B360" s="15"/>
      <c r="C360" s="15"/>
      <c r="D360" s="10"/>
    </row>
    <row r="361">
      <c r="A361" s="10"/>
      <c r="B361" s="15"/>
      <c r="C361" s="15"/>
      <c r="D361" s="10"/>
    </row>
    <row r="362">
      <c r="A362" s="10"/>
      <c r="B362" s="15"/>
      <c r="C362" s="15"/>
      <c r="D362" s="10"/>
    </row>
    <row r="363">
      <c r="A363" s="10"/>
      <c r="B363" s="15"/>
      <c r="C363" s="15"/>
      <c r="D363" s="10"/>
    </row>
    <row r="364">
      <c r="A364" s="10"/>
      <c r="B364" s="15"/>
      <c r="C364" s="15"/>
      <c r="D364" s="10"/>
    </row>
    <row r="365">
      <c r="A365" s="10"/>
      <c r="B365" s="15"/>
      <c r="C365" s="15"/>
      <c r="D365" s="10"/>
    </row>
    <row r="366">
      <c r="A366" s="10"/>
      <c r="B366" s="15"/>
      <c r="C366" s="15"/>
      <c r="D366" s="10"/>
    </row>
    <row r="367">
      <c r="A367" s="10"/>
      <c r="B367" s="15"/>
      <c r="C367" s="15"/>
      <c r="D367" s="10"/>
    </row>
    <row r="368">
      <c r="A368" s="10"/>
      <c r="B368" s="15"/>
      <c r="C368" s="15"/>
      <c r="D368" s="10"/>
    </row>
    <row r="369">
      <c r="A369" s="10"/>
      <c r="B369" s="15"/>
      <c r="C369" s="15"/>
      <c r="D369" s="10"/>
    </row>
    <row r="370">
      <c r="A370" s="10"/>
      <c r="B370" s="15"/>
      <c r="C370" s="15"/>
      <c r="D370" s="10"/>
    </row>
    <row r="371">
      <c r="A371" s="10"/>
      <c r="B371" s="15"/>
      <c r="C371" s="15"/>
      <c r="D371" s="10"/>
    </row>
    <row r="372">
      <c r="A372" s="10"/>
      <c r="B372" s="15"/>
      <c r="C372" s="15"/>
      <c r="D372" s="10"/>
    </row>
    <row r="373">
      <c r="A373" s="10"/>
      <c r="B373" s="15"/>
      <c r="C373" s="15"/>
      <c r="D373" s="10"/>
    </row>
    <row r="374">
      <c r="A374" s="10"/>
      <c r="B374" s="15"/>
      <c r="C374" s="15"/>
      <c r="D374" s="10"/>
    </row>
    <row r="375">
      <c r="A375" s="10"/>
      <c r="B375" s="15"/>
      <c r="C375" s="15"/>
      <c r="D375" s="10"/>
    </row>
    <row r="376">
      <c r="A376" s="10"/>
      <c r="B376" s="15"/>
      <c r="C376" s="15"/>
      <c r="D376" s="10"/>
    </row>
    <row r="377">
      <c r="A377" s="10"/>
      <c r="B377" s="15"/>
      <c r="C377" s="15"/>
      <c r="D377" s="10"/>
    </row>
    <row r="378">
      <c r="A378" s="10"/>
      <c r="B378" s="15"/>
      <c r="C378" s="15"/>
      <c r="D378" s="10"/>
    </row>
    <row r="379">
      <c r="A379" s="10"/>
      <c r="B379" s="15"/>
      <c r="C379" s="15"/>
      <c r="D379" s="10"/>
    </row>
    <row r="380">
      <c r="A380" s="10"/>
      <c r="B380" s="15"/>
      <c r="C380" s="15"/>
      <c r="D380" s="10"/>
    </row>
    <row r="381">
      <c r="A381" s="10"/>
      <c r="B381" s="15"/>
      <c r="C381" s="15"/>
      <c r="D381" s="10"/>
    </row>
    <row r="382">
      <c r="A382" s="10"/>
      <c r="B382" s="15"/>
      <c r="C382" s="15"/>
      <c r="D382" s="10"/>
    </row>
    <row r="383">
      <c r="A383" s="10"/>
      <c r="B383" s="15"/>
      <c r="C383" s="15"/>
      <c r="D383" s="10"/>
    </row>
    <row r="384">
      <c r="A384" s="10"/>
      <c r="B384" s="15"/>
      <c r="C384" s="15"/>
      <c r="D384" s="10"/>
    </row>
    <row r="385">
      <c r="A385" s="10"/>
      <c r="B385" s="15"/>
      <c r="C385" s="15"/>
      <c r="D385" s="10"/>
    </row>
    <row r="386">
      <c r="A386" s="10"/>
      <c r="B386" s="15"/>
      <c r="C386" s="15"/>
      <c r="D386" s="10"/>
    </row>
    <row r="387">
      <c r="A387" s="10"/>
      <c r="B387" s="15"/>
      <c r="C387" s="15"/>
      <c r="D387" s="10"/>
    </row>
    <row r="388">
      <c r="A388" s="10"/>
      <c r="B388" s="15"/>
      <c r="C388" s="15"/>
      <c r="D388" s="10"/>
    </row>
    <row r="389">
      <c r="A389" s="10"/>
      <c r="B389" s="15"/>
      <c r="C389" s="15"/>
      <c r="D389" s="10"/>
    </row>
    <row r="390">
      <c r="A390" s="10"/>
      <c r="B390" s="15"/>
      <c r="C390" s="15"/>
      <c r="D390" s="10"/>
    </row>
    <row r="391">
      <c r="A391" s="10"/>
      <c r="B391" s="15"/>
      <c r="C391" s="15"/>
      <c r="D391" s="10"/>
    </row>
    <row r="392">
      <c r="A392" s="10"/>
      <c r="B392" s="15"/>
      <c r="C392" s="15"/>
      <c r="D392" s="10"/>
    </row>
    <row r="393">
      <c r="A393" s="10"/>
      <c r="B393" s="15"/>
      <c r="C393" s="15"/>
      <c r="D393" s="10"/>
    </row>
    <row r="394">
      <c r="A394" s="10"/>
      <c r="B394" s="15"/>
      <c r="C394" s="15"/>
      <c r="D394" s="10"/>
    </row>
    <row r="395">
      <c r="A395" s="10"/>
      <c r="B395" s="15"/>
      <c r="C395" s="15"/>
      <c r="D395" s="10"/>
    </row>
    <row r="396">
      <c r="A396" s="10"/>
      <c r="B396" s="15"/>
      <c r="C396" s="15"/>
      <c r="D396" s="10"/>
    </row>
    <row r="397">
      <c r="A397" s="10"/>
      <c r="B397" s="15"/>
      <c r="C397" s="15"/>
      <c r="D397" s="10"/>
    </row>
    <row r="398">
      <c r="A398" s="10"/>
      <c r="B398" s="15"/>
      <c r="C398" s="15"/>
      <c r="D398" s="10"/>
    </row>
    <row r="399">
      <c r="A399" s="10"/>
      <c r="B399" s="15"/>
      <c r="C399" s="15"/>
      <c r="D399" s="10"/>
    </row>
    <row r="400">
      <c r="A400" s="10"/>
      <c r="B400" s="15"/>
      <c r="C400" s="15"/>
      <c r="D400" s="10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B75"/>
    <hyperlink r:id="rId75" ref="B76"/>
    <hyperlink r:id="rId76" ref="B77"/>
    <hyperlink r:id="rId77" ref="B78"/>
    <hyperlink r:id="rId78" ref="B79"/>
    <hyperlink r:id="rId79" ref="B80"/>
    <hyperlink r:id="rId80" ref="B81"/>
    <hyperlink r:id="rId81" ref="B82"/>
    <hyperlink r:id="rId82" ref="B83"/>
    <hyperlink r:id="rId83" ref="B84"/>
    <hyperlink r:id="rId84" ref="B85"/>
    <hyperlink r:id="rId85" ref="B86"/>
    <hyperlink r:id="rId86" ref="B87"/>
    <hyperlink r:id="rId87" ref="B88"/>
    <hyperlink r:id="rId88" ref="B89"/>
    <hyperlink r:id="rId89" ref="B90"/>
    <hyperlink r:id="rId90" ref="B91"/>
    <hyperlink r:id="rId91" ref="B92"/>
    <hyperlink r:id="rId92" ref="B93"/>
    <hyperlink r:id="rId93" ref="B94"/>
    <hyperlink r:id="rId94" ref="B95"/>
    <hyperlink r:id="rId95" ref="B96"/>
    <hyperlink r:id="rId96" ref="B97"/>
    <hyperlink r:id="rId97" ref="B98"/>
    <hyperlink r:id="rId98" ref="B99"/>
    <hyperlink r:id="rId99" ref="B100"/>
    <hyperlink r:id="rId100" ref="B101"/>
    <hyperlink r:id="rId101" ref="B102"/>
    <hyperlink r:id="rId102" ref="B103"/>
    <hyperlink r:id="rId103" ref="B104"/>
    <hyperlink r:id="rId104" ref="B105"/>
    <hyperlink r:id="rId105" ref="B106"/>
    <hyperlink r:id="rId106" ref="B107"/>
    <hyperlink r:id="rId107" ref="B108"/>
    <hyperlink r:id="rId108" ref="B109"/>
    <hyperlink r:id="rId109" ref="B110"/>
    <hyperlink r:id="rId110" ref="B111"/>
    <hyperlink r:id="rId111" ref="B112"/>
    <hyperlink r:id="rId112" ref="B113"/>
    <hyperlink r:id="rId113" ref="B114"/>
    <hyperlink r:id="rId114" ref="B115"/>
    <hyperlink r:id="rId115" ref="B116"/>
    <hyperlink r:id="rId116" ref="B117"/>
    <hyperlink r:id="rId117" ref="B118"/>
    <hyperlink r:id="rId118" ref="B119"/>
    <hyperlink r:id="rId119" ref="B120"/>
    <hyperlink r:id="rId120" ref="B121"/>
    <hyperlink r:id="rId121" ref="B122"/>
    <hyperlink r:id="rId122" ref="B123"/>
    <hyperlink r:id="rId123" ref="B124"/>
    <hyperlink r:id="rId124" ref="B125"/>
    <hyperlink r:id="rId125" ref="B126"/>
    <hyperlink r:id="rId126" ref="B127"/>
    <hyperlink r:id="rId127" ref="B128"/>
    <hyperlink r:id="rId128" ref="B129"/>
    <hyperlink r:id="rId129" ref="B130"/>
    <hyperlink r:id="rId130" ref="B131"/>
    <hyperlink r:id="rId131" ref="B132"/>
    <hyperlink r:id="rId132" ref="B133"/>
    <hyperlink r:id="rId133" ref="B134"/>
    <hyperlink r:id="rId134" ref="B135"/>
    <hyperlink r:id="rId135" ref="B136"/>
    <hyperlink r:id="rId136" ref="B137"/>
    <hyperlink r:id="rId137" ref="B138"/>
    <hyperlink r:id="rId138" ref="B139"/>
    <hyperlink r:id="rId139" ref="B140"/>
    <hyperlink r:id="rId140" ref="B141"/>
    <hyperlink r:id="rId141" ref="B142"/>
    <hyperlink r:id="rId142" ref="B143"/>
    <hyperlink r:id="rId143" ref="B144"/>
    <hyperlink r:id="rId144" ref="B145"/>
    <hyperlink r:id="rId145" ref="B146"/>
    <hyperlink r:id="rId146" ref="B147"/>
    <hyperlink r:id="rId147" ref="B148"/>
    <hyperlink r:id="rId148" ref="B149"/>
    <hyperlink r:id="rId149" ref="B150"/>
    <hyperlink r:id="rId150" ref="B151"/>
    <hyperlink r:id="rId151" ref="B152"/>
    <hyperlink r:id="rId152" ref="B153"/>
    <hyperlink r:id="rId153" ref="B154"/>
    <hyperlink r:id="rId154" ref="B155"/>
    <hyperlink r:id="rId155" ref="B156"/>
    <hyperlink r:id="rId156" ref="B157"/>
    <hyperlink r:id="rId157" ref="B158"/>
    <hyperlink r:id="rId158" ref="B159"/>
    <hyperlink r:id="rId159" ref="B160"/>
    <hyperlink r:id="rId160" ref="B161"/>
    <hyperlink r:id="rId161" ref="B162"/>
    <hyperlink r:id="rId162" ref="B163"/>
    <hyperlink r:id="rId163" ref="B164"/>
    <hyperlink r:id="rId164" ref="B165"/>
    <hyperlink r:id="rId165" ref="B166"/>
    <hyperlink r:id="rId166" ref="B167"/>
    <hyperlink r:id="rId167" ref="B168"/>
    <hyperlink r:id="rId168" ref="B169"/>
    <hyperlink r:id="rId169" ref="B170"/>
    <hyperlink r:id="rId170" ref="B171"/>
    <hyperlink r:id="rId171" ref="B172"/>
    <hyperlink r:id="rId172" ref="B173"/>
    <hyperlink r:id="rId173" ref="B174"/>
    <hyperlink r:id="rId174" ref="B175"/>
    <hyperlink r:id="rId175" ref="B176"/>
    <hyperlink r:id="rId176" ref="B177"/>
    <hyperlink r:id="rId177" ref="B178"/>
    <hyperlink r:id="rId178" ref="B179"/>
    <hyperlink r:id="rId179" ref="B180"/>
    <hyperlink r:id="rId180" ref="B181"/>
    <hyperlink r:id="rId181" ref="B182"/>
    <hyperlink r:id="rId182" ref="B183"/>
    <hyperlink r:id="rId183" ref="B184"/>
    <hyperlink r:id="rId184" ref="B185"/>
    <hyperlink r:id="rId185" ref="B186"/>
    <hyperlink r:id="rId186" ref="B187"/>
    <hyperlink r:id="rId187" ref="B188"/>
    <hyperlink r:id="rId188" ref="B189"/>
    <hyperlink r:id="rId189" ref="B190"/>
    <hyperlink r:id="rId190" ref="B191"/>
    <hyperlink r:id="rId191" ref="B192"/>
    <hyperlink r:id="rId192" ref="B193"/>
  </hyperlinks>
  <drawing r:id="rId19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4" width="72.13"/>
    <col customWidth="1" min="5" max="5" width="27.63"/>
    <col customWidth="1" min="6" max="6" width="19.38"/>
    <col customWidth="1" min="7" max="7" width="41.38"/>
    <col customWidth="1" min="8" max="10" width="21.38"/>
    <col customWidth="1" min="11" max="11" width="41.38"/>
  </cols>
  <sheetData>
    <row r="1">
      <c r="A1" s="2" t="s">
        <v>1</v>
      </c>
      <c r="B1" s="2" t="s">
        <v>46</v>
      </c>
      <c r="C1" s="2" t="s">
        <v>5</v>
      </c>
      <c r="D1" s="2" t="s">
        <v>47</v>
      </c>
      <c r="E1" s="2" t="s">
        <v>28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6">
        <v>1.0</v>
      </c>
      <c r="B2" s="20" t="str">
        <f t="array" ref="B2">INDEX('Báo cáo 75 trang đích'!$B$2:$B$76,$A2)</f>
        <v>https://techcombank.com/thong-tin/blog/lai-suat-vay-mua-o-to</v>
      </c>
      <c r="C2" s="22" t="str">
        <f t="array" ref="C2">INDEX('Báo cáo 75 trang đích'!$C$2:$C$76,$A2)</f>
        <v>Auto Loan</v>
      </c>
      <c r="D2" s="20" t="s">
        <v>55</v>
      </c>
      <c r="E2" s="22" t="s">
        <v>54</v>
      </c>
      <c r="F2" s="22" t="s">
        <v>57</v>
      </c>
      <c r="G2" s="22" t="s">
        <v>58</v>
      </c>
      <c r="H2" s="22" t="s">
        <v>59</v>
      </c>
      <c r="I2" s="22" t="s">
        <v>59</v>
      </c>
      <c r="J2" s="22" t="s">
        <v>60</v>
      </c>
      <c r="K2" s="22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6">
        <v>1.0</v>
      </c>
      <c r="B3" s="20" t="str">
        <f t="array" ref="B3">INDEX('Báo cáo 75 trang đích'!$B$2:$B$76,$A3)</f>
        <v>https://techcombank.com/thong-tin/blog/lai-suat-vay-mua-o-to</v>
      </c>
      <c r="C3" s="22" t="str">
        <f t="array" ref="C3">INDEX('Báo cáo 75 trang đích'!$C$2:$C$76,$A3)</f>
        <v>Auto Loan</v>
      </c>
      <c r="D3" s="20" t="s">
        <v>62</v>
      </c>
      <c r="E3" s="22" t="s">
        <v>63</v>
      </c>
      <c r="F3" s="22" t="s">
        <v>57</v>
      </c>
      <c r="G3" s="22" t="s">
        <v>64</v>
      </c>
      <c r="H3" s="22" t="s">
        <v>59</v>
      </c>
      <c r="I3" s="22" t="s">
        <v>59</v>
      </c>
      <c r="J3" s="22" t="s">
        <v>60</v>
      </c>
      <c r="K3" s="22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6">
        <v>1.0</v>
      </c>
      <c r="B4" s="20" t="str">
        <f t="array" ref="B4">INDEX('Báo cáo 75 trang đích'!$B$2:$B$76,$A4)</f>
        <v>https://techcombank.com/thong-tin/blog/lai-suat-vay-mua-o-to</v>
      </c>
      <c r="C4" s="22" t="str">
        <f t="array" ref="C4">INDEX('Báo cáo 75 trang đích'!$C$2:$C$76,$A4)</f>
        <v>Auto Loan</v>
      </c>
      <c r="D4" s="20" t="s">
        <v>66</v>
      </c>
      <c r="E4" s="22" t="s">
        <v>68</v>
      </c>
      <c r="F4" s="22" t="s">
        <v>57</v>
      </c>
      <c r="G4" s="22" t="s">
        <v>69</v>
      </c>
      <c r="H4" s="22" t="s">
        <v>59</v>
      </c>
      <c r="I4" s="22" t="s">
        <v>59</v>
      </c>
      <c r="J4" s="22" t="s">
        <v>60</v>
      </c>
      <c r="K4" s="22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6">
        <v>1.0</v>
      </c>
      <c r="B5" s="20" t="str">
        <f t="array" ref="B5">INDEX('Báo cáo 75 trang đích'!$B$2:$B$76,$A5)</f>
        <v>https://techcombank.com/thong-tin/blog/lai-suat-vay-mua-o-to</v>
      </c>
      <c r="C5" s="22" t="str">
        <f t="array" ref="C5">INDEX('Báo cáo 75 trang đích'!$C$2:$C$76,$A5)</f>
        <v>Auto Loan</v>
      </c>
      <c r="D5" s="20" t="s">
        <v>71</v>
      </c>
      <c r="E5" s="22" t="s">
        <v>72</v>
      </c>
      <c r="F5" s="22" t="s">
        <v>57</v>
      </c>
      <c r="G5" s="22" t="s">
        <v>73</v>
      </c>
      <c r="H5" s="22" t="s">
        <v>59</v>
      </c>
      <c r="I5" s="22" t="s">
        <v>59</v>
      </c>
      <c r="J5" s="22" t="s">
        <v>60</v>
      </c>
      <c r="K5" s="22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6">
        <v>1.0</v>
      </c>
      <c r="B6" s="20" t="str">
        <f t="array" ref="B6">INDEX('Báo cáo 75 trang đích'!$B$2:$B$76,$A6)</f>
        <v>https://techcombank.com/thong-tin/blog/lai-suat-vay-mua-o-to</v>
      </c>
      <c r="C6" s="22" t="str">
        <f t="array" ref="C6">INDEX('Báo cáo 75 trang đích'!$C$2:$C$76,$A6)</f>
        <v>Auto Loan</v>
      </c>
      <c r="D6" s="20" t="s">
        <v>75</v>
      </c>
      <c r="E6" s="22" t="s">
        <v>54</v>
      </c>
      <c r="F6" s="22" t="s">
        <v>76</v>
      </c>
      <c r="G6" s="22" t="s">
        <v>77</v>
      </c>
      <c r="H6" s="22" t="s">
        <v>59</v>
      </c>
      <c r="I6" s="22" t="s">
        <v>59</v>
      </c>
      <c r="J6" s="22" t="s">
        <v>60</v>
      </c>
      <c r="K6" s="22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>
        <v>1.0</v>
      </c>
      <c r="B7" s="20" t="str">
        <f t="array" ref="B7">INDEX('Báo cáo 75 trang đích'!$B$2:$B$76,$A7)</f>
        <v>https://techcombank.com/thong-tin/blog/lai-suat-vay-mua-o-to</v>
      </c>
      <c r="C7" s="22" t="str">
        <f t="array" ref="C7">INDEX('Báo cáo 75 trang đích'!$C$2:$C$76,$A7)</f>
        <v>Auto Loan</v>
      </c>
      <c r="D7" s="20" t="s">
        <v>79</v>
      </c>
      <c r="E7" s="22" t="s">
        <v>63</v>
      </c>
      <c r="F7" s="22" t="s">
        <v>81</v>
      </c>
      <c r="G7" s="22" t="s">
        <v>82</v>
      </c>
      <c r="H7" s="22" t="s">
        <v>59</v>
      </c>
      <c r="I7" s="22" t="s">
        <v>59</v>
      </c>
      <c r="J7" s="22" t="s">
        <v>60</v>
      </c>
      <c r="K7" s="22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6">
        <v>1.0</v>
      </c>
      <c r="B8" s="20" t="str">
        <f t="array" ref="B8">INDEX('Báo cáo 75 trang đích'!$B$2:$B$76,$A8)</f>
        <v>https://techcombank.com/thong-tin/blog/lai-suat-vay-mua-o-to</v>
      </c>
      <c r="C8" s="22" t="str">
        <f t="array" ref="C8">INDEX('Báo cáo 75 trang đích'!$C$2:$C$76,$A8)</f>
        <v>Auto Loan</v>
      </c>
      <c r="D8" s="20" t="s">
        <v>83</v>
      </c>
      <c r="E8" s="22" t="s">
        <v>68</v>
      </c>
      <c r="F8" s="22" t="s">
        <v>81</v>
      </c>
      <c r="G8" s="22" t="s">
        <v>82</v>
      </c>
      <c r="H8" s="22" t="s">
        <v>59</v>
      </c>
      <c r="I8" s="22" t="s">
        <v>59</v>
      </c>
      <c r="J8" s="22" t="s">
        <v>60</v>
      </c>
      <c r="K8" s="22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6">
        <v>2.0</v>
      </c>
      <c r="B9" s="20" t="str">
        <f t="array" ref="B9">INDEX('Báo cáo 75 trang đích'!$B$2:$B$76,$A9)</f>
        <v>https://techcombank.com/thong-tin/blog/nop-thue-dat-qua-ngan-hang</v>
      </c>
      <c r="C9" s="22" t="str">
        <f t="array" ref="C9">INDEX('Báo cáo 75 trang đích'!$C$2:$C$76,$A9)</f>
        <v>Business Account</v>
      </c>
      <c r="D9" s="20" t="s">
        <v>86</v>
      </c>
      <c r="E9" s="22" t="s">
        <v>70</v>
      </c>
      <c r="F9" s="22" t="s">
        <v>57</v>
      </c>
      <c r="G9" s="22" t="s">
        <v>87</v>
      </c>
      <c r="H9" s="22" t="s">
        <v>59</v>
      </c>
      <c r="I9" s="22" t="s">
        <v>59</v>
      </c>
      <c r="J9" s="22" t="s">
        <v>60</v>
      </c>
      <c r="K9" s="22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6">
        <v>2.0</v>
      </c>
      <c r="B10" s="20" t="str">
        <f t="array" ref="B10">INDEX('Báo cáo 75 trang đích'!$B$2:$B$76,$A10)</f>
        <v>https://techcombank.com/thong-tin/blog/nop-thue-dat-qua-ngan-hang</v>
      </c>
      <c r="C10" s="22" t="str">
        <f t="array" ref="C10">INDEX('Báo cáo 75 trang đích'!$C$2:$C$76,$A10)</f>
        <v>Business Account</v>
      </c>
      <c r="D10" s="20" t="s">
        <v>67</v>
      </c>
      <c r="E10" s="22" t="s">
        <v>88</v>
      </c>
      <c r="F10" s="22" t="s">
        <v>76</v>
      </c>
      <c r="G10" s="22" t="s">
        <v>89</v>
      </c>
      <c r="H10" s="22" t="s">
        <v>59</v>
      </c>
      <c r="I10" s="22" t="s">
        <v>59</v>
      </c>
      <c r="J10" s="22" t="s">
        <v>60</v>
      </c>
      <c r="K10" s="22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6">
        <v>2.0</v>
      </c>
      <c r="B11" s="20" t="str">
        <f t="array" ref="B11">INDEX('Báo cáo 75 trang đích'!$B$2:$B$76,$A11)</f>
        <v>https://techcombank.com/thong-tin/blog/nop-thue-dat-qua-ngan-hang</v>
      </c>
      <c r="C11" s="22" t="str">
        <f t="array" ref="C11">INDEX('Báo cáo 75 trang đích'!$C$2:$C$76,$A11)</f>
        <v>Business Account</v>
      </c>
      <c r="D11" s="20" t="s">
        <v>90</v>
      </c>
      <c r="E11" s="22" t="s">
        <v>93</v>
      </c>
      <c r="F11" s="22" t="s">
        <v>76</v>
      </c>
      <c r="G11" s="22" t="s">
        <v>94</v>
      </c>
      <c r="H11" s="22" t="s">
        <v>59</v>
      </c>
      <c r="I11" s="22" t="s">
        <v>59</v>
      </c>
      <c r="J11" s="22" t="s">
        <v>60</v>
      </c>
      <c r="K11" s="22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6">
        <v>2.0</v>
      </c>
      <c r="B12" s="20" t="str">
        <f t="array" ref="B12">INDEX('Báo cáo 75 trang đích'!$B$2:$B$76,$A12)</f>
        <v>https://techcombank.com/thong-tin/blog/nop-thue-dat-qua-ngan-hang</v>
      </c>
      <c r="C12" s="22" t="str">
        <f t="array" ref="C12">INDEX('Báo cáo 75 trang đích'!$C$2:$C$76,$A12)</f>
        <v>Business Account</v>
      </c>
      <c r="D12" s="20" t="s">
        <v>95</v>
      </c>
      <c r="E12" s="22" t="s">
        <v>70</v>
      </c>
      <c r="F12" s="22" t="s">
        <v>81</v>
      </c>
      <c r="G12" s="22" t="s">
        <v>96</v>
      </c>
      <c r="H12" s="22" t="s">
        <v>59</v>
      </c>
      <c r="I12" s="22" t="s">
        <v>59</v>
      </c>
      <c r="J12" s="22" t="s">
        <v>60</v>
      </c>
      <c r="K12" s="22" t="s">
        <v>97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6">
        <v>2.0</v>
      </c>
      <c r="B13" s="20" t="str">
        <f t="array" ref="B13">INDEX('Báo cáo 75 trang đích'!$B$2:$B$76,$A13)</f>
        <v>https://techcombank.com/thong-tin/blog/nop-thue-dat-qua-ngan-hang</v>
      </c>
      <c r="C13" s="22" t="str">
        <f t="array" ref="C13">INDEX('Báo cáo 75 trang đích'!$C$2:$C$76,$A13)</f>
        <v>Business Account</v>
      </c>
      <c r="D13" s="20" t="s">
        <v>99</v>
      </c>
      <c r="E13" s="22" t="s">
        <v>88</v>
      </c>
      <c r="F13" s="22" t="s">
        <v>81</v>
      </c>
      <c r="G13" s="22" t="s">
        <v>101</v>
      </c>
      <c r="H13" s="22" t="s">
        <v>59</v>
      </c>
      <c r="I13" s="22" t="s">
        <v>59</v>
      </c>
      <c r="J13" s="22" t="s">
        <v>60</v>
      </c>
      <c r="K13" s="22" t="s">
        <v>97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6">
        <v>2.0</v>
      </c>
      <c r="B14" s="20" t="str">
        <f t="array" ref="B14">INDEX('Báo cáo 75 trang đích'!$B$2:$B$76,$A14)</f>
        <v>https://techcombank.com/thong-tin/blog/nop-thue-dat-qua-ngan-hang</v>
      </c>
      <c r="C14" s="22" t="str">
        <f t="array" ref="C14">INDEX('Báo cáo 75 trang đích'!$C$2:$C$76,$A14)</f>
        <v>Business Account</v>
      </c>
      <c r="D14" s="20" t="s">
        <v>102</v>
      </c>
      <c r="E14" s="22" t="s">
        <v>93</v>
      </c>
      <c r="F14" s="22" t="s">
        <v>81</v>
      </c>
      <c r="G14" s="22" t="s">
        <v>103</v>
      </c>
      <c r="H14" s="22" t="s">
        <v>59</v>
      </c>
      <c r="I14" s="22" t="s">
        <v>59</v>
      </c>
      <c r="J14" s="22" t="s">
        <v>60</v>
      </c>
      <c r="K14" s="22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6">
        <v>2.0</v>
      </c>
      <c r="B15" s="20" t="str">
        <f t="array" ref="B15">INDEX('Báo cáo 75 trang đích'!$B$2:$B$76,$A15)</f>
        <v>https://techcombank.com/thong-tin/blog/nop-thue-dat-qua-ngan-hang</v>
      </c>
      <c r="C15" s="22" t="str">
        <f t="array" ref="C15">INDEX('Báo cáo 75 trang đích'!$C$2:$C$76,$A15)</f>
        <v>Business Account</v>
      </c>
      <c r="D15" s="20" t="s">
        <v>105</v>
      </c>
      <c r="E15" s="22" t="s">
        <v>70</v>
      </c>
      <c r="F15" s="22" t="s">
        <v>81</v>
      </c>
      <c r="G15" s="22" t="s">
        <v>101</v>
      </c>
      <c r="H15" s="22" t="s">
        <v>59</v>
      </c>
      <c r="I15" s="22" t="s">
        <v>59</v>
      </c>
      <c r="J15" s="22" t="s">
        <v>60</v>
      </c>
      <c r="K15" s="22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6">
        <v>2.0</v>
      </c>
      <c r="B16" s="20" t="str">
        <f t="array" ref="B16">INDEX('Báo cáo 75 trang đích'!$B$2:$B$76,$A16)</f>
        <v>https://techcombank.com/thong-tin/blog/nop-thue-dat-qua-ngan-hang</v>
      </c>
      <c r="C16" s="22" t="str">
        <f t="array" ref="C16">INDEX('Báo cáo 75 trang đích'!$C$2:$C$76,$A16)</f>
        <v>Business Account</v>
      </c>
      <c r="D16" s="20" t="s">
        <v>106</v>
      </c>
      <c r="E16" s="22" t="s">
        <v>88</v>
      </c>
      <c r="F16" s="22" t="s">
        <v>81</v>
      </c>
      <c r="G16" s="22" t="s">
        <v>96</v>
      </c>
      <c r="H16" s="22" t="s">
        <v>59</v>
      </c>
      <c r="I16" s="22" t="s">
        <v>59</v>
      </c>
      <c r="J16" s="22" t="s">
        <v>60</v>
      </c>
      <c r="K16" s="22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6">
        <v>2.0</v>
      </c>
      <c r="B17" s="20" t="str">
        <f t="array" ref="B17">INDEX('Báo cáo 75 trang đích'!$B$2:$B$76,$A17)</f>
        <v>https://techcombank.com/thong-tin/blog/nop-thue-dat-qua-ngan-hang</v>
      </c>
      <c r="C17" s="22" t="str">
        <f t="array" ref="C17">INDEX('Báo cáo 75 trang đích'!$C$2:$C$76,$A17)</f>
        <v>Business Account</v>
      </c>
      <c r="D17" s="20" t="s">
        <v>109</v>
      </c>
      <c r="E17" s="22" t="s">
        <v>93</v>
      </c>
      <c r="F17" s="22" t="s">
        <v>81</v>
      </c>
      <c r="G17" s="22" t="s">
        <v>96</v>
      </c>
      <c r="H17" s="22" t="s">
        <v>59</v>
      </c>
      <c r="I17" s="22" t="s">
        <v>59</v>
      </c>
      <c r="J17" s="22" t="s">
        <v>60</v>
      </c>
      <c r="K17" s="22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6">
        <v>2.0</v>
      </c>
      <c r="B18" s="20" t="str">
        <f t="array" ref="B18">INDEX('Báo cáo 75 trang đích'!$B$2:$B$76,$A18)</f>
        <v>https://techcombank.com/thong-tin/blog/nop-thue-dat-qua-ngan-hang</v>
      </c>
      <c r="C18" s="22" t="str">
        <f t="array" ref="C18">INDEX('Báo cáo 75 trang đích'!$C$2:$C$76,$A18)</f>
        <v>Business Account</v>
      </c>
      <c r="D18" s="20" t="s">
        <v>111</v>
      </c>
      <c r="E18" s="22" t="s">
        <v>70</v>
      </c>
      <c r="F18" s="22" t="s">
        <v>81</v>
      </c>
      <c r="G18" s="22" t="s">
        <v>103</v>
      </c>
      <c r="H18" s="22" t="s">
        <v>59</v>
      </c>
      <c r="I18" s="22" t="s">
        <v>59</v>
      </c>
      <c r="J18" s="22" t="s">
        <v>60</v>
      </c>
      <c r="K18" s="22" t="s">
        <v>97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6">
        <v>2.0</v>
      </c>
      <c r="B19" s="20" t="str">
        <f t="array" ref="B19">INDEX('Báo cáo 75 trang đích'!$B$2:$B$76,$A19)</f>
        <v>https://techcombank.com/thong-tin/blog/nop-thue-dat-qua-ngan-hang</v>
      </c>
      <c r="C19" s="22" t="str">
        <f t="array" ref="C19">INDEX('Báo cáo 75 trang đích'!$C$2:$C$76,$A19)</f>
        <v>Business Account</v>
      </c>
      <c r="D19" s="20" t="s">
        <v>114</v>
      </c>
      <c r="E19" s="22" t="s">
        <v>88</v>
      </c>
      <c r="F19" s="22" t="s">
        <v>81</v>
      </c>
      <c r="G19" s="22" t="s">
        <v>103</v>
      </c>
      <c r="H19" s="22" t="s">
        <v>59</v>
      </c>
      <c r="I19" s="22" t="s">
        <v>59</v>
      </c>
      <c r="J19" s="22" t="s">
        <v>60</v>
      </c>
      <c r="K19" s="22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6">
        <v>2.0</v>
      </c>
      <c r="B20" s="20" t="str">
        <f t="array" ref="B20">INDEX('Báo cáo 75 trang đích'!$B$2:$B$76,$A20)</f>
        <v>https://techcombank.com/thong-tin/blog/nop-thue-dat-qua-ngan-hang</v>
      </c>
      <c r="C20" s="22" t="str">
        <f t="array" ref="C20">INDEX('Báo cáo 75 trang đích'!$C$2:$C$76,$A20)</f>
        <v>Business Account</v>
      </c>
      <c r="D20" s="20" t="s">
        <v>115</v>
      </c>
      <c r="E20" s="22" t="s">
        <v>93</v>
      </c>
      <c r="F20" s="22" t="s">
        <v>81</v>
      </c>
      <c r="G20" s="22" t="s">
        <v>101</v>
      </c>
      <c r="H20" s="22" t="s">
        <v>59</v>
      </c>
      <c r="I20" s="22" t="s">
        <v>59</v>
      </c>
      <c r="J20" s="22" t="s">
        <v>60</v>
      </c>
      <c r="K20" s="22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6">
        <v>2.0</v>
      </c>
      <c r="B21" s="20" t="str">
        <f t="array" ref="B21">INDEX('Báo cáo 75 trang đích'!$B$2:$B$76,$A21)</f>
        <v>https://techcombank.com/thong-tin/blog/nop-thue-dat-qua-ngan-hang</v>
      </c>
      <c r="C21" s="22" t="str">
        <f t="array" ref="C21">INDEX('Báo cáo 75 trang đích'!$C$2:$C$76,$A21)</f>
        <v>Business Account</v>
      </c>
      <c r="D21" s="20" t="s">
        <v>74</v>
      </c>
      <c r="E21" s="22" t="s">
        <v>70</v>
      </c>
      <c r="F21" s="22" t="s">
        <v>81</v>
      </c>
      <c r="G21" s="22" t="s">
        <v>101</v>
      </c>
      <c r="H21" s="22" t="s">
        <v>59</v>
      </c>
      <c r="I21" s="22" t="s">
        <v>59</v>
      </c>
      <c r="J21" s="22" t="s">
        <v>60</v>
      </c>
      <c r="K21" s="22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6">
        <v>2.0</v>
      </c>
      <c r="B22" s="20" t="str">
        <f t="array" ref="B22">INDEX('Báo cáo 75 trang đích'!$B$2:$B$76,$A22)</f>
        <v>https://techcombank.com/thong-tin/blog/nop-thue-dat-qua-ngan-hang</v>
      </c>
      <c r="C22" s="22" t="str">
        <f t="array" ref="C22">INDEX('Báo cáo 75 trang đích'!$C$2:$C$76,$A22)</f>
        <v>Business Account</v>
      </c>
      <c r="D22" s="20" t="s">
        <v>118</v>
      </c>
      <c r="E22" s="22" t="s">
        <v>88</v>
      </c>
      <c r="F22" s="22" t="s">
        <v>81</v>
      </c>
      <c r="G22" s="22" t="s">
        <v>101</v>
      </c>
      <c r="H22" s="22" t="s">
        <v>59</v>
      </c>
      <c r="I22" s="22" t="s">
        <v>59</v>
      </c>
      <c r="J22" s="22" t="s">
        <v>60</v>
      </c>
      <c r="K22" s="22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6">
        <v>2.0</v>
      </c>
      <c r="B23" s="20" t="str">
        <f t="array" ref="B23">INDEX('Báo cáo 75 trang đích'!$B$2:$B$76,$A23)</f>
        <v>https://techcombank.com/thong-tin/blog/nop-thue-dat-qua-ngan-hang</v>
      </c>
      <c r="C23" s="22" t="str">
        <f t="array" ref="C23">INDEX('Báo cáo 75 trang đích'!$C$2:$C$76,$A23)</f>
        <v>Business Account</v>
      </c>
      <c r="D23" s="20" t="s">
        <v>85</v>
      </c>
      <c r="E23" s="22" t="s">
        <v>93</v>
      </c>
      <c r="F23" s="22" t="s">
        <v>81</v>
      </c>
      <c r="G23" s="22" t="s">
        <v>101</v>
      </c>
      <c r="H23" s="22" t="s">
        <v>59</v>
      </c>
      <c r="I23" s="22" t="s">
        <v>59</v>
      </c>
      <c r="J23" s="22" t="s">
        <v>60</v>
      </c>
      <c r="K23" s="22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6">
        <v>2.0</v>
      </c>
      <c r="B24" s="20" t="str">
        <f t="array" ref="B24">INDEX('Báo cáo 75 trang đích'!$B$2:$B$76,$A24)</f>
        <v>https://techcombank.com/thong-tin/blog/nop-thue-dat-qua-ngan-hang</v>
      </c>
      <c r="C24" s="22" t="str">
        <f t="array" ref="C24">INDEX('Báo cáo 75 trang đích'!$C$2:$C$76,$A24)</f>
        <v>Business Account</v>
      </c>
      <c r="D24" s="20" t="s">
        <v>121</v>
      </c>
      <c r="E24" s="22" t="s">
        <v>70</v>
      </c>
      <c r="F24" s="22" t="s">
        <v>81</v>
      </c>
      <c r="G24" s="22" t="s">
        <v>101</v>
      </c>
      <c r="H24" s="22" t="s">
        <v>59</v>
      </c>
      <c r="I24" s="22" t="s">
        <v>59</v>
      </c>
      <c r="J24" s="22" t="s">
        <v>60</v>
      </c>
      <c r="K24" s="22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6">
        <v>2.0</v>
      </c>
      <c r="B25" s="20" t="str">
        <f t="array" ref="B25">INDEX('Báo cáo 75 trang đích'!$B$2:$B$76,$A25)</f>
        <v>https://techcombank.com/thong-tin/blog/nop-thue-dat-qua-ngan-hang</v>
      </c>
      <c r="C25" s="22" t="str">
        <f t="array" ref="C25">INDEX('Báo cáo 75 trang đích'!$C$2:$C$76,$A25)</f>
        <v>Business Account</v>
      </c>
      <c r="D25" s="20" t="s">
        <v>123</v>
      </c>
      <c r="E25" s="22" t="s">
        <v>88</v>
      </c>
      <c r="F25" s="22" t="s">
        <v>81</v>
      </c>
      <c r="G25" s="22" t="s">
        <v>96</v>
      </c>
      <c r="H25" s="22" t="s">
        <v>59</v>
      </c>
      <c r="I25" s="22" t="s">
        <v>59</v>
      </c>
      <c r="J25" s="22" t="s">
        <v>60</v>
      </c>
      <c r="K25" s="22" t="s">
        <v>97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6">
        <v>2.0</v>
      </c>
      <c r="B26" s="20" t="str">
        <f t="array" ref="B26">INDEX('Báo cáo 75 trang đích'!$B$2:$B$76,$A26)</f>
        <v>https://techcombank.com/thong-tin/blog/nop-thue-dat-qua-ngan-hang</v>
      </c>
      <c r="C26" s="22" t="str">
        <f t="array" ref="C26">INDEX('Báo cáo 75 trang đích'!$C$2:$C$76,$A26)</f>
        <v>Business Account</v>
      </c>
      <c r="D26" s="20" t="s">
        <v>116</v>
      </c>
      <c r="E26" s="22" t="s">
        <v>93</v>
      </c>
      <c r="F26" s="22" t="s">
        <v>81</v>
      </c>
      <c r="G26" s="22" t="s">
        <v>96</v>
      </c>
      <c r="H26" s="22" t="s">
        <v>59</v>
      </c>
      <c r="I26" s="22" t="s">
        <v>59</v>
      </c>
      <c r="J26" s="22" t="s">
        <v>60</v>
      </c>
      <c r="K26" s="22" t="s">
        <v>97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6">
        <v>2.0</v>
      </c>
      <c r="B27" s="20" t="str">
        <f t="array" ref="B27">INDEX('Báo cáo 75 trang đích'!$B$2:$B$76,$A27)</f>
        <v>https://techcombank.com/thong-tin/blog/nop-thue-dat-qua-ngan-hang</v>
      </c>
      <c r="C27" s="22" t="str">
        <f t="array" ref="C27">INDEX('Báo cáo 75 trang đích'!$C$2:$C$76,$A27)</f>
        <v>Business Account</v>
      </c>
      <c r="D27" s="20" t="s">
        <v>126</v>
      </c>
      <c r="E27" s="22" t="s">
        <v>70</v>
      </c>
      <c r="F27" s="22" t="s">
        <v>81</v>
      </c>
      <c r="G27" s="22" t="s">
        <v>103</v>
      </c>
      <c r="H27" s="22" t="s">
        <v>59</v>
      </c>
      <c r="I27" s="22" t="s">
        <v>59</v>
      </c>
      <c r="J27" s="22" t="s">
        <v>60</v>
      </c>
      <c r="K27" s="22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6">
        <v>2.0</v>
      </c>
      <c r="B28" s="20" t="str">
        <f t="array" ref="B28">INDEX('Báo cáo 75 trang đích'!$B$2:$B$76,$A28)</f>
        <v>https://techcombank.com/thong-tin/blog/nop-thue-dat-qua-ngan-hang</v>
      </c>
      <c r="C28" s="22" t="str">
        <f t="array" ref="C28">INDEX('Báo cáo 75 trang đích'!$C$2:$C$76,$A28)</f>
        <v>Business Account</v>
      </c>
      <c r="D28" s="20" t="s">
        <v>128</v>
      </c>
      <c r="E28" s="22" t="s">
        <v>88</v>
      </c>
      <c r="F28" s="22" t="s">
        <v>81</v>
      </c>
      <c r="G28" s="22" t="s">
        <v>129</v>
      </c>
      <c r="H28" s="22" t="s">
        <v>59</v>
      </c>
      <c r="I28" s="22" t="s">
        <v>59</v>
      </c>
      <c r="J28" s="22" t="s">
        <v>60</v>
      </c>
      <c r="K28" s="22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6">
        <v>2.0</v>
      </c>
      <c r="B29" s="20" t="str">
        <f t="array" ref="B29">INDEX('Báo cáo 75 trang đích'!$B$2:$B$76,$A29)</f>
        <v>https://techcombank.com/thong-tin/blog/nop-thue-dat-qua-ngan-hang</v>
      </c>
      <c r="C29" s="22" t="str">
        <f t="array" ref="C29">INDEX('Báo cáo 75 trang đích'!$C$2:$C$76,$A29)</f>
        <v>Business Account</v>
      </c>
      <c r="D29" s="20" t="s">
        <v>132</v>
      </c>
      <c r="E29" s="22" t="s">
        <v>93</v>
      </c>
      <c r="F29" s="22" t="s">
        <v>81</v>
      </c>
      <c r="G29" s="22" t="s">
        <v>129</v>
      </c>
      <c r="H29" s="22" t="s">
        <v>59</v>
      </c>
      <c r="I29" s="22" t="s">
        <v>59</v>
      </c>
      <c r="J29" s="22" t="s">
        <v>60</v>
      </c>
      <c r="K29" s="22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6">
        <v>3.0</v>
      </c>
      <c r="B30" s="20" t="str">
        <f t="array" ref="B30">INDEX('Báo cáo 75 trang đích'!$B$2:$B$76,$A30)</f>
        <v>https://techcombank.com/thong-tin/blog/cach-nop-thue-dien-tu</v>
      </c>
      <c r="C30" s="22" t="str">
        <f t="array" ref="C30">INDEX('Báo cáo 75 trang đích'!$C$2:$C$76,$A30)</f>
        <v>Business Account</v>
      </c>
      <c r="D30" s="20" t="s">
        <v>86</v>
      </c>
      <c r="E30" s="22" t="s">
        <v>78</v>
      </c>
      <c r="F30" s="22" t="s">
        <v>57</v>
      </c>
      <c r="G30" s="22" t="s">
        <v>133</v>
      </c>
      <c r="H30" s="22" t="s">
        <v>59</v>
      </c>
      <c r="I30" s="22" t="s">
        <v>59</v>
      </c>
      <c r="J30" s="22" t="s">
        <v>60</v>
      </c>
      <c r="K30" s="22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6">
        <v>3.0</v>
      </c>
      <c r="B31" s="20" t="str">
        <f t="array" ref="B31">INDEX('Báo cáo 75 trang đích'!$B$2:$B$76,$A31)</f>
        <v>https://techcombank.com/thong-tin/blog/cach-nop-thue-dien-tu</v>
      </c>
      <c r="C31" s="22" t="str">
        <f t="array" ref="C31">INDEX('Báo cáo 75 trang đích'!$C$2:$C$76,$A31)</f>
        <v>Business Account</v>
      </c>
      <c r="D31" s="20" t="s">
        <v>95</v>
      </c>
      <c r="E31" s="22" t="s">
        <v>135</v>
      </c>
      <c r="F31" s="22" t="s">
        <v>57</v>
      </c>
      <c r="G31" s="22" t="s">
        <v>136</v>
      </c>
      <c r="H31" s="22" t="s">
        <v>59</v>
      </c>
      <c r="I31" s="22" t="s">
        <v>59</v>
      </c>
      <c r="J31" s="22" t="s">
        <v>60</v>
      </c>
      <c r="K31" s="22" t="s">
        <v>137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6">
        <v>3.0</v>
      </c>
      <c r="B32" s="20" t="str">
        <f t="array" ref="B32">INDEX('Báo cáo 75 trang đích'!$B$2:$B$76,$A32)</f>
        <v>https://techcombank.com/thong-tin/blog/cach-nop-thue-dien-tu</v>
      </c>
      <c r="C32" s="22" t="str">
        <f t="array" ref="C32">INDEX('Báo cáo 75 trang đích'!$C$2:$C$76,$A32)</f>
        <v>Business Account</v>
      </c>
      <c r="D32" s="20" t="s">
        <v>114</v>
      </c>
      <c r="E32" s="22" t="s">
        <v>139</v>
      </c>
      <c r="F32" s="22" t="s">
        <v>57</v>
      </c>
      <c r="G32" s="22" t="s">
        <v>140</v>
      </c>
      <c r="H32" s="22" t="s">
        <v>59</v>
      </c>
      <c r="I32" s="22" t="s">
        <v>59</v>
      </c>
      <c r="J32" s="22" t="s">
        <v>60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6">
        <v>3.0</v>
      </c>
      <c r="B33" s="20" t="str">
        <f t="array" ref="B33">INDEX('Báo cáo 75 trang đích'!$B$2:$B$76,$A33)</f>
        <v>https://techcombank.com/thong-tin/blog/cach-nop-thue-dien-tu</v>
      </c>
      <c r="C33" s="22" t="str">
        <f t="array" ref="C33">INDEX('Báo cáo 75 trang đích'!$C$2:$C$76,$A33)</f>
        <v>Business Account</v>
      </c>
      <c r="D33" s="20" t="s">
        <v>111</v>
      </c>
      <c r="E33" s="22" t="s">
        <v>78</v>
      </c>
      <c r="F33" s="22" t="s">
        <v>76</v>
      </c>
      <c r="G33" s="22" t="s">
        <v>141</v>
      </c>
      <c r="H33" s="22" t="s">
        <v>59</v>
      </c>
      <c r="I33" s="22" t="s">
        <v>59</v>
      </c>
      <c r="J33" s="22" t="s">
        <v>60</v>
      </c>
      <c r="K33" s="22" t="s">
        <v>137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6">
        <v>3.0</v>
      </c>
      <c r="B34" s="20" t="str">
        <f t="array" ref="B34">INDEX('Báo cáo 75 trang đích'!$B$2:$B$76,$A34)</f>
        <v>https://techcombank.com/thong-tin/blog/cach-nop-thue-dien-tu</v>
      </c>
      <c r="C34" s="22" t="str">
        <f t="array" ref="C34">INDEX('Báo cáo 75 trang đích'!$C$2:$C$76,$A34)</f>
        <v>Business Account</v>
      </c>
      <c r="D34" s="20" t="s">
        <v>121</v>
      </c>
      <c r="E34" s="22" t="s">
        <v>135</v>
      </c>
      <c r="F34" s="22" t="s">
        <v>76</v>
      </c>
      <c r="G34" s="22" t="s">
        <v>143</v>
      </c>
      <c r="H34" s="22" t="s">
        <v>59</v>
      </c>
      <c r="I34" s="22" t="s">
        <v>59</v>
      </c>
      <c r="J34" s="22" t="s">
        <v>60</v>
      </c>
      <c r="K34" s="22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6">
        <v>3.0</v>
      </c>
      <c r="B35" s="20" t="str">
        <f t="array" ref="B35">INDEX('Báo cáo 75 trang đích'!$B$2:$B$76,$A35)</f>
        <v>https://techcombank.com/thong-tin/blog/cach-nop-thue-dien-tu</v>
      </c>
      <c r="C35" s="22" t="str">
        <f t="array" ref="C35">INDEX('Báo cáo 75 trang đích'!$C$2:$C$76,$A35)</f>
        <v>Business Account</v>
      </c>
      <c r="D35" s="20" t="s">
        <v>145</v>
      </c>
      <c r="E35" s="22" t="s">
        <v>139</v>
      </c>
      <c r="F35" s="22" t="s">
        <v>81</v>
      </c>
      <c r="G35" s="22" t="s">
        <v>146</v>
      </c>
      <c r="H35" s="22" t="s">
        <v>59</v>
      </c>
      <c r="I35" s="22" t="s">
        <v>59</v>
      </c>
      <c r="J35" s="22" t="s">
        <v>60</v>
      </c>
      <c r="K35" s="22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6">
        <v>3.0</v>
      </c>
      <c r="B36" s="20" t="str">
        <f t="array" ref="B36">INDEX('Báo cáo 75 trang đích'!$B$2:$B$76,$A36)</f>
        <v>https://techcombank.com/thong-tin/blog/cach-nop-thue-dien-tu</v>
      </c>
      <c r="C36" s="22" t="str">
        <f t="array" ref="C36">INDEX('Báo cáo 75 trang đích'!$C$2:$C$76,$A36)</f>
        <v>Business Account</v>
      </c>
      <c r="D36" s="20" t="s">
        <v>99</v>
      </c>
      <c r="E36" s="22" t="s">
        <v>78</v>
      </c>
      <c r="F36" s="22" t="s">
        <v>81</v>
      </c>
      <c r="G36" s="22" t="s">
        <v>101</v>
      </c>
      <c r="H36" s="22" t="s">
        <v>59</v>
      </c>
      <c r="I36" s="22" t="s">
        <v>59</v>
      </c>
      <c r="J36" s="22" t="s">
        <v>60</v>
      </c>
      <c r="K36" s="22" t="s">
        <v>97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6">
        <v>3.0</v>
      </c>
      <c r="B37" s="20" t="str">
        <f t="array" ref="B37">INDEX('Báo cáo 75 trang đích'!$B$2:$B$76,$A37)</f>
        <v>https://techcombank.com/thong-tin/blog/cach-nop-thue-dien-tu</v>
      </c>
      <c r="C37" s="22" t="str">
        <f t="array" ref="C37">INDEX('Báo cáo 75 trang đích'!$C$2:$C$76,$A37)</f>
        <v>Business Account</v>
      </c>
      <c r="D37" s="20" t="s">
        <v>102</v>
      </c>
      <c r="E37" s="22" t="s">
        <v>135</v>
      </c>
      <c r="F37" s="22" t="s">
        <v>81</v>
      </c>
      <c r="G37" s="22" t="s">
        <v>148</v>
      </c>
      <c r="H37" s="22" t="s">
        <v>59</v>
      </c>
      <c r="I37" s="22" t="s">
        <v>59</v>
      </c>
      <c r="J37" s="22" t="s">
        <v>60</v>
      </c>
      <c r="K37" s="22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6">
        <v>3.0</v>
      </c>
      <c r="B38" s="20" t="str">
        <f t="array" ref="B38">INDEX('Báo cáo 75 trang đích'!$B$2:$B$76,$A38)</f>
        <v>https://techcombank.com/thong-tin/blog/cach-nop-thue-dien-tu</v>
      </c>
      <c r="C38" s="22" t="str">
        <f t="array" ref="C38">INDEX('Báo cáo 75 trang đích'!$C$2:$C$76,$A38)</f>
        <v>Business Account</v>
      </c>
      <c r="D38" s="20" t="s">
        <v>105</v>
      </c>
      <c r="E38" s="22" t="s">
        <v>139</v>
      </c>
      <c r="F38" s="22" t="s">
        <v>81</v>
      </c>
      <c r="G38" s="22" t="s">
        <v>101</v>
      </c>
      <c r="H38" s="22" t="s">
        <v>59</v>
      </c>
      <c r="I38" s="22" t="s">
        <v>59</v>
      </c>
      <c r="J38" s="22" t="s">
        <v>60</v>
      </c>
      <c r="K38" s="22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6">
        <v>3.0</v>
      </c>
      <c r="B39" s="20" t="str">
        <f t="array" ref="B39">INDEX('Báo cáo 75 trang đích'!$B$2:$B$76,$A39)</f>
        <v>https://techcombank.com/thong-tin/blog/cach-nop-thue-dien-tu</v>
      </c>
      <c r="C39" s="22" t="str">
        <f t="array" ref="C39">INDEX('Báo cáo 75 trang đích'!$C$2:$C$76,$A39)</f>
        <v>Business Account</v>
      </c>
      <c r="D39" s="20" t="s">
        <v>106</v>
      </c>
      <c r="E39" s="22" t="s">
        <v>78</v>
      </c>
      <c r="F39" s="22" t="s">
        <v>81</v>
      </c>
      <c r="G39" s="22" t="s">
        <v>150</v>
      </c>
      <c r="H39" s="22" t="s">
        <v>59</v>
      </c>
      <c r="I39" s="22" t="s">
        <v>59</v>
      </c>
      <c r="J39" s="22" t="s">
        <v>60</v>
      </c>
      <c r="K39" s="22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6">
        <v>3.0</v>
      </c>
      <c r="B40" s="20" t="str">
        <f t="array" ref="B40">INDEX('Báo cáo 75 trang đích'!$B$2:$B$76,$A40)</f>
        <v>https://techcombank.com/thong-tin/blog/cach-nop-thue-dien-tu</v>
      </c>
      <c r="C40" s="22" t="str">
        <f t="array" ref="C40">INDEX('Báo cáo 75 trang đích'!$C$2:$C$76,$A40)</f>
        <v>Business Account</v>
      </c>
      <c r="D40" s="20" t="s">
        <v>109</v>
      </c>
      <c r="E40" s="22" t="s">
        <v>135</v>
      </c>
      <c r="F40" s="22" t="s">
        <v>81</v>
      </c>
      <c r="G40" s="22" t="s">
        <v>150</v>
      </c>
      <c r="H40" s="22" t="s">
        <v>59</v>
      </c>
      <c r="I40" s="22" t="s">
        <v>59</v>
      </c>
      <c r="J40" s="22" t="s">
        <v>60</v>
      </c>
      <c r="K40" s="22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6">
        <v>3.0</v>
      </c>
      <c r="B41" s="20" t="str">
        <f t="array" ref="B41">INDEX('Báo cáo 75 trang đích'!$B$2:$B$76,$A41)</f>
        <v>https://techcombank.com/thong-tin/blog/cach-nop-thue-dien-tu</v>
      </c>
      <c r="C41" s="22" t="str">
        <f t="array" ref="C41">INDEX('Báo cáo 75 trang đích'!$C$2:$C$76,$A41)</f>
        <v>Business Account</v>
      </c>
      <c r="D41" s="20" t="s">
        <v>115</v>
      </c>
      <c r="E41" s="22" t="s">
        <v>139</v>
      </c>
      <c r="F41" s="22" t="s">
        <v>81</v>
      </c>
      <c r="G41" s="22" t="s">
        <v>101</v>
      </c>
      <c r="H41" s="22" t="s">
        <v>59</v>
      </c>
      <c r="I41" s="22" t="s">
        <v>59</v>
      </c>
      <c r="J41" s="22" t="s">
        <v>60</v>
      </c>
      <c r="K41" s="22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6">
        <v>3.0</v>
      </c>
      <c r="B42" s="20" t="str">
        <f t="array" ref="B42">INDEX('Báo cáo 75 trang đích'!$B$2:$B$76,$A42)</f>
        <v>https://techcombank.com/thong-tin/blog/cach-nop-thue-dien-tu</v>
      </c>
      <c r="C42" s="22" t="str">
        <f t="array" ref="C42">INDEX('Báo cáo 75 trang đích'!$C$2:$C$76,$A42)</f>
        <v>Business Account</v>
      </c>
      <c r="D42" s="20" t="s">
        <v>153</v>
      </c>
      <c r="E42" s="22" t="s">
        <v>78</v>
      </c>
      <c r="F42" s="22" t="s">
        <v>81</v>
      </c>
      <c r="G42" s="22" t="s">
        <v>155</v>
      </c>
      <c r="H42" s="22" t="s">
        <v>59</v>
      </c>
      <c r="I42" s="22" t="s">
        <v>59</v>
      </c>
      <c r="J42" s="22" t="s">
        <v>60</v>
      </c>
      <c r="K42" s="22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6">
        <v>3.0</v>
      </c>
      <c r="B43" s="20" t="str">
        <f t="array" ref="B43">INDEX('Báo cáo 75 trang đích'!$B$2:$B$76,$A43)</f>
        <v>https://techcombank.com/thong-tin/blog/cach-nop-thue-dien-tu</v>
      </c>
      <c r="C43" s="22" t="str">
        <f t="array" ref="C43">INDEX('Báo cáo 75 trang đích'!$C$2:$C$76,$A43)</f>
        <v>Business Account</v>
      </c>
      <c r="D43" s="20" t="s">
        <v>74</v>
      </c>
      <c r="E43" s="22" t="s">
        <v>135</v>
      </c>
      <c r="F43" s="22" t="s">
        <v>81</v>
      </c>
      <c r="G43" s="22" t="s">
        <v>101</v>
      </c>
      <c r="H43" s="22" t="s">
        <v>59</v>
      </c>
      <c r="I43" s="22" t="s">
        <v>59</v>
      </c>
      <c r="J43" s="22" t="s">
        <v>60</v>
      </c>
      <c r="K43" s="22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6">
        <v>3.0</v>
      </c>
      <c r="B44" s="20" t="str">
        <f t="array" ref="B44">INDEX('Báo cáo 75 trang đích'!$B$2:$B$76,$A44)</f>
        <v>https://techcombank.com/thong-tin/blog/cach-nop-thue-dien-tu</v>
      </c>
      <c r="C44" s="22" t="str">
        <f t="array" ref="C44">INDEX('Báo cáo 75 trang đích'!$C$2:$C$76,$A44)</f>
        <v>Business Account</v>
      </c>
      <c r="D44" s="20" t="s">
        <v>157</v>
      </c>
      <c r="E44" s="22" t="s">
        <v>139</v>
      </c>
      <c r="F44" s="22" t="s">
        <v>81</v>
      </c>
      <c r="G44" s="22" t="s">
        <v>158</v>
      </c>
      <c r="H44" s="22" t="s">
        <v>59</v>
      </c>
      <c r="I44" s="22" t="s">
        <v>59</v>
      </c>
      <c r="J44" s="22" t="s">
        <v>60</v>
      </c>
      <c r="K44" s="22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6">
        <v>3.0</v>
      </c>
      <c r="B45" s="20" t="str">
        <f t="array" ref="B45">INDEX('Báo cáo 75 trang đích'!$B$2:$B$76,$A45)</f>
        <v>https://techcombank.com/thong-tin/blog/cach-nop-thue-dien-tu</v>
      </c>
      <c r="C45" s="22" t="str">
        <f t="array" ref="C45">INDEX('Báo cáo 75 trang đích'!$C$2:$C$76,$A45)</f>
        <v>Business Account</v>
      </c>
      <c r="D45" s="20" t="s">
        <v>118</v>
      </c>
      <c r="E45" s="22" t="s">
        <v>78</v>
      </c>
      <c r="F45" s="22" t="s">
        <v>81</v>
      </c>
      <c r="G45" s="22" t="s">
        <v>160</v>
      </c>
      <c r="H45" s="22" t="s">
        <v>59</v>
      </c>
      <c r="I45" s="22" t="s">
        <v>59</v>
      </c>
      <c r="J45" s="22" t="s">
        <v>60</v>
      </c>
      <c r="K45" s="22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6">
        <v>3.0</v>
      </c>
      <c r="B46" s="20" t="str">
        <f t="array" ref="B46">INDEX('Báo cáo 75 trang đích'!$B$2:$B$76,$A46)</f>
        <v>https://techcombank.com/thong-tin/blog/cach-nop-thue-dien-tu</v>
      </c>
      <c r="C46" s="22" t="str">
        <f t="array" ref="C46">INDEX('Báo cáo 75 trang đích'!$C$2:$C$76,$A46)</f>
        <v>Business Account</v>
      </c>
      <c r="D46" s="20" t="s">
        <v>85</v>
      </c>
      <c r="E46" s="22" t="s">
        <v>135</v>
      </c>
      <c r="F46" s="22" t="s">
        <v>81</v>
      </c>
      <c r="G46" s="22" t="s">
        <v>161</v>
      </c>
      <c r="H46" s="22" t="s">
        <v>59</v>
      </c>
      <c r="I46" s="22" t="s">
        <v>59</v>
      </c>
      <c r="J46" s="22" t="s">
        <v>60</v>
      </c>
      <c r="K46" s="22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6">
        <v>3.0</v>
      </c>
      <c r="B47" s="20" t="str">
        <f t="array" ref="B47">INDEX('Báo cáo 75 trang đích'!$B$2:$B$76,$A47)</f>
        <v>https://techcombank.com/thong-tin/blog/cach-nop-thue-dien-tu</v>
      </c>
      <c r="C47" s="22" t="str">
        <f t="array" ref="C47">INDEX('Báo cáo 75 trang đích'!$C$2:$C$76,$A47)</f>
        <v>Business Account</v>
      </c>
      <c r="D47" s="20" t="s">
        <v>123</v>
      </c>
      <c r="E47" s="22" t="s">
        <v>139</v>
      </c>
      <c r="F47" s="22" t="s">
        <v>81</v>
      </c>
      <c r="G47" s="22" t="s">
        <v>96</v>
      </c>
      <c r="H47" s="22" t="s">
        <v>59</v>
      </c>
      <c r="I47" s="22" t="s">
        <v>59</v>
      </c>
      <c r="J47" s="22" t="s">
        <v>60</v>
      </c>
      <c r="K47" s="22" t="s">
        <v>97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6">
        <v>3.0</v>
      </c>
      <c r="B48" s="20" t="str">
        <f t="array" ref="B48">INDEX('Báo cáo 75 trang đích'!$B$2:$B$76,$A48)</f>
        <v>https://techcombank.com/thong-tin/blog/cach-nop-thue-dien-tu</v>
      </c>
      <c r="C48" s="22" t="str">
        <f t="array" ref="C48">INDEX('Báo cáo 75 trang đích'!$C$2:$C$76,$A48)</f>
        <v>Business Account</v>
      </c>
      <c r="D48" s="20" t="s">
        <v>116</v>
      </c>
      <c r="E48" s="22" t="s">
        <v>78</v>
      </c>
      <c r="F48" s="22" t="s">
        <v>81</v>
      </c>
      <c r="G48" s="22" t="s">
        <v>96</v>
      </c>
      <c r="H48" s="22" t="s">
        <v>59</v>
      </c>
      <c r="I48" s="22" t="s">
        <v>59</v>
      </c>
      <c r="J48" s="22" t="s">
        <v>60</v>
      </c>
      <c r="K48" s="22" t="s">
        <v>97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6">
        <v>3.0</v>
      </c>
      <c r="B49" s="20" t="str">
        <f t="array" ref="B49">INDEX('Báo cáo 75 trang đích'!$B$2:$B$76,$A49)</f>
        <v>https://techcombank.com/thong-tin/blog/cach-nop-thue-dien-tu</v>
      </c>
      <c r="C49" s="22" t="str">
        <f t="array" ref="C49">INDEX('Báo cáo 75 trang đích'!$C$2:$C$76,$A49)</f>
        <v>Business Account</v>
      </c>
      <c r="D49" s="20" t="s">
        <v>164</v>
      </c>
      <c r="E49" s="22" t="s">
        <v>135</v>
      </c>
      <c r="F49" s="22" t="s">
        <v>81</v>
      </c>
      <c r="G49" s="22" t="s">
        <v>96</v>
      </c>
      <c r="H49" s="22" t="s">
        <v>59</v>
      </c>
      <c r="I49" s="22" t="s">
        <v>59</v>
      </c>
      <c r="J49" s="22" t="s">
        <v>60</v>
      </c>
      <c r="K49" s="22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6">
        <v>3.0</v>
      </c>
      <c r="B50" s="20" t="str">
        <f t="array" ref="B50">INDEX('Báo cáo 75 trang đích'!$B$2:$B$76,$A50)</f>
        <v>https://techcombank.com/thong-tin/blog/cach-nop-thue-dien-tu</v>
      </c>
      <c r="C50" s="22" t="str">
        <f t="array" ref="C50">INDEX('Báo cáo 75 trang đích'!$C$2:$C$76,$A50)</f>
        <v>Business Account</v>
      </c>
      <c r="D50" s="20" t="s">
        <v>126</v>
      </c>
      <c r="E50" s="22" t="s">
        <v>139</v>
      </c>
      <c r="F50" s="22" t="s">
        <v>81</v>
      </c>
      <c r="G50" s="22" t="s">
        <v>148</v>
      </c>
      <c r="H50" s="22" t="s">
        <v>59</v>
      </c>
      <c r="I50" s="22" t="s">
        <v>59</v>
      </c>
      <c r="J50" s="22" t="s">
        <v>60</v>
      </c>
      <c r="K50" s="22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6">
        <v>3.0</v>
      </c>
      <c r="B51" s="20" t="str">
        <f t="array" ref="B51">INDEX('Báo cáo 75 trang đích'!$B$2:$B$76,$A51)</f>
        <v>https://techcombank.com/thong-tin/blog/cach-nop-thue-dien-tu</v>
      </c>
      <c r="C51" s="22" t="str">
        <f t="array" ref="C51">INDEX('Báo cáo 75 trang đích'!$C$2:$C$76,$A51)</f>
        <v>Business Account</v>
      </c>
      <c r="D51" s="20" t="s">
        <v>56</v>
      </c>
      <c r="E51" s="22" t="s">
        <v>78</v>
      </c>
      <c r="F51" s="22" t="s">
        <v>81</v>
      </c>
      <c r="G51" s="22" t="s">
        <v>96</v>
      </c>
      <c r="H51" s="22" t="s">
        <v>59</v>
      </c>
      <c r="I51" s="22" t="s">
        <v>59</v>
      </c>
      <c r="J51" s="22" t="s">
        <v>60</v>
      </c>
      <c r="K51" s="22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6">
        <v>4.0</v>
      </c>
      <c r="B52" s="20" t="str">
        <f t="array" ref="B52">INDEX('Báo cáo 75 trang đích'!$B$2:$B$76,$A52)</f>
        <v>https://techcombank.com/thong-tin/blog/thue-thu-nhap-doanh-nghiep</v>
      </c>
      <c r="C52" s="22" t="str">
        <f t="array" ref="C52">INDEX('Báo cáo 75 trang đích'!$C$2:$C$76,$A52)</f>
        <v>Business Account</v>
      </c>
      <c r="D52" s="20" t="s">
        <v>167</v>
      </c>
      <c r="E52" s="22" t="s">
        <v>84</v>
      </c>
      <c r="F52" s="22" t="s">
        <v>57</v>
      </c>
      <c r="G52" s="22" t="s">
        <v>168</v>
      </c>
      <c r="H52" s="22" t="s">
        <v>59</v>
      </c>
      <c r="I52" s="22" t="s">
        <v>59</v>
      </c>
      <c r="J52" s="22" t="s">
        <v>60</v>
      </c>
      <c r="K52" s="22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6">
        <v>4.0</v>
      </c>
      <c r="B53" s="20" t="str">
        <f t="array" ref="B53">INDEX('Báo cáo 75 trang đích'!$B$2:$B$76,$A53)</f>
        <v>https://techcombank.com/thong-tin/blog/thue-thu-nhap-doanh-nghiep</v>
      </c>
      <c r="C53" s="22" t="str">
        <f t="array" ref="C53">INDEX('Báo cáo 75 trang đích'!$C$2:$C$76,$A53)</f>
        <v>Business Account</v>
      </c>
      <c r="D53" s="20" t="s">
        <v>157</v>
      </c>
      <c r="E53" s="22" t="s">
        <v>169</v>
      </c>
      <c r="F53" s="22" t="s">
        <v>57</v>
      </c>
      <c r="G53" s="22" t="s">
        <v>170</v>
      </c>
      <c r="H53" s="22" t="s">
        <v>59</v>
      </c>
      <c r="I53" s="22" t="s">
        <v>59</v>
      </c>
      <c r="J53" s="22" t="s">
        <v>60</v>
      </c>
      <c r="K53" s="22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6">
        <v>4.0</v>
      </c>
      <c r="B54" s="20" t="str">
        <f t="array" ref="B54">INDEX('Báo cáo 75 trang đích'!$B$2:$B$76,$A54)</f>
        <v>https://techcombank.com/thong-tin/blog/thue-thu-nhap-doanh-nghiep</v>
      </c>
      <c r="C54" s="22" t="str">
        <f t="array" ref="C54">INDEX('Báo cáo 75 trang đích'!$C$2:$C$76,$A54)</f>
        <v>Business Account</v>
      </c>
      <c r="D54" s="20" t="s">
        <v>175</v>
      </c>
      <c r="E54" s="22" t="s">
        <v>178</v>
      </c>
      <c r="F54" s="22" t="s">
        <v>57</v>
      </c>
      <c r="G54" s="22" t="s">
        <v>179</v>
      </c>
      <c r="H54" s="22" t="s">
        <v>59</v>
      </c>
      <c r="I54" s="22" t="s">
        <v>59</v>
      </c>
      <c r="J54" s="22" t="s">
        <v>60</v>
      </c>
      <c r="K54" s="22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6">
        <v>4.0</v>
      </c>
      <c r="B55" s="20" t="str">
        <f t="array" ref="B55">INDEX('Báo cáo 75 trang đích'!$B$2:$B$76,$A55)</f>
        <v>https://techcombank.com/thong-tin/blog/thue-thu-nhap-doanh-nghiep</v>
      </c>
      <c r="C55" s="22" t="str">
        <f t="array" ref="C55">INDEX('Báo cáo 75 trang đích'!$C$2:$C$76,$A55)</f>
        <v>Business Account</v>
      </c>
      <c r="D55" s="20" t="s">
        <v>180</v>
      </c>
      <c r="E55" s="22" t="s">
        <v>84</v>
      </c>
      <c r="F55" s="22" t="s">
        <v>76</v>
      </c>
      <c r="G55" s="22" t="s">
        <v>181</v>
      </c>
      <c r="H55" s="22" t="s">
        <v>59</v>
      </c>
      <c r="I55" s="22" t="s">
        <v>59</v>
      </c>
      <c r="J55" s="22" t="s">
        <v>60</v>
      </c>
      <c r="K55" s="22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6">
        <v>4.0</v>
      </c>
      <c r="B56" s="20" t="str">
        <f t="array" ref="B56">INDEX('Báo cáo 75 trang đích'!$B$2:$B$76,$A56)</f>
        <v>https://techcombank.com/thong-tin/blog/thue-thu-nhap-doanh-nghiep</v>
      </c>
      <c r="C56" s="22" t="str">
        <f t="array" ref="C56">INDEX('Báo cáo 75 trang đích'!$C$2:$C$76,$A56)</f>
        <v>Business Account</v>
      </c>
      <c r="D56" s="20" t="s">
        <v>145</v>
      </c>
      <c r="E56" s="22" t="s">
        <v>169</v>
      </c>
      <c r="F56" s="22" t="s">
        <v>76</v>
      </c>
      <c r="G56" s="22" t="s">
        <v>183</v>
      </c>
      <c r="H56" s="22" t="s">
        <v>59</v>
      </c>
      <c r="I56" s="22" t="s">
        <v>59</v>
      </c>
      <c r="J56" s="22" t="s">
        <v>60</v>
      </c>
      <c r="K56" s="22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6">
        <v>4.0</v>
      </c>
      <c r="B57" s="20" t="str">
        <f t="array" ref="B57">INDEX('Báo cáo 75 trang đích'!$B$2:$B$76,$A57)</f>
        <v>https://techcombank.com/thong-tin/blog/thue-thu-nhap-doanh-nghiep</v>
      </c>
      <c r="C57" s="22" t="str">
        <f t="array" ref="C57">INDEX('Báo cáo 75 trang đích'!$C$2:$C$76,$A57)</f>
        <v>Business Account</v>
      </c>
      <c r="D57" s="20" t="s">
        <v>104</v>
      </c>
      <c r="E57" s="22" t="s">
        <v>178</v>
      </c>
      <c r="F57" s="22" t="s">
        <v>81</v>
      </c>
      <c r="G57" s="22" t="s">
        <v>185</v>
      </c>
      <c r="H57" s="22" t="s">
        <v>59</v>
      </c>
      <c r="I57" s="22" t="s">
        <v>59</v>
      </c>
      <c r="J57" s="22" t="s">
        <v>60</v>
      </c>
      <c r="K57" s="22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6">
        <v>4.0</v>
      </c>
      <c r="B58" s="20" t="str">
        <f t="array" ref="B58">INDEX('Báo cáo 75 trang đích'!$B$2:$B$76,$A58)</f>
        <v>https://techcombank.com/thong-tin/blog/thue-thu-nhap-doanh-nghiep</v>
      </c>
      <c r="C58" s="22" t="str">
        <f t="array" ref="C58">INDEX('Báo cáo 75 trang đích'!$C$2:$C$76,$A58)</f>
        <v>Business Account</v>
      </c>
      <c r="D58" s="20" t="s">
        <v>186</v>
      </c>
      <c r="E58" s="22" t="s">
        <v>84</v>
      </c>
      <c r="F58" s="22" t="s">
        <v>81</v>
      </c>
      <c r="G58" s="22" t="s">
        <v>188</v>
      </c>
      <c r="H58" s="22" t="s">
        <v>59</v>
      </c>
      <c r="I58" s="22" t="s">
        <v>59</v>
      </c>
      <c r="J58" s="22" t="s">
        <v>60</v>
      </c>
      <c r="K58" s="22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6">
        <v>4.0</v>
      </c>
      <c r="B59" s="20" t="str">
        <f t="array" ref="B59">INDEX('Báo cáo 75 trang đích'!$B$2:$B$76,$A59)</f>
        <v>https://techcombank.com/thong-tin/blog/thue-thu-nhap-doanh-nghiep</v>
      </c>
      <c r="C59" s="22" t="str">
        <f t="array" ref="C59">INDEX('Báo cáo 75 trang đích'!$C$2:$C$76,$A59)</f>
        <v>Business Account</v>
      </c>
      <c r="D59" s="20" t="s">
        <v>191</v>
      </c>
      <c r="E59" s="22" t="s">
        <v>169</v>
      </c>
      <c r="F59" s="22" t="s">
        <v>81</v>
      </c>
      <c r="G59" s="22" t="s">
        <v>192</v>
      </c>
      <c r="H59" s="22" t="s">
        <v>59</v>
      </c>
      <c r="I59" s="22" t="s">
        <v>59</v>
      </c>
      <c r="J59" s="22" t="s">
        <v>60</v>
      </c>
      <c r="K59" s="22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6">
        <v>4.0</v>
      </c>
      <c r="B60" s="20" t="str">
        <f t="array" ref="B60">INDEX('Báo cáo 75 trang đích'!$B$2:$B$76,$A60)</f>
        <v>https://techcombank.com/thong-tin/blog/thue-thu-nhap-doanh-nghiep</v>
      </c>
      <c r="C60" s="22" t="str">
        <f t="array" ref="C60">INDEX('Báo cáo 75 trang đích'!$C$2:$C$76,$A60)</f>
        <v>Business Account</v>
      </c>
      <c r="D60" s="20" t="s">
        <v>193</v>
      </c>
      <c r="E60" s="22" t="s">
        <v>178</v>
      </c>
      <c r="F60" s="22" t="s">
        <v>81</v>
      </c>
      <c r="G60" s="22" t="s">
        <v>188</v>
      </c>
      <c r="H60" s="22" t="s">
        <v>59</v>
      </c>
      <c r="I60" s="22" t="s">
        <v>59</v>
      </c>
      <c r="J60" s="22" t="s">
        <v>60</v>
      </c>
      <c r="K60" s="22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6">
        <v>4.0</v>
      </c>
      <c r="B61" s="20" t="str">
        <f t="array" ref="B61">INDEX('Báo cáo 75 trang đích'!$B$2:$B$76,$A61)</f>
        <v>https://techcombank.com/thong-tin/blog/thue-thu-nhap-doanh-nghiep</v>
      </c>
      <c r="C61" s="22" t="str">
        <f t="array" ref="C61">INDEX('Báo cáo 75 trang đích'!$C$2:$C$76,$A61)</f>
        <v>Business Account</v>
      </c>
      <c r="D61" s="20" t="s">
        <v>92</v>
      </c>
      <c r="E61" s="22" t="s">
        <v>84</v>
      </c>
      <c r="F61" s="22" t="s">
        <v>81</v>
      </c>
      <c r="G61" s="22" t="s">
        <v>196</v>
      </c>
      <c r="H61" s="22" t="s">
        <v>59</v>
      </c>
      <c r="I61" s="22" t="s">
        <v>59</v>
      </c>
      <c r="J61" s="22" t="s">
        <v>60</v>
      </c>
      <c r="K61" s="22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6">
        <v>4.0</v>
      </c>
      <c r="B62" s="20" t="str">
        <f t="array" ref="B62">INDEX('Báo cáo 75 trang đích'!$B$2:$B$76,$A62)</f>
        <v>https://techcombank.com/thong-tin/blog/thue-thu-nhap-doanh-nghiep</v>
      </c>
      <c r="C62" s="22" t="str">
        <f t="array" ref="C62">INDEX('Báo cáo 75 trang đích'!$C$2:$C$76,$A62)</f>
        <v>Business Account</v>
      </c>
      <c r="D62" s="20" t="s">
        <v>197</v>
      </c>
      <c r="E62" s="22" t="s">
        <v>169</v>
      </c>
      <c r="F62" s="22" t="s">
        <v>81</v>
      </c>
      <c r="G62" s="22" t="s">
        <v>199</v>
      </c>
      <c r="H62" s="22" t="s">
        <v>59</v>
      </c>
      <c r="I62" s="22" t="s">
        <v>59</v>
      </c>
      <c r="J62" s="22" t="s">
        <v>60</v>
      </c>
      <c r="K62" s="22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6">
        <v>4.0</v>
      </c>
      <c r="B63" s="20" t="str">
        <f t="array" ref="B63">INDEX('Báo cáo 75 trang đích'!$B$2:$B$76,$A63)</f>
        <v>https://techcombank.com/thong-tin/blog/thue-thu-nhap-doanh-nghiep</v>
      </c>
      <c r="C63" s="22" t="str">
        <f t="array" ref="C63">INDEX('Báo cáo 75 trang đích'!$C$2:$C$76,$A63)</f>
        <v>Business Account</v>
      </c>
      <c r="D63" s="20" t="s">
        <v>200</v>
      </c>
      <c r="E63" s="22" t="s">
        <v>178</v>
      </c>
      <c r="F63" s="22" t="s">
        <v>81</v>
      </c>
      <c r="G63" s="22" t="s">
        <v>192</v>
      </c>
      <c r="H63" s="22" t="s">
        <v>59</v>
      </c>
      <c r="I63" s="22" t="s">
        <v>59</v>
      </c>
      <c r="J63" s="22" t="s">
        <v>60</v>
      </c>
      <c r="K63" s="22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6">
        <v>4.0</v>
      </c>
      <c r="B64" s="20" t="str">
        <f t="array" ref="B64">INDEX('Báo cáo 75 trang đích'!$B$2:$B$76,$A64)</f>
        <v>https://techcombank.com/thong-tin/blog/thue-thu-nhap-doanh-nghiep</v>
      </c>
      <c r="C64" s="22" t="str">
        <f t="array" ref="C64">INDEX('Báo cáo 75 trang đích'!$C$2:$C$76,$A64)</f>
        <v>Business Account</v>
      </c>
      <c r="D64" s="20" t="s">
        <v>118</v>
      </c>
      <c r="E64" s="22" t="s">
        <v>84</v>
      </c>
      <c r="F64" s="22" t="s">
        <v>81</v>
      </c>
      <c r="G64" s="22" t="s">
        <v>188</v>
      </c>
      <c r="H64" s="22" t="s">
        <v>59</v>
      </c>
      <c r="I64" s="22" t="s">
        <v>59</v>
      </c>
      <c r="J64" s="22" t="s">
        <v>60</v>
      </c>
      <c r="K64" s="22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6">
        <v>4.0</v>
      </c>
      <c r="B65" s="20" t="str">
        <f t="array" ref="B65">INDEX('Báo cáo 75 trang đích'!$B$2:$B$76,$A65)</f>
        <v>https://techcombank.com/thong-tin/blog/thue-thu-nhap-doanh-nghiep</v>
      </c>
      <c r="C65" s="22" t="str">
        <f t="array" ref="C65">INDEX('Báo cáo 75 trang đích'!$C$2:$C$76,$A65)</f>
        <v>Business Account</v>
      </c>
      <c r="D65" s="20" t="s">
        <v>85</v>
      </c>
      <c r="E65" s="22" t="s">
        <v>169</v>
      </c>
      <c r="F65" s="22" t="s">
        <v>81</v>
      </c>
      <c r="G65" s="22" t="s">
        <v>188</v>
      </c>
      <c r="H65" s="22" t="s">
        <v>59</v>
      </c>
      <c r="I65" s="22" t="s">
        <v>59</v>
      </c>
      <c r="J65" s="22" t="s">
        <v>60</v>
      </c>
      <c r="K65" s="22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6">
        <v>4.0</v>
      </c>
      <c r="B66" s="20" t="str">
        <f t="array" ref="B66">INDEX('Báo cáo 75 trang đích'!$B$2:$B$76,$A66)</f>
        <v>https://techcombank.com/thong-tin/blog/thue-thu-nhap-doanh-nghiep</v>
      </c>
      <c r="C66" s="22" t="str">
        <f t="array" ref="C66">INDEX('Báo cáo 75 trang đích'!$C$2:$C$76,$A66)</f>
        <v>Business Account</v>
      </c>
      <c r="D66" s="20" t="s">
        <v>203</v>
      </c>
      <c r="E66" s="22" t="s">
        <v>178</v>
      </c>
      <c r="F66" s="22" t="s">
        <v>81</v>
      </c>
      <c r="G66" s="22" t="s">
        <v>192</v>
      </c>
      <c r="H66" s="22" t="s">
        <v>59</v>
      </c>
      <c r="I66" s="22" t="s">
        <v>59</v>
      </c>
      <c r="J66" s="22" t="s">
        <v>60</v>
      </c>
      <c r="K66" s="22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6">
        <v>4.0</v>
      </c>
      <c r="B67" s="20" t="str">
        <f t="array" ref="B67">INDEX('Báo cáo 75 trang đích'!$B$2:$B$76,$A67)</f>
        <v>https://techcombank.com/thong-tin/blog/thue-thu-nhap-doanh-nghiep</v>
      </c>
      <c r="C67" s="22" t="str">
        <f t="array" ref="C67">INDEX('Báo cáo 75 trang đích'!$C$2:$C$76,$A67)</f>
        <v>Business Account</v>
      </c>
      <c r="D67" s="20" t="s">
        <v>206</v>
      </c>
      <c r="E67" s="22" t="s">
        <v>84</v>
      </c>
      <c r="F67" s="22" t="s">
        <v>81</v>
      </c>
      <c r="G67" s="22" t="s">
        <v>192</v>
      </c>
      <c r="H67" s="22" t="s">
        <v>59</v>
      </c>
      <c r="I67" s="22" t="s">
        <v>59</v>
      </c>
      <c r="J67" s="22" t="s">
        <v>60</v>
      </c>
      <c r="K67" s="22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6">
        <v>4.0</v>
      </c>
      <c r="B68" s="20" t="str">
        <f t="array" ref="B68">INDEX('Báo cáo 75 trang đích'!$B$2:$B$76,$A68)</f>
        <v>https://techcombank.com/thong-tin/blog/thue-thu-nhap-doanh-nghiep</v>
      </c>
      <c r="C68" s="22" t="str">
        <f t="array" ref="C68">INDEX('Báo cáo 75 trang đích'!$C$2:$C$76,$A68)</f>
        <v>Business Account</v>
      </c>
      <c r="D68" s="20" t="s">
        <v>208</v>
      </c>
      <c r="E68" s="22" t="s">
        <v>169</v>
      </c>
      <c r="F68" s="22" t="s">
        <v>81</v>
      </c>
      <c r="G68" s="22" t="s">
        <v>192</v>
      </c>
      <c r="H68" s="22" t="s">
        <v>59</v>
      </c>
      <c r="I68" s="22" t="s">
        <v>59</v>
      </c>
      <c r="J68" s="22" t="s">
        <v>60</v>
      </c>
      <c r="K68" s="22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6">
        <v>4.0</v>
      </c>
      <c r="B69" s="20" t="str">
        <f t="array" ref="B69">INDEX('Báo cáo 75 trang đích'!$B$2:$B$76,$A69)</f>
        <v>https://techcombank.com/thong-tin/blog/thue-thu-nhap-doanh-nghiep</v>
      </c>
      <c r="C69" s="22" t="str">
        <f t="array" ref="C69">INDEX('Báo cáo 75 trang đích'!$C$2:$C$76,$A69)</f>
        <v>Business Account</v>
      </c>
      <c r="D69" s="20" t="s">
        <v>210</v>
      </c>
      <c r="E69" s="22" t="s">
        <v>178</v>
      </c>
      <c r="F69" s="22" t="s">
        <v>81</v>
      </c>
      <c r="G69" s="22" t="s">
        <v>192</v>
      </c>
      <c r="H69" s="22" t="s">
        <v>59</v>
      </c>
      <c r="I69" s="22" t="s">
        <v>59</v>
      </c>
      <c r="J69" s="22" t="s">
        <v>60</v>
      </c>
      <c r="K69" s="22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6">
        <v>4.0</v>
      </c>
      <c r="B70" s="20" t="str">
        <f t="array" ref="B70">INDEX('Báo cáo 75 trang đích'!$B$2:$B$76,$A70)</f>
        <v>https://techcombank.com/thong-tin/blog/thue-thu-nhap-doanh-nghiep</v>
      </c>
      <c r="C70" s="22" t="str">
        <f t="array" ref="C70">INDEX('Báo cáo 75 trang đích'!$C$2:$C$76,$A70)</f>
        <v>Business Account</v>
      </c>
      <c r="D70" s="20" t="s">
        <v>212</v>
      </c>
      <c r="E70" s="22" t="s">
        <v>84</v>
      </c>
      <c r="F70" s="22" t="s">
        <v>81</v>
      </c>
      <c r="G70" s="22" t="s">
        <v>192</v>
      </c>
      <c r="H70" s="22" t="s">
        <v>59</v>
      </c>
      <c r="I70" s="22" t="s">
        <v>59</v>
      </c>
      <c r="J70" s="22" t="s">
        <v>60</v>
      </c>
      <c r="K70" s="22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6">
        <v>4.0</v>
      </c>
      <c r="B71" s="20" t="str">
        <f t="array" ref="B71">INDEX('Báo cáo 75 trang đích'!$B$2:$B$76,$A71)</f>
        <v>https://techcombank.com/thong-tin/blog/thue-thu-nhap-doanh-nghiep</v>
      </c>
      <c r="C71" s="22" t="str">
        <f t="array" ref="C71">INDEX('Báo cáo 75 trang đích'!$C$2:$C$76,$A71)</f>
        <v>Business Account</v>
      </c>
      <c r="D71" s="20" t="s">
        <v>214</v>
      </c>
      <c r="E71" s="22" t="s">
        <v>169</v>
      </c>
      <c r="F71" s="22" t="s">
        <v>81</v>
      </c>
      <c r="G71" s="22" t="s">
        <v>192</v>
      </c>
      <c r="H71" s="22" t="s">
        <v>59</v>
      </c>
      <c r="I71" s="22" t="s">
        <v>59</v>
      </c>
      <c r="J71" s="22" t="s">
        <v>60</v>
      </c>
      <c r="K71" s="22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6">
        <v>4.0</v>
      </c>
      <c r="B72" s="20" t="str">
        <f t="array" ref="B72">INDEX('Báo cáo 75 trang đích'!$B$2:$B$76,$A72)</f>
        <v>https://techcombank.com/thong-tin/blog/thue-thu-nhap-doanh-nghiep</v>
      </c>
      <c r="C72" s="22" t="str">
        <f t="array" ref="C72">INDEX('Báo cáo 75 trang đích'!$C$2:$C$76,$A72)</f>
        <v>Business Account</v>
      </c>
      <c r="D72" s="20" t="s">
        <v>216</v>
      </c>
      <c r="E72" s="22" t="s">
        <v>178</v>
      </c>
      <c r="F72" s="22" t="s">
        <v>81</v>
      </c>
      <c r="G72" s="22" t="s">
        <v>192</v>
      </c>
      <c r="H72" s="22" t="s">
        <v>59</v>
      </c>
      <c r="I72" s="22" t="s">
        <v>59</v>
      </c>
      <c r="J72" s="22" t="s">
        <v>60</v>
      </c>
      <c r="K72" s="22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6">
        <v>4.0</v>
      </c>
      <c r="B73" s="20" t="str">
        <f t="array" ref="B73">INDEX('Báo cáo 75 trang đích'!$B$2:$B$76,$A73)</f>
        <v>https://techcombank.com/thong-tin/blog/thue-thu-nhap-doanh-nghiep</v>
      </c>
      <c r="C73" s="22" t="str">
        <f t="array" ref="C73">INDEX('Báo cáo 75 trang đích'!$C$2:$C$76,$A73)</f>
        <v>Business Account</v>
      </c>
      <c r="D73" s="20" t="s">
        <v>217</v>
      </c>
      <c r="E73" s="22" t="s">
        <v>84</v>
      </c>
      <c r="F73" s="22" t="s">
        <v>81</v>
      </c>
      <c r="G73" s="22" t="s">
        <v>192</v>
      </c>
      <c r="H73" s="22" t="s">
        <v>59</v>
      </c>
      <c r="I73" s="22" t="s">
        <v>59</v>
      </c>
      <c r="J73" s="22" t="s">
        <v>60</v>
      </c>
      <c r="K73" s="22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6">
        <v>4.0</v>
      </c>
      <c r="B74" s="20" t="str">
        <f t="array" ref="B74">INDEX('Báo cáo 75 trang đích'!$B$2:$B$76,$A74)</f>
        <v>https://techcombank.com/thong-tin/blog/thue-thu-nhap-doanh-nghiep</v>
      </c>
      <c r="C74" s="22" t="str">
        <f t="array" ref="C74">INDEX('Báo cáo 75 trang đích'!$C$2:$C$76,$A74)</f>
        <v>Business Account</v>
      </c>
      <c r="D74" s="20" t="s">
        <v>221</v>
      </c>
      <c r="E74" s="22" t="s">
        <v>169</v>
      </c>
      <c r="F74" s="22" t="s">
        <v>81</v>
      </c>
      <c r="G74" s="22" t="s">
        <v>192</v>
      </c>
      <c r="H74" s="22" t="s">
        <v>59</v>
      </c>
      <c r="I74" s="22" t="s">
        <v>59</v>
      </c>
      <c r="J74" s="22" t="s">
        <v>60</v>
      </c>
      <c r="K74" s="22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6">
        <v>4.0</v>
      </c>
      <c r="B75" s="20" t="str">
        <f t="array" ref="B75">INDEX('Báo cáo 75 trang đích'!$B$2:$B$76,$A75)</f>
        <v>https://techcombank.com/thong-tin/blog/thue-thu-nhap-doanh-nghiep</v>
      </c>
      <c r="C75" s="22" t="str">
        <f t="array" ref="C75">INDEX('Báo cáo 75 trang đích'!$C$2:$C$76,$A75)</f>
        <v>Business Account</v>
      </c>
      <c r="D75" s="20" t="s">
        <v>223</v>
      </c>
      <c r="E75" s="22" t="s">
        <v>178</v>
      </c>
      <c r="F75" s="22" t="s">
        <v>81</v>
      </c>
      <c r="G75" s="22" t="s">
        <v>192</v>
      </c>
      <c r="H75" s="22" t="s">
        <v>59</v>
      </c>
      <c r="I75" s="22" t="s">
        <v>59</v>
      </c>
      <c r="J75" s="22" t="s">
        <v>60</v>
      </c>
      <c r="K75" s="22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6">
        <v>4.0</v>
      </c>
      <c r="B76" s="20" t="str">
        <f t="array" ref="B76">INDEX('Báo cáo 75 trang đích'!$B$2:$B$76,$A76)</f>
        <v>https://techcombank.com/thong-tin/blog/thue-thu-nhap-doanh-nghiep</v>
      </c>
      <c r="C76" s="22" t="str">
        <f t="array" ref="C76">INDEX('Báo cáo 75 trang đích'!$C$2:$C$76,$A76)</f>
        <v>Business Account</v>
      </c>
      <c r="D76" s="20" t="s">
        <v>225</v>
      </c>
      <c r="E76" s="22" t="s">
        <v>84</v>
      </c>
      <c r="F76" s="22" t="s">
        <v>81</v>
      </c>
      <c r="G76" s="22" t="s">
        <v>192</v>
      </c>
      <c r="H76" s="22" t="s">
        <v>59</v>
      </c>
      <c r="I76" s="22" t="s">
        <v>59</v>
      </c>
      <c r="J76" s="22" t="s">
        <v>60</v>
      </c>
      <c r="K76" s="22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6">
        <v>4.0</v>
      </c>
      <c r="B77" s="20" t="str">
        <f t="array" ref="B77">INDEX('Báo cáo 75 trang đích'!$B$2:$B$76,$A77)</f>
        <v>https://techcombank.com/thong-tin/blog/thue-thu-nhap-doanh-nghiep</v>
      </c>
      <c r="C77" s="22" t="str">
        <f t="array" ref="C77">INDEX('Báo cáo 75 trang đích'!$C$2:$C$76,$A77)</f>
        <v>Business Account</v>
      </c>
      <c r="D77" s="20" t="s">
        <v>226</v>
      </c>
      <c r="E77" s="22" t="s">
        <v>169</v>
      </c>
      <c r="F77" s="22" t="s">
        <v>81</v>
      </c>
      <c r="G77" s="22" t="s">
        <v>192</v>
      </c>
      <c r="H77" s="22" t="s">
        <v>59</v>
      </c>
      <c r="I77" s="22" t="s">
        <v>59</v>
      </c>
      <c r="J77" s="22" t="s">
        <v>60</v>
      </c>
      <c r="K77" s="22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6">
        <v>4.0</v>
      </c>
      <c r="B78" s="20" t="str">
        <f t="array" ref="B78">INDEX('Báo cáo 75 trang đích'!$B$2:$B$76,$A78)</f>
        <v>https://techcombank.com/thong-tin/blog/thue-thu-nhap-doanh-nghiep</v>
      </c>
      <c r="C78" s="22" t="str">
        <f t="array" ref="C78">INDEX('Báo cáo 75 trang đích'!$C$2:$C$76,$A78)</f>
        <v>Business Account</v>
      </c>
      <c r="D78" s="20" t="s">
        <v>230</v>
      </c>
      <c r="E78" s="22" t="s">
        <v>178</v>
      </c>
      <c r="F78" s="22" t="s">
        <v>81</v>
      </c>
      <c r="G78" s="22" t="s">
        <v>192</v>
      </c>
      <c r="H78" s="22" t="s">
        <v>59</v>
      </c>
      <c r="I78" s="22" t="s">
        <v>59</v>
      </c>
      <c r="J78" s="22" t="s">
        <v>60</v>
      </c>
      <c r="K78" s="22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6">
        <v>4.0</v>
      </c>
      <c r="B79" s="20" t="str">
        <f t="array" ref="B79">INDEX('Báo cáo 75 trang đích'!$B$2:$B$76,$A79)</f>
        <v>https://techcombank.com/thong-tin/blog/thue-thu-nhap-doanh-nghiep</v>
      </c>
      <c r="C79" s="22" t="str">
        <f t="array" ref="C79">INDEX('Báo cáo 75 trang đích'!$C$2:$C$76,$A79)</f>
        <v>Business Account</v>
      </c>
      <c r="D79" s="20" t="s">
        <v>233</v>
      </c>
      <c r="E79" s="22" t="s">
        <v>84</v>
      </c>
      <c r="F79" s="22" t="s">
        <v>81</v>
      </c>
      <c r="G79" s="22" t="s">
        <v>192</v>
      </c>
      <c r="H79" s="22" t="s">
        <v>59</v>
      </c>
      <c r="I79" s="22" t="s">
        <v>59</v>
      </c>
      <c r="J79" s="22" t="s">
        <v>60</v>
      </c>
      <c r="K79" s="22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6">
        <v>5.0</v>
      </c>
      <c r="B80" s="20" t="str">
        <f t="array" ref="B80">INDEX('Báo cáo 75 trang đích'!$B$2:$B$76,$A80)</f>
        <v>https://techcombank.com/thong-tin/blog/thue-vat-la-gi</v>
      </c>
      <c r="C80" s="22" t="str">
        <f t="array" ref="C80">INDEX('Báo cáo 75 trang đích'!$C$2:$C$76,$A80)</f>
        <v>Business Account</v>
      </c>
      <c r="D80" s="20" t="s">
        <v>118</v>
      </c>
      <c r="E80" s="22" t="s">
        <v>91</v>
      </c>
      <c r="F80" s="22" t="s">
        <v>57</v>
      </c>
      <c r="G80" s="22" t="s">
        <v>234</v>
      </c>
      <c r="H80" s="22" t="s">
        <v>59</v>
      </c>
      <c r="I80" s="22" t="s">
        <v>59</v>
      </c>
      <c r="J80" s="22" t="s">
        <v>60</v>
      </c>
      <c r="K80" s="22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6">
        <v>5.0</v>
      </c>
      <c r="B81" s="20" t="str">
        <f t="array" ref="B81">INDEX('Báo cáo 75 trang đích'!$B$2:$B$76,$A81)</f>
        <v>https://techcombank.com/thong-tin/blog/thue-vat-la-gi</v>
      </c>
      <c r="C81" s="22" t="str">
        <f t="array" ref="C81">INDEX('Báo cáo 75 trang đích'!$C$2:$C$76,$A81)</f>
        <v>Business Account</v>
      </c>
      <c r="D81" s="20" t="s">
        <v>145</v>
      </c>
      <c r="E81" s="22" t="s">
        <v>236</v>
      </c>
      <c r="F81" s="22" t="s">
        <v>57</v>
      </c>
      <c r="G81" s="22" t="s">
        <v>237</v>
      </c>
      <c r="H81" s="22" t="s">
        <v>59</v>
      </c>
      <c r="I81" s="22" t="s">
        <v>59</v>
      </c>
      <c r="J81" s="22" t="s">
        <v>60</v>
      </c>
      <c r="K81" s="22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6">
        <v>5.0</v>
      </c>
      <c r="B82" s="20" t="str">
        <f t="array" ref="B82">INDEX('Báo cáo 75 trang đích'!$B$2:$B$76,$A82)</f>
        <v>https://techcombank.com/thong-tin/blog/thue-vat-la-gi</v>
      </c>
      <c r="C82" s="22" t="str">
        <f t="array" ref="C82">INDEX('Báo cáo 75 trang đích'!$C$2:$C$76,$A82)</f>
        <v>Business Account</v>
      </c>
      <c r="D82" s="20" t="s">
        <v>239</v>
      </c>
      <c r="E82" s="22" t="s">
        <v>240</v>
      </c>
      <c r="F82" s="22" t="s">
        <v>76</v>
      </c>
      <c r="G82" s="22" t="s">
        <v>241</v>
      </c>
      <c r="H82" s="22" t="s">
        <v>59</v>
      </c>
      <c r="I82" s="22" t="s">
        <v>59</v>
      </c>
      <c r="J82" s="22" t="s">
        <v>60</v>
      </c>
      <c r="K82" s="22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6">
        <v>5.0</v>
      </c>
      <c r="B83" s="20" t="str">
        <f t="array" ref="B83">INDEX('Báo cáo 75 trang đích'!$B$2:$B$76,$A83)</f>
        <v>https://techcombank.com/thong-tin/blog/thue-vat-la-gi</v>
      </c>
      <c r="C83" s="22" t="str">
        <f t="array" ref="C83">INDEX('Báo cáo 75 trang đích'!$C$2:$C$76,$A83)</f>
        <v>Business Account</v>
      </c>
      <c r="D83" s="20" t="s">
        <v>115</v>
      </c>
      <c r="E83" s="22" t="s">
        <v>91</v>
      </c>
      <c r="F83" s="22" t="s">
        <v>76</v>
      </c>
      <c r="G83" s="22" t="s">
        <v>242</v>
      </c>
      <c r="H83" s="22" t="s">
        <v>59</v>
      </c>
      <c r="I83" s="22" t="s">
        <v>59</v>
      </c>
      <c r="J83" s="22" t="s">
        <v>60</v>
      </c>
      <c r="K83" s="22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6">
        <v>5.0</v>
      </c>
      <c r="B84" s="20" t="str">
        <f t="array" ref="B84">INDEX('Báo cáo 75 trang đích'!$B$2:$B$76,$A84)</f>
        <v>https://techcombank.com/thong-tin/blog/thue-vat-la-gi</v>
      </c>
      <c r="C84" s="22" t="str">
        <f t="array" ref="C84">INDEX('Báo cáo 75 trang đích'!$C$2:$C$76,$A84)</f>
        <v>Business Account</v>
      </c>
      <c r="D84" s="20" t="s">
        <v>245</v>
      </c>
      <c r="E84" s="22" t="s">
        <v>236</v>
      </c>
      <c r="F84" s="22" t="s">
        <v>76</v>
      </c>
      <c r="G84" s="22" t="s">
        <v>246</v>
      </c>
      <c r="H84" s="22" t="s">
        <v>59</v>
      </c>
      <c r="I84" s="22" t="s">
        <v>59</v>
      </c>
      <c r="J84" s="22" t="s">
        <v>60</v>
      </c>
      <c r="K84" s="22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6">
        <v>5.0</v>
      </c>
      <c r="B85" s="20" t="str">
        <f t="array" ref="B85">INDEX('Báo cáo 75 trang đích'!$B$2:$B$76,$A85)</f>
        <v>https://techcombank.com/thong-tin/blog/thue-vat-la-gi</v>
      </c>
      <c r="C85" s="22" t="str">
        <f t="array" ref="C85">INDEX('Báo cáo 75 trang đích'!$C$2:$C$76,$A85)</f>
        <v>Business Account</v>
      </c>
      <c r="D85" s="20" t="s">
        <v>247</v>
      </c>
      <c r="E85" s="22" t="s">
        <v>240</v>
      </c>
      <c r="F85" s="22" t="s">
        <v>81</v>
      </c>
      <c r="G85" s="22" t="s">
        <v>248</v>
      </c>
      <c r="H85" s="22" t="s">
        <v>59</v>
      </c>
      <c r="I85" s="22" t="s">
        <v>59</v>
      </c>
      <c r="J85" s="22" t="s">
        <v>60</v>
      </c>
      <c r="K85" s="22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6">
        <v>5.0</v>
      </c>
      <c r="B86" s="20" t="str">
        <f t="array" ref="B86">INDEX('Báo cáo 75 trang đích'!$B$2:$B$76,$A86)</f>
        <v>https://techcombank.com/thong-tin/blog/thue-vat-la-gi</v>
      </c>
      <c r="C86" s="22" t="str">
        <f t="array" ref="C86">INDEX('Báo cáo 75 trang đích'!$C$2:$C$76,$A86)</f>
        <v>Business Account</v>
      </c>
      <c r="D86" s="20" t="s">
        <v>250</v>
      </c>
      <c r="E86" s="22" t="s">
        <v>91</v>
      </c>
      <c r="F86" s="22" t="s">
        <v>81</v>
      </c>
      <c r="G86" s="22" t="s">
        <v>248</v>
      </c>
      <c r="H86" s="22" t="s">
        <v>59</v>
      </c>
      <c r="I86" s="22" t="s">
        <v>59</v>
      </c>
      <c r="J86" s="22" t="s">
        <v>60</v>
      </c>
      <c r="K86" s="22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6">
        <v>5.0</v>
      </c>
      <c r="B87" s="20" t="str">
        <f t="array" ref="B87">INDEX('Báo cáo 75 trang đích'!$B$2:$B$76,$A87)</f>
        <v>https://techcombank.com/thong-tin/blog/thue-vat-la-gi</v>
      </c>
      <c r="C87" s="22" t="str">
        <f t="array" ref="C87">INDEX('Báo cáo 75 trang đích'!$C$2:$C$76,$A87)</f>
        <v>Business Account</v>
      </c>
      <c r="D87" s="20" t="s">
        <v>252</v>
      </c>
      <c r="E87" s="22" t="s">
        <v>236</v>
      </c>
      <c r="F87" s="22" t="s">
        <v>81</v>
      </c>
      <c r="G87" s="22" t="s">
        <v>253</v>
      </c>
      <c r="H87" s="22" t="s">
        <v>59</v>
      </c>
      <c r="I87" s="22" t="s">
        <v>59</v>
      </c>
      <c r="J87" s="22" t="s">
        <v>60</v>
      </c>
      <c r="K87" s="22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6">
        <v>5.0</v>
      </c>
      <c r="B88" s="20" t="str">
        <f t="array" ref="B88">INDEX('Báo cáo 75 trang đích'!$B$2:$B$76,$A88)</f>
        <v>https://techcombank.com/thong-tin/blog/thue-vat-la-gi</v>
      </c>
      <c r="C88" s="22" t="str">
        <f t="array" ref="C88">INDEX('Báo cáo 75 trang đích'!$C$2:$C$76,$A88)</f>
        <v>Business Account</v>
      </c>
      <c r="D88" s="20" t="s">
        <v>256</v>
      </c>
      <c r="E88" s="22" t="s">
        <v>240</v>
      </c>
      <c r="F88" s="22" t="s">
        <v>81</v>
      </c>
      <c r="G88" s="22" t="s">
        <v>257</v>
      </c>
      <c r="H88" s="22" t="s">
        <v>59</v>
      </c>
      <c r="I88" s="22" t="s">
        <v>59</v>
      </c>
      <c r="J88" s="22" t="s">
        <v>60</v>
      </c>
      <c r="K88" s="22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6">
        <v>5.0</v>
      </c>
      <c r="B89" s="20" t="str">
        <f t="array" ref="B89">INDEX('Báo cáo 75 trang đích'!$B$2:$B$76,$A89)</f>
        <v>https://techcombank.com/thong-tin/blog/thue-vat-la-gi</v>
      </c>
      <c r="C89" s="22" t="str">
        <f t="array" ref="C89">INDEX('Báo cáo 75 trang đích'!$C$2:$C$76,$A89)</f>
        <v>Business Account</v>
      </c>
      <c r="D89" s="20" t="s">
        <v>258</v>
      </c>
      <c r="E89" s="22" t="s">
        <v>91</v>
      </c>
      <c r="F89" s="22" t="s">
        <v>81</v>
      </c>
      <c r="G89" s="22" t="s">
        <v>260</v>
      </c>
      <c r="H89" s="22" t="s">
        <v>59</v>
      </c>
      <c r="I89" s="22" t="s">
        <v>59</v>
      </c>
      <c r="J89" s="22" t="s">
        <v>60</v>
      </c>
      <c r="K89" s="22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6">
        <v>5.0</v>
      </c>
      <c r="B90" s="20" t="str">
        <f t="array" ref="B90">INDEX('Báo cáo 75 trang đích'!$B$2:$B$76,$A90)</f>
        <v>https://techcombank.com/thong-tin/blog/thue-vat-la-gi</v>
      </c>
      <c r="C90" s="22" t="str">
        <f t="array" ref="C90">INDEX('Báo cáo 75 trang đích'!$C$2:$C$76,$A90)</f>
        <v>Business Account</v>
      </c>
      <c r="D90" s="20" t="s">
        <v>153</v>
      </c>
      <c r="E90" s="22" t="s">
        <v>236</v>
      </c>
      <c r="F90" s="22" t="s">
        <v>81</v>
      </c>
      <c r="G90" s="22" t="s">
        <v>248</v>
      </c>
      <c r="H90" s="22" t="s">
        <v>59</v>
      </c>
      <c r="I90" s="22" t="s">
        <v>59</v>
      </c>
      <c r="J90" s="22" t="s">
        <v>60</v>
      </c>
      <c r="K90" s="22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6">
        <v>5.0</v>
      </c>
      <c r="B91" s="20" t="str">
        <f t="array" ref="B91">INDEX('Báo cáo 75 trang đích'!$B$2:$B$76,$A91)</f>
        <v>https://techcombank.com/thong-tin/blog/thue-vat-la-gi</v>
      </c>
      <c r="C91" s="22" t="str">
        <f t="array" ref="C91">INDEX('Báo cáo 75 trang đích'!$C$2:$C$76,$A91)</f>
        <v>Business Account</v>
      </c>
      <c r="D91" s="20" t="s">
        <v>92</v>
      </c>
      <c r="E91" s="22" t="s">
        <v>240</v>
      </c>
      <c r="F91" s="22" t="s">
        <v>81</v>
      </c>
      <c r="G91" s="22" t="s">
        <v>248</v>
      </c>
      <c r="H91" s="22" t="s">
        <v>59</v>
      </c>
      <c r="I91" s="22" t="s">
        <v>59</v>
      </c>
      <c r="J91" s="22" t="s">
        <v>60</v>
      </c>
      <c r="K91" s="22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6">
        <v>5.0</v>
      </c>
      <c r="B92" s="20" t="str">
        <f t="array" ref="B92">INDEX('Báo cáo 75 trang đích'!$B$2:$B$76,$A92)</f>
        <v>https://techcombank.com/thong-tin/blog/thue-vat-la-gi</v>
      </c>
      <c r="C92" s="22" t="str">
        <f t="array" ref="C92">INDEX('Báo cáo 75 trang đích'!$C$2:$C$76,$A92)</f>
        <v>Business Account</v>
      </c>
      <c r="D92" s="20" t="s">
        <v>264</v>
      </c>
      <c r="E92" s="22" t="s">
        <v>91</v>
      </c>
      <c r="F92" s="22" t="s">
        <v>81</v>
      </c>
      <c r="G92" s="22" t="s">
        <v>253</v>
      </c>
      <c r="H92" s="22" t="s">
        <v>59</v>
      </c>
      <c r="I92" s="22" t="s">
        <v>59</v>
      </c>
      <c r="J92" s="22" t="s">
        <v>60</v>
      </c>
      <c r="K92" s="22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6">
        <v>5.0</v>
      </c>
      <c r="B93" s="20" t="str">
        <f t="array" ref="B93">INDEX('Báo cáo 75 trang đích'!$B$2:$B$76,$A93)</f>
        <v>https://techcombank.com/thong-tin/blog/thue-vat-la-gi</v>
      </c>
      <c r="C93" s="22" t="str">
        <f t="array" ref="C93">INDEX('Báo cáo 75 trang đích'!$C$2:$C$76,$A93)</f>
        <v>Business Account</v>
      </c>
      <c r="D93" s="20" t="s">
        <v>197</v>
      </c>
      <c r="E93" s="22" t="s">
        <v>236</v>
      </c>
      <c r="F93" s="22" t="s">
        <v>81</v>
      </c>
      <c r="G93" s="22" t="s">
        <v>253</v>
      </c>
      <c r="H93" s="22" t="s">
        <v>59</v>
      </c>
      <c r="I93" s="22" t="s">
        <v>59</v>
      </c>
      <c r="J93" s="22" t="s">
        <v>60</v>
      </c>
      <c r="K93" s="22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6">
        <v>5.0</v>
      </c>
      <c r="B94" s="20" t="str">
        <f t="array" ref="B94">INDEX('Báo cáo 75 trang đích'!$B$2:$B$76,$A94)</f>
        <v>https://techcombank.com/thong-tin/blog/thue-vat-la-gi</v>
      </c>
      <c r="C94" s="22" t="str">
        <f t="array" ref="C94">INDEX('Báo cáo 75 trang đích'!$C$2:$C$76,$A94)</f>
        <v>Business Account</v>
      </c>
      <c r="D94" s="20" t="s">
        <v>266</v>
      </c>
      <c r="E94" s="22" t="s">
        <v>240</v>
      </c>
      <c r="F94" s="22" t="s">
        <v>81</v>
      </c>
      <c r="G94" s="22" t="s">
        <v>260</v>
      </c>
      <c r="H94" s="22" t="s">
        <v>59</v>
      </c>
      <c r="I94" s="22" t="s">
        <v>59</v>
      </c>
      <c r="J94" s="22" t="s">
        <v>60</v>
      </c>
      <c r="K94" s="22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6">
        <v>5.0</v>
      </c>
      <c r="B95" s="20" t="str">
        <f t="array" ref="B95">INDEX('Báo cáo 75 trang đích'!$B$2:$B$76,$A95)</f>
        <v>https://techcombank.com/thong-tin/blog/thue-vat-la-gi</v>
      </c>
      <c r="C95" s="22" t="str">
        <f t="array" ref="C95">INDEX('Báo cáo 75 trang đích'!$C$2:$C$76,$A95)</f>
        <v>Business Account</v>
      </c>
      <c r="D95" s="20" t="s">
        <v>268</v>
      </c>
      <c r="E95" s="22" t="s">
        <v>91</v>
      </c>
      <c r="F95" s="22" t="s">
        <v>81</v>
      </c>
      <c r="G95" s="22" t="s">
        <v>253</v>
      </c>
      <c r="H95" s="22" t="s">
        <v>59</v>
      </c>
      <c r="I95" s="22" t="s">
        <v>59</v>
      </c>
      <c r="J95" s="22" t="s">
        <v>60</v>
      </c>
      <c r="K95" s="22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6">
        <v>5.0</v>
      </c>
      <c r="B96" s="20" t="str">
        <f t="array" ref="B96">INDEX('Báo cáo 75 trang đích'!$B$2:$B$76,$A96)</f>
        <v>https://techcombank.com/thong-tin/blog/thue-vat-la-gi</v>
      </c>
      <c r="C96" s="22" t="str">
        <f t="array" ref="C96">INDEX('Báo cáo 75 trang đích'!$C$2:$C$76,$A96)</f>
        <v>Business Account</v>
      </c>
      <c r="D96" s="20" t="s">
        <v>269</v>
      </c>
      <c r="E96" s="22" t="s">
        <v>236</v>
      </c>
      <c r="F96" s="22" t="s">
        <v>81</v>
      </c>
      <c r="G96" s="22" t="s">
        <v>253</v>
      </c>
      <c r="H96" s="22" t="s">
        <v>59</v>
      </c>
      <c r="I96" s="22" t="s">
        <v>59</v>
      </c>
      <c r="J96" s="22" t="s">
        <v>60</v>
      </c>
      <c r="K96" s="22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6">
        <v>5.0</v>
      </c>
      <c r="B97" s="20" t="str">
        <f t="array" ref="B97">INDEX('Báo cáo 75 trang đích'!$B$2:$B$76,$A97)</f>
        <v>https://techcombank.com/thong-tin/blog/thue-vat-la-gi</v>
      </c>
      <c r="C97" s="22" t="str">
        <f t="array" ref="C97">INDEX('Báo cáo 75 trang đích'!$C$2:$C$76,$A97)</f>
        <v>Business Account</v>
      </c>
      <c r="D97" s="20" t="s">
        <v>272</v>
      </c>
      <c r="E97" s="22" t="s">
        <v>240</v>
      </c>
      <c r="F97" s="22" t="s">
        <v>81</v>
      </c>
      <c r="G97" s="22" t="s">
        <v>253</v>
      </c>
      <c r="H97" s="22" t="s">
        <v>59</v>
      </c>
      <c r="I97" s="22" t="s">
        <v>59</v>
      </c>
      <c r="J97" s="22" t="s">
        <v>60</v>
      </c>
      <c r="K97" s="22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6">
        <v>5.0</v>
      </c>
      <c r="B98" s="20" t="str">
        <f t="array" ref="B98">INDEX('Báo cáo 75 trang đích'!$B$2:$B$76,$A98)</f>
        <v>https://techcombank.com/thong-tin/blog/thue-vat-la-gi</v>
      </c>
      <c r="C98" s="22" t="str">
        <f t="array" ref="C98">INDEX('Báo cáo 75 trang đích'!$C$2:$C$76,$A98)</f>
        <v>Business Account</v>
      </c>
      <c r="D98" s="20" t="s">
        <v>274</v>
      </c>
      <c r="E98" s="22" t="s">
        <v>91</v>
      </c>
      <c r="F98" s="22" t="s">
        <v>81</v>
      </c>
      <c r="G98" s="22" t="s">
        <v>257</v>
      </c>
      <c r="H98" s="22" t="s">
        <v>59</v>
      </c>
      <c r="I98" s="22" t="s">
        <v>59</v>
      </c>
      <c r="J98" s="22" t="s">
        <v>60</v>
      </c>
      <c r="K98" s="22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6">
        <v>5.0</v>
      </c>
      <c r="B99" s="20" t="str">
        <f t="array" ref="B99">INDEX('Báo cáo 75 trang đích'!$B$2:$B$76,$A99)</f>
        <v>https://techcombank.com/thong-tin/blog/thue-vat-la-gi</v>
      </c>
      <c r="C99" s="22" t="str">
        <f t="array" ref="C99">INDEX('Báo cáo 75 trang đích'!$C$2:$C$76,$A99)</f>
        <v>Business Account</v>
      </c>
      <c r="D99" s="20" t="s">
        <v>276</v>
      </c>
      <c r="E99" s="22" t="s">
        <v>236</v>
      </c>
      <c r="F99" s="22" t="s">
        <v>81</v>
      </c>
      <c r="G99" s="22" t="s">
        <v>257</v>
      </c>
      <c r="H99" s="22" t="s">
        <v>59</v>
      </c>
      <c r="I99" s="22" t="s">
        <v>59</v>
      </c>
      <c r="J99" s="22" t="s">
        <v>60</v>
      </c>
      <c r="K99" s="22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6">
        <v>5.0</v>
      </c>
      <c r="B100" s="20" t="str">
        <f t="array" ref="B100">INDEX('Báo cáo 75 trang đích'!$B$2:$B$76,$A100)</f>
        <v>https://techcombank.com/thong-tin/blog/thue-vat-la-gi</v>
      </c>
      <c r="C100" s="22" t="str">
        <f t="array" ref="C100">INDEX('Báo cáo 75 trang đích'!$C$2:$C$76,$A100)</f>
        <v>Business Account</v>
      </c>
      <c r="D100" s="20" t="s">
        <v>278</v>
      </c>
      <c r="E100" s="22" t="s">
        <v>240</v>
      </c>
      <c r="F100" s="22" t="s">
        <v>81</v>
      </c>
      <c r="G100" s="22" t="s">
        <v>260</v>
      </c>
      <c r="H100" s="22" t="s">
        <v>59</v>
      </c>
      <c r="I100" s="22" t="s">
        <v>59</v>
      </c>
      <c r="J100" s="22" t="s">
        <v>60</v>
      </c>
      <c r="K100" s="22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6">
        <v>5.0</v>
      </c>
      <c r="B101" s="20" t="str">
        <f t="array" ref="B101">INDEX('Báo cáo 75 trang đích'!$B$2:$B$76,$A101)</f>
        <v>https://techcombank.com/thong-tin/blog/thue-vat-la-gi</v>
      </c>
      <c r="C101" s="22" t="str">
        <f t="array" ref="C101">INDEX('Báo cáo 75 trang đích'!$C$2:$C$76,$A101)</f>
        <v>Business Account</v>
      </c>
      <c r="D101" s="20" t="s">
        <v>280</v>
      </c>
      <c r="E101" s="22" t="s">
        <v>91</v>
      </c>
      <c r="F101" s="22" t="s">
        <v>81</v>
      </c>
      <c r="G101" s="22" t="s">
        <v>253</v>
      </c>
      <c r="H101" s="22" t="s">
        <v>59</v>
      </c>
      <c r="I101" s="22" t="s">
        <v>59</v>
      </c>
      <c r="J101" s="22" t="s">
        <v>60</v>
      </c>
      <c r="K101" s="22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6">
        <v>5.0</v>
      </c>
      <c r="B102" s="20" t="str">
        <f t="array" ref="B102">INDEX('Báo cáo 75 trang đích'!$B$2:$B$76,$A102)</f>
        <v>https://techcombank.com/thong-tin/blog/thue-vat-la-gi</v>
      </c>
      <c r="C102" s="22" t="str">
        <f t="array" ref="C102">INDEX('Báo cáo 75 trang đích'!$C$2:$C$76,$A102)</f>
        <v>Business Account</v>
      </c>
      <c r="D102" s="20" t="s">
        <v>283</v>
      </c>
      <c r="E102" s="22" t="s">
        <v>236</v>
      </c>
      <c r="F102" s="22" t="s">
        <v>81</v>
      </c>
      <c r="G102" s="22" t="s">
        <v>253</v>
      </c>
      <c r="H102" s="22" t="s">
        <v>59</v>
      </c>
      <c r="I102" s="22" t="s">
        <v>59</v>
      </c>
      <c r="J102" s="22" t="s">
        <v>60</v>
      </c>
      <c r="K102" s="22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6">
        <v>6.0</v>
      </c>
      <c r="B103" s="20" t="str">
        <f t="array" ref="B103">INDEX('Báo cáo 75 trang đích'!$B$2:$B$76,$A103)</f>
        <v>https://techcombank.com/thong-tin/blog/tra-cuu-no-thue-doanh-nghiep</v>
      </c>
      <c r="C103" s="22" t="str">
        <f t="array" ref="C103">INDEX('Báo cáo 75 trang đích'!$C$2:$C$76,$A103)</f>
        <v>Business Account</v>
      </c>
      <c r="D103" s="20" t="s">
        <v>193</v>
      </c>
      <c r="E103" s="22" t="s">
        <v>100</v>
      </c>
      <c r="F103" s="22" t="s">
        <v>57</v>
      </c>
      <c r="G103" s="22" t="s">
        <v>285</v>
      </c>
      <c r="H103" s="22" t="s">
        <v>59</v>
      </c>
      <c r="I103" s="22" t="s">
        <v>59</v>
      </c>
      <c r="J103" s="22" t="s">
        <v>60</v>
      </c>
      <c r="K103" s="22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6">
        <v>6.0</v>
      </c>
      <c r="B104" s="20" t="str">
        <f t="array" ref="B104">INDEX('Báo cáo 75 trang đích'!$B$2:$B$76,$A104)</f>
        <v>https://techcombank.com/thong-tin/blog/tra-cuu-no-thue-doanh-nghiep</v>
      </c>
      <c r="C104" s="22" t="str">
        <f t="array" ref="C104">INDEX('Báo cáo 75 trang đích'!$C$2:$C$76,$A104)</f>
        <v>Business Account</v>
      </c>
      <c r="D104" s="20" t="s">
        <v>99</v>
      </c>
      <c r="E104" s="22" t="s">
        <v>288</v>
      </c>
      <c r="F104" s="22" t="s">
        <v>57</v>
      </c>
      <c r="G104" s="22" t="s">
        <v>289</v>
      </c>
      <c r="H104" s="22" t="s">
        <v>59</v>
      </c>
      <c r="I104" s="22" t="s">
        <v>59</v>
      </c>
      <c r="J104" s="22" t="s">
        <v>60</v>
      </c>
      <c r="K104" s="22" t="s">
        <v>137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6">
        <v>6.0</v>
      </c>
      <c r="B105" s="20" t="str">
        <f t="array" ref="B105">INDEX('Báo cáo 75 trang đích'!$B$2:$B$76,$A105)</f>
        <v>https://techcombank.com/thong-tin/blog/tra-cuu-no-thue-doanh-nghiep</v>
      </c>
      <c r="C105" s="22" t="str">
        <f t="array" ref="C105">INDEX('Báo cáo 75 trang đích'!$C$2:$C$76,$A105)</f>
        <v>Business Account</v>
      </c>
      <c r="D105" s="20" t="s">
        <v>157</v>
      </c>
      <c r="E105" s="22" t="s">
        <v>291</v>
      </c>
      <c r="F105" s="22" t="s">
        <v>76</v>
      </c>
      <c r="G105" s="22" t="s">
        <v>292</v>
      </c>
      <c r="H105" s="22" t="s">
        <v>59</v>
      </c>
      <c r="I105" s="22" t="s">
        <v>59</v>
      </c>
      <c r="J105" s="22" t="s">
        <v>60</v>
      </c>
      <c r="K105" s="22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6">
        <v>6.0</v>
      </c>
      <c r="B106" s="20" t="str">
        <f t="array" ref="B106">INDEX('Báo cáo 75 trang đích'!$B$2:$B$76,$A106)</f>
        <v>https://techcombank.com/thong-tin/blog/tra-cuu-no-thue-doanh-nghiep</v>
      </c>
      <c r="C106" s="22" t="str">
        <f t="array" ref="C106">INDEX('Báo cáo 75 trang đích'!$C$2:$C$76,$A106)</f>
        <v>Business Account</v>
      </c>
      <c r="D106" s="20" t="s">
        <v>118</v>
      </c>
      <c r="E106" s="22" t="s">
        <v>100</v>
      </c>
      <c r="F106" s="22" t="s">
        <v>76</v>
      </c>
      <c r="G106" s="22" t="s">
        <v>293</v>
      </c>
      <c r="H106" s="22" t="s">
        <v>59</v>
      </c>
      <c r="I106" s="22" t="s">
        <v>59</v>
      </c>
      <c r="J106" s="22" t="s">
        <v>60</v>
      </c>
      <c r="K106" s="22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6">
        <v>6.0</v>
      </c>
      <c r="B107" s="20" t="str">
        <f t="array" ref="B107">INDEX('Báo cáo 75 trang đích'!$B$2:$B$76,$A107)</f>
        <v>https://techcombank.com/thong-tin/blog/tra-cuu-no-thue-doanh-nghiep</v>
      </c>
      <c r="C107" s="22" t="str">
        <f t="array" ref="C107">INDEX('Báo cáo 75 trang đích'!$C$2:$C$76,$A107)</f>
        <v>Business Account</v>
      </c>
      <c r="D107" s="20" t="s">
        <v>102</v>
      </c>
      <c r="E107" s="22" t="s">
        <v>288</v>
      </c>
      <c r="F107" s="22" t="s">
        <v>76</v>
      </c>
      <c r="G107" s="22" t="s">
        <v>295</v>
      </c>
      <c r="H107" s="22" t="s">
        <v>59</v>
      </c>
      <c r="I107" s="22" t="s">
        <v>59</v>
      </c>
      <c r="J107" s="22" t="s">
        <v>60</v>
      </c>
      <c r="K107" s="22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6">
        <v>6.0</v>
      </c>
      <c r="B108" s="20" t="str">
        <f t="array" ref="B108">INDEX('Báo cáo 75 trang đích'!$B$2:$B$76,$A108)</f>
        <v>https://techcombank.com/thong-tin/blog/tra-cuu-no-thue-doanh-nghiep</v>
      </c>
      <c r="C108" s="22" t="str">
        <f t="array" ref="C108">INDEX('Báo cáo 75 trang đích'!$C$2:$C$76,$A108)</f>
        <v>Business Account</v>
      </c>
      <c r="D108" s="20" t="s">
        <v>145</v>
      </c>
      <c r="E108" s="22" t="s">
        <v>291</v>
      </c>
      <c r="F108" s="22" t="s">
        <v>81</v>
      </c>
      <c r="G108" s="22" t="s">
        <v>188</v>
      </c>
      <c r="H108" s="22" t="s">
        <v>59</v>
      </c>
      <c r="I108" s="22" t="s">
        <v>59</v>
      </c>
      <c r="J108" s="22" t="s">
        <v>60</v>
      </c>
      <c r="K108" s="22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6">
        <v>6.0</v>
      </c>
      <c r="B109" s="20" t="str">
        <f t="array" ref="B109">INDEX('Báo cáo 75 trang đích'!$B$2:$B$76,$A109)</f>
        <v>https://techcombank.com/thong-tin/blog/tra-cuu-no-thue-doanh-nghiep</v>
      </c>
      <c r="C109" s="22" t="str">
        <f t="array" ref="C109">INDEX('Báo cáo 75 trang đích'!$C$2:$C$76,$A109)</f>
        <v>Business Account</v>
      </c>
      <c r="D109" s="20" t="s">
        <v>104</v>
      </c>
      <c r="E109" s="22" t="s">
        <v>100</v>
      </c>
      <c r="F109" s="22" t="s">
        <v>81</v>
      </c>
      <c r="G109" s="22" t="s">
        <v>188</v>
      </c>
      <c r="H109" s="22" t="s">
        <v>59</v>
      </c>
      <c r="I109" s="22" t="s">
        <v>59</v>
      </c>
      <c r="J109" s="22" t="s">
        <v>60</v>
      </c>
      <c r="K109" s="22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6">
        <v>6.0</v>
      </c>
      <c r="B110" s="20" t="str">
        <f t="array" ref="B110">INDEX('Báo cáo 75 trang đích'!$B$2:$B$76,$A110)</f>
        <v>https://techcombank.com/thong-tin/blog/tra-cuu-no-thue-doanh-nghiep</v>
      </c>
      <c r="C110" s="22" t="str">
        <f t="array" ref="C110">INDEX('Báo cáo 75 trang đích'!$C$2:$C$76,$A110)</f>
        <v>Business Account</v>
      </c>
      <c r="D110" s="20" t="s">
        <v>186</v>
      </c>
      <c r="E110" s="22" t="s">
        <v>288</v>
      </c>
      <c r="F110" s="22" t="s">
        <v>81</v>
      </c>
      <c r="G110" s="22" t="s">
        <v>188</v>
      </c>
      <c r="H110" s="22" t="s">
        <v>59</v>
      </c>
      <c r="I110" s="22" t="s">
        <v>59</v>
      </c>
      <c r="J110" s="22" t="s">
        <v>60</v>
      </c>
      <c r="K110" s="22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6">
        <v>6.0</v>
      </c>
      <c r="B111" s="20" t="str">
        <f t="array" ref="B111">INDEX('Báo cáo 75 trang đích'!$B$2:$B$76,$A111)</f>
        <v>https://techcombank.com/thong-tin/blog/tra-cuu-no-thue-doanh-nghiep</v>
      </c>
      <c r="C111" s="22" t="str">
        <f t="array" ref="C111">INDEX('Báo cáo 75 trang đích'!$C$2:$C$76,$A111)</f>
        <v>Business Account</v>
      </c>
      <c r="D111" s="20" t="s">
        <v>109</v>
      </c>
      <c r="E111" s="22" t="s">
        <v>291</v>
      </c>
      <c r="F111" s="22" t="s">
        <v>81</v>
      </c>
      <c r="G111" s="22" t="s">
        <v>299</v>
      </c>
      <c r="H111" s="22" t="s">
        <v>59</v>
      </c>
      <c r="I111" s="22" t="s">
        <v>59</v>
      </c>
      <c r="J111" s="22" t="s">
        <v>60</v>
      </c>
      <c r="K111" s="22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6">
        <v>6.0</v>
      </c>
      <c r="B112" s="20" t="str">
        <f t="array" ref="B112">INDEX('Báo cáo 75 trang đích'!$B$2:$B$76,$A112)</f>
        <v>https://techcombank.com/thong-tin/blog/tra-cuu-no-thue-doanh-nghiep</v>
      </c>
      <c r="C112" s="22" t="str">
        <f t="array" ref="C112">INDEX('Báo cáo 75 trang đích'!$C$2:$C$76,$A112)</f>
        <v>Business Account</v>
      </c>
      <c r="D112" s="20" t="s">
        <v>92</v>
      </c>
      <c r="E112" s="22" t="s">
        <v>100</v>
      </c>
      <c r="F112" s="22" t="s">
        <v>81</v>
      </c>
      <c r="G112" s="22" t="s">
        <v>188</v>
      </c>
      <c r="H112" s="22" t="s">
        <v>59</v>
      </c>
      <c r="I112" s="22" t="s">
        <v>59</v>
      </c>
      <c r="J112" s="22" t="s">
        <v>60</v>
      </c>
      <c r="K112" s="22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6">
        <v>7.0</v>
      </c>
      <c r="B113" s="20" t="str">
        <f t="array" ref="B113">INDEX('Báo cáo 75 trang đích'!$B$2:$B$76,$A113)</f>
        <v>https://techcombank.com/thong-tin/blog/thue-doanh-nghiep</v>
      </c>
      <c r="C113" s="22" t="str">
        <f t="array" ref="C113">INDEX('Báo cáo 75 trang đích'!$C$2:$C$76,$A113)</f>
        <v>Business Account</v>
      </c>
      <c r="D113" s="20" t="s">
        <v>186</v>
      </c>
      <c r="E113" s="22" t="s">
        <v>107</v>
      </c>
      <c r="F113" s="22" t="s">
        <v>57</v>
      </c>
      <c r="G113" s="22" t="s">
        <v>301</v>
      </c>
      <c r="H113" s="22" t="s">
        <v>59</v>
      </c>
      <c r="I113" s="22" t="s">
        <v>59</v>
      </c>
      <c r="J113" s="22" t="s">
        <v>60</v>
      </c>
      <c r="K113" s="22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6">
        <v>7.0</v>
      </c>
      <c r="B114" s="20" t="str">
        <f t="array" ref="B114">INDEX('Báo cáo 75 trang đích'!$B$2:$B$76,$A114)</f>
        <v>https://techcombank.com/thong-tin/blog/thue-doanh-nghiep</v>
      </c>
      <c r="C114" s="22" t="str">
        <f t="array" ref="C114">INDEX('Báo cáo 75 trang đích'!$C$2:$C$76,$A114)</f>
        <v>Business Account</v>
      </c>
      <c r="D114" s="20" t="s">
        <v>303</v>
      </c>
      <c r="E114" s="22" t="s">
        <v>305</v>
      </c>
      <c r="F114" s="22" t="s">
        <v>57</v>
      </c>
      <c r="G114" s="22" t="s">
        <v>306</v>
      </c>
      <c r="H114" s="22" t="s">
        <v>59</v>
      </c>
      <c r="I114" s="22" t="s">
        <v>59</v>
      </c>
      <c r="J114" s="22" t="s">
        <v>60</v>
      </c>
      <c r="K114" s="22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6">
        <v>7.0</v>
      </c>
      <c r="B115" s="20" t="str">
        <f t="array" ref="B115">INDEX('Báo cáo 75 trang đích'!$B$2:$B$76,$A115)</f>
        <v>https://techcombank.com/thong-tin/blog/thue-doanh-nghiep</v>
      </c>
      <c r="C115" s="22" t="str">
        <f t="array" ref="C115">INDEX('Báo cáo 75 trang đích'!$C$2:$C$76,$A115)</f>
        <v>Business Account</v>
      </c>
      <c r="D115" s="20" t="s">
        <v>307</v>
      </c>
      <c r="E115" s="22" t="s">
        <v>308</v>
      </c>
      <c r="F115" s="22" t="s">
        <v>57</v>
      </c>
      <c r="G115" s="22" t="s">
        <v>309</v>
      </c>
      <c r="H115" s="22" t="s">
        <v>59</v>
      </c>
      <c r="I115" s="22" t="s">
        <v>59</v>
      </c>
      <c r="J115" s="22" t="s">
        <v>60</v>
      </c>
      <c r="K115" s="22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6">
        <v>7.0</v>
      </c>
      <c r="B116" s="20" t="str">
        <f t="array" ref="B116">INDEX('Báo cáo 75 trang đích'!$B$2:$B$76,$A116)</f>
        <v>https://techcombank.com/thong-tin/blog/thue-doanh-nghiep</v>
      </c>
      <c r="C116" s="22" t="str">
        <f t="array" ref="C116">INDEX('Báo cáo 75 trang đích'!$C$2:$C$76,$A116)</f>
        <v>Business Account</v>
      </c>
      <c r="D116" s="20" t="s">
        <v>311</v>
      </c>
      <c r="E116" s="22" t="s">
        <v>107</v>
      </c>
      <c r="F116" s="22" t="s">
        <v>76</v>
      </c>
      <c r="G116" s="22" t="s">
        <v>312</v>
      </c>
      <c r="H116" s="22" t="s">
        <v>59</v>
      </c>
      <c r="I116" s="22" t="s">
        <v>59</v>
      </c>
      <c r="J116" s="22" t="s">
        <v>60</v>
      </c>
      <c r="K116" s="22" t="s">
        <v>137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6">
        <v>7.0</v>
      </c>
      <c r="B117" s="20" t="str">
        <f t="array" ref="B117">INDEX('Báo cáo 75 trang đích'!$B$2:$B$76,$A117)</f>
        <v>https://techcombank.com/thong-tin/blog/thue-doanh-nghiep</v>
      </c>
      <c r="C117" s="22" t="str">
        <f t="array" ref="C117">INDEX('Báo cáo 75 trang đích'!$C$2:$C$76,$A117)</f>
        <v>Business Account</v>
      </c>
      <c r="D117" s="20" t="s">
        <v>313</v>
      </c>
      <c r="E117" s="22" t="s">
        <v>305</v>
      </c>
      <c r="F117" s="22" t="s">
        <v>76</v>
      </c>
      <c r="G117" s="22" t="s">
        <v>314</v>
      </c>
      <c r="H117" s="22" t="s">
        <v>59</v>
      </c>
      <c r="I117" s="22" t="s">
        <v>59</v>
      </c>
      <c r="J117" s="22" t="s">
        <v>60</v>
      </c>
      <c r="K117" s="22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6">
        <v>7.0</v>
      </c>
      <c r="B118" s="20" t="str">
        <f t="array" ref="B118">INDEX('Báo cáo 75 trang đích'!$B$2:$B$76,$A118)</f>
        <v>https://techcombank.com/thong-tin/blog/thue-doanh-nghiep</v>
      </c>
      <c r="C118" s="22" t="str">
        <f t="array" ref="C118">INDEX('Báo cáo 75 trang đích'!$C$2:$C$76,$A118)</f>
        <v>Business Account</v>
      </c>
      <c r="D118" s="20" t="s">
        <v>317</v>
      </c>
      <c r="E118" s="22" t="s">
        <v>308</v>
      </c>
      <c r="F118" s="22" t="s">
        <v>81</v>
      </c>
      <c r="G118" s="22" t="s">
        <v>319</v>
      </c>
      <c r="H118" s="22" t="s">
        <v>59</v>
      </c>
      <c r="I118" s="22" t="s">
        <v>59</v>
      </c>
      <c r="J118" s="22" t="s">
        <v>60</v>
      </c>
      <c r="K118" s="22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6">
        <v>7.0</v>
      </c>
      <c r="B119" s="20" t="str">
        <f t="array" ref="B119">INDEX('Báo cáo 75 trang đích'!$B$2:$B$76,$A119)</f>
        <v>https://techcombank.com/thong-tin/blog/thue-doanh-nghiep</v>
      </c>
      <c r="C119" s="22" t="str">
        <f t="array" ref="C119">INDEX('Báo cáo 75 trang đích'!$C$2:$C$76,$A119)</f>
        <v>Business Account</v>
      </c>
      <c r="D119" s="20" t="s">
        <v>145</v>
      </c>
      <c r="E119" s="22" t="s">
        <v>107</v>
      </c>
      <c r="F119" s="22" t="s">
        <v>81</v>
      </c>
      <c r="G119" s="22" t="s">
        <v>188</v>
      </c>
      <c r="H119" s="22" t="s">
        <v>59</v>
      </c>
      <c r="I119" s="22" t="s">
        <v>59</v>
      </c>
      <c r="J119" s="22" t="s">
        <v>60</v>
      </c>
      <c r="K119" s="22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6">
        <v>7.0</v>
      </c>
      <c r="B120" s="20" t="str">
        <f t="array" ref="B120">INDEX('Báo cáo 75 trang đích'!$B$2:$B$76,$A120)</f>
        <v>https://techcombank.com/thong-tin/blog/thue-doanh-nghiep</v>
      </c>
      <c r="C120" s="22" t="str">
        <f t="array" ref="C120">INDEX('Báo cáo 75 trang đích'!$C$2:$C$76,$A120)</f>
        <v>Business Account</v>
      </c>
      <c r="D120" s="20" t="s">
        <v>321</v>
      </c>
      <c r="E120" s="22" t="s">
        <v>305</v>
      </c>
      <c r="F120" s="22" t="s">
        <v>81</v>
      </c>
      <c r="G120" s="22" t="s">
        <v>319</v>
      </c>
      <c r="H120" s="22" t="s">
        <v>59</v>
      </c>
      <c r="I120" s="22" t="s">
        <v>59</v>
      </c>
      <c r="J120" s="22" t="s">
        <v>60</v>
      </c>
      <c r="K120" s="22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6">
        <v>7.0</v>
      </c>
      <c r="B121" s="20" t="str">
        <f t="array" ref="B121">INDEX('Báo cáo 75 trang đích'!$B$2:$B$76,$A121)</f>
        <v>https://techcombank.com/thong-tin/blog/thue-doanh-nghiep</v>
      </c>
      <c r="C121" s="22" t="str">
        <f t="array" ref="C121">INDEX('Báo cáo 75 trang đích'!$C$2:$C$76,$A121)</f>
        <v>Business Account</v>
      </c>
      <c r="D121" s="20" t="s">
        <v>104</v>
      </c>
      <c r="E121" s="22" t="s">
        <v>308</v>
      </c>
      <c r="F121" s="22" t="s">
        <v>81</v>
      </c>
      <c r="G121" s="22" t="s">
        <v>188</v>
      </c>
      <c r="H121" s="22" t="s">
        <v>59</v>
      </c>
      <c r="I121" s="22" t="s">
        <v>59</v>
      </c>
      <c r="J121" s="22" t="s">
        <v>60</v>
      </c>
      <c r="K121" s="22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6">
        <v>7.0</v>
      </c>
      <c r="B122" s="20" t="str">
        <f t="array" ref="B122">INDEX('Báo cáo 75 trang đích'!$B$2:$B$76,$A122)</f>
        <v>https://techcombank.com/thong-tin/blog/thue-doanh-nghiep</v>
      </c>
      <c r="C122" s="22" t="str">
        <f t="array" ref="C122">INDEX('Báo cáo 75 trang đích'!$C$2:$C$76,$A122)</f>
        <v>Business Account</v>
      </c>
      <c r="D122" s="20" t="s">
        <v>193</v>
      </c>
      <c r="E122" s="22" t="s">
        <v>107</v>
      </c>
      <c r="F122" s="22" t="s">
        <v>81</v>
      </c>
      <c r="G122" s="22" t="s">
        <v>188</v>
      </c>
      <c r="H122" s="22" t="s">
        <v>59</v>
      </c>
      <c r="I122" s="22" t="s">
        <v>59</v>
      </c>
      <c r="J122" s="22" t="s">
        <v>60</v>
      </c>
      <c r="K122" s="22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6">
        <v>7.0</v>
      </c>
      <c r="B123" s="20" t="str">
        <f t="array" ref="B123">INDEX('Báo cáo 75 trang đích'!$B$2:$B$76,$A123)</f>
        <v>https://techcombank.com/thong-tin/blog/thue-doanh-nghiep</v>
      </c>
      <c r="C123" s="22" t="str">
        <f t="array" ref="C123">INDEX('Báo cáo 75 trang đích'!$C$2:$C$76,$A123)</f>
        <v>Business Account</v>
      </c>
      <c r="D123" s="20" t="s">
        <v>323</v>
      </c>
      <c r="E123" s="22" t="s">
        <v>305</v>
      </c>
      <c r="F123" s="22" t="s">
        <v>81</v>
      </c>
      <c r="G123" s="22" t="s">
        <v>324</v>
      </c>
      <c r="H123" s="22" t="s">
        <v>59</v>
      </c>
      <c r="I123" s="22" t="s">
        <v>59</v>
      </c>
      <c r="J123" s="22" t="s">
        <v>60</v>
      </c>
      <c r="K123" s="22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6">
        <v>7.0</v>
      </c>
      <c r="B124" s="20" t="str">
        <f t="array" ref="B124">INDEX('Báo cáo 75 trang đích'!$B$2:$B$76,$A124)</f>
        <v>https://techcombank.com/thong-tin/blog/thue-doanh-nghiep</v>
      </c>
      <c r="C124" s="22" t="str">
        <f t="array" ref="C124">INDEX('Báo cáo 75 trang đích'!$C$2:$C$76,$A124)</f>
        <v>Business Account</v>
      </c>
      <c r="D124" s="20" t="s">
        <v>325</v>
      </c>
      <c r="E124" s="22" t="s">
        <v>308</v>
      </c>
      <c r="F124" s="22" t="s">
        <v>81</v>
      </c>
      <c r="G124" s="22" t="s">
        <v>319</v>
      </c>
      <c r="H124" s="22" t="s">
        <v>59</v>
      </c>
      <c r="I124" s="22" t="s">
        <v>59</v>
      </c>
      <c r="J124" s="22" t="s">
        <v>60</v>
      </c>
      <c r="K124" s="22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6">
        <v>7.0</v>
      </c>
      <c r="B125" s="20" t="str">
        <f t="array" ref="B125">INDEX('Báo cáo 75 trang đích'!$B$2:$B$76,$A125)</f>
        <v>https://techcombank.com/thong-tin/blog/thue-doanh-nghiep</v>
      </c>
      <c r="C125" s="22" t="str">
        <f t="array" ref="C125">INDEX('Báo cáo 75 trang đích'!$C$2:$C$76,$A125)</f>
        <v>Business Account</v>
      </c>
      <c r="D125" s="20" t="s">
        <v>328</v>
      </c>
      <c r="E125" s="22" t="s">
        <v>107</v>
      </c>
      <c r="F125" s="22" t="s">
        <v>81</v>
      </c>
      <c r="G125" s="22" t="s">
        <v>329</v>
      </c>
      <c r="H125" s="22" t="s">
        <v>59</v>
      </c>
      <c r="I125" s="22" t="s">
        <v>59</v>
      </c>
      <c r="J125" s="22" t="s">
        <v>60</v>
      </c>
      <c r="K125" s="22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6">
        <v>7.0</v>
      </c>
      <c r="B126" s="20" t="str">
        <f t="array" ref="B126">INDEX('Báo cáo 75 trang đích'!$B$2:$B$76,$A126)</f>
        <v>https://techcombank.com/thong-tin/blog/thue-doanh-nghiep</v>
      </c>
      <c r="C126" s="22" t="str">
        <f t="array" ref="C126">INDEX('Báo cáo 75 trang đích'!$C$2:$C$76,$A126)</f>
        <v>Business Account</v>
      </c>
      <c r="D126" s="20" t="s">
        <v>197</v>
      </c>
      <c r="E126" s="22" t="s">
        <v>305</v>
      </c>
      <c r="F126" s="22" t="s">
        <v>81</v>
      </c>
      <c r="G126" s="22" t="s">
        <v>324</v>
      </c>
      <c r="H126" s="22" t="s">
        <v>59</v>
      </c>
      <c r="I126" s="22" t="s">
        <v>59</v>
      </c>
      <c r="J126" s="22" t="s">
        <v>60</v>
      </c>
      <c r="K126" s="22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6">
        <v>7.0</v>
      </c>
      <c r="B127" s="20" t="str">
        <f t="array" ref="B127">INDEX('Báo cáo 75 trang đích'!$B$2:$B$76,$A127)</f>
        <v>https://techcombank.com/thong-tin/blog/thue-doanh-nghiep</v>
      </c>
      <c r="C127" s="22" t="str">
        <f t="array" ref="C127">INDEX('Báo cáo 75 trang đích'!$C$2:$C$76,$A127)</f>
        <v>Business Account</v>
      </c>
      <c r="D127" s="20" t="s">
        <v>157</v>
      </c>
      <c r="E127" s="22" t="s">
        <v>308</v>
      </c>
      <c r="F127" s="22" t="s">
        <v>81</v>
      </c>
      <c r="G127" s="22" t="s">
        <v>188</v>
      </c>
      <c r="H127" s="22" t="s">
        <v>59</v>
      </c>
      <c r="I127" s="22" t="s">
        <v>59</v>
      </c>
      <c r="J127" s="22" t="s">
        <v>60</v>
      </c>
      <c r="K127" s="22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6">
        <v>7.0</v>
      </c>
      <c r="B128" s="20" t="str">
        <f t="array" ref="B128">INDEX('Báo cáo 75 trang đích'!$B$2:$B$76,$A128)</f>
        <v>https://techcombank.com/thong-tin/blog/thue-doanh-nghiep</v>
      </c>
      <c r="C128" s="22" t="str">
        <f t="array" ref="C128">INDEX('Báo cáo 75 trang đích'!$C$2:$C$76,$A128)</f>
        <v>Business Account</v>
      </c>
      <c r="D128" s="20" t="s">
        <v>118</v>
      </c>
      <c r="E128" s="22" t="s">
        <v>107</v>
      </c>
      <c r="F128" s="22" t="s">
        <v>81</v>
      </c>
      <c r="G128" s="22" t="s">
        <v>188</v>
      </c>
      <c r="H128" s="22" t="s">
        <v>59</v>
      </c>
      <c r="I128" s="22" t="s">
        <v>59</v>
      </c>
      <c r="J128" s="22" t="s">
        <v>60</v>
      </c>
      <c r="K128" s="22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6">
        <v>7.0</v>
      </c>
      <c r="B129" s="20" t="str">
        <f t="array" ref="B129">INDEX('Báo cáo 75 trang đích'!$B$2:$B$76,$A129)</f>
        <v>https://techcombank.com/thong-tin/blog/thue-doanh-nghiep</v>
      </c>
      <c r="C129" s="22" t="str">
        <f t="array" ref="C129">INDEX('Báo cáo 75 trang đích'!$C$2:$C$76,$A129)</f>
        <v>Business Account</v>
      </c>
      <c r="D129" s="20" t="s">
        <v>333</v>
      </c>
      <c r="E129" s="22" t="s">
        <v>305</v>
      </c>
      <c r="F129" s="22" t="s">
        <v>81</v>
      </c>
      <c r="G129" s="22" t="s">
        <v>319</v>
      </c>
      <c r="H129" s="22" t="s">
        <v>59</v>
      </c>
      <c r="I129" s="22" t="s">
        <v>59</v>
      </c>
      <c r="J129" s="22" t="s">
        <v>60</v>
      </c>
      <c r="K129" s="22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6">
        <v>7.0</v>
      </c>
      <c r="B130" s="20" t="str">
        <f t="array" ref="B130">INDEX('Báo cáo 75 trang đích'!$B$2:$B$76,$A130)</f>
        <v>https://techcombank.com/thong-tin/blog/thue-doanh-nghiep</v>
      </c>
      <c r="C130" s="22" t="str">
        <f t="array" ref="C130">INDEX('Báo cáo 75 trang đích'!$C$2:$C$76,$A130)</f>
        <v>Business Account</v>
      </c>
      <c r="D130" s="20" t="s">
        <v>85</v>
      </c>
      <c r="E130" s="22" t="s">
        <v>308</v>
      </c>
      <c r="F130" s="22" t="s">
        <v>81</v>
      </c>
      <c r="G130" s="22" t="s">
        <v>188</v>
      </c>
      <c r="H130" s="22" t="s">
        <v>59</v>
      </c>
      <c r="I130" s="22" t="s">
        <v>59</v>
      </c>
      <c r="J130" s="22" t="s">
        <v>60</v>
      </c>
      <c r="K130" s="22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6">
        <v>7.0</v>
      </c>
      <c r="B131" s="20" t="str">
        <f t="array" ref="B131">INDEX('Báo cáo 75 trang đích'!$B$2:$B$76,$A131)</f>
        <v>https://techcombank.com/thong-tin/blog/thue-doanh-nghiep</v>
      </c>
      <c r="C131" s="22" t="str">
        <f t="array" ref="C131">INDEX('Báo cáo 75 trang đích'!$C$2:$C$76,$A131)</f>
        <v>Business Account</v>
      </c>
      <c r="D131" s="20" t="s">
        <v>336</v>
      </c>
      <c r="E131" s="22" t="s">
        <v>107</v>
      </c>
      <c r="F131" s="22" t="s">
        <v>81</v>
      </c>
      <c r="G131" s="22" t="s">
        <v>319</v>
      </c>
      <c r="H131" s="22" t="s">
        <v>59</v>
      </c>
      <c r="I131" s="22" t="s">
        <v>59</v>
      </c>
      <c r="J131" s="22" t="s">
        <v>60</v>
      </c>
      <c r="K131" s="22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6">
        <v>8.0</v>
      </c>
      <c r="B132" s="20" t="str">
        <f t="array" ref="B132">INDEX('Báo cáo 75 trang đích'!$B$2:$B$76,$A132)</f>
        <v>https://techcombank.com/thong-tin/blog/cong-ty-su-dung-tai-khoan-ca-nhan</v>
      </c>
      <c r="C132" s="22" t="str">
        <f t="array" ref="C132">INDEX('Báo cáo 75 trang đích'!$C$2:$C$76,$A132)</f>
        <v>Business Account</v>
      </c>
      <c r="D132" s="20" t="s">
        <v>338</v>
      </c>
      <c r="E132" s="22" t="s">
        <v>113</v>
      </c>
      <c r="F132" s="22" t="s">
        <v>57</v>
      </c>
      <c r="G132" s="22" t="s">
        <v>339</v>
      </c>
      <c r="H132" s="22" t="s">
        <v>59</v>
      </c>
      <c r="I132" s="22" t="s">
        <v>59</v>
      </c>
      <c r="J132" s="22" t="s">
        <v>60</v>
      </c>
      <c r="K132" s="22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6">
        <v>8.0</v>
      </c>
      <c r="B133" s="20" t="str">
        <f t="array" ref="B133">INDEX('Báo cáo 75 trang đích'!$B$2:$B$76,$A133)</f>
        <v>https://techcombank.com/thong-tin/blog/cong-ty-su-dung-tai-khoan-ca-nhan</v>
      </c>
      <c r="C133" s="22" t="str">
        <f t="array" ref="C133">INDEX('Báo cáo 75 trang đích'!$C$2:$C$76,$A133)</f>
        <v>Business Account</v>
      </c>
      <c r="D133" s="20" t="s">
        <v>341</v>
      </c>
      <c r="E133" s="22" t="s">
        <v>342</v>
      </c>
      <c r="F133" s="22" t="s">
        <v>57</v>
      </c>
      <c r="G133" s="22" t="s">
        <v>343</v>
      </c>
      <c r="H133" s="22" t="s">
        <v>59</v>
      </c>
      <c r="I133" s="22" t="s">
        <v>59</v>
      </c>
      <c r="J133" s="22" t="s">
        <v>60</v>
      </c>
      <c r="K133" s="22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6">
        <v>8.0</v>
      </c>
      <c r="B134" s="20" t="str">
        <f t="array" ref="B134">INDEX('Báo cáo 75 trang đích'!$B$2:$B$76,$A134)</f>
        <v>https://techcombank.com/thong-tin/blog/cong-ty-su-dung-tai-khoan-ca-nhan</v>
      </c>
      <c r="C134" s="22" t="str">
        <f t="array" ref="C134">INDEX('Báo cáo 75 trang đích'!$C$2:$C$76,$A134)</f>
        <v>Business Account</v>
      </c>
      <c r="D134" s="20" t="s">
        <v>345</v>
      </c>
      <c r="E134" s="22" t="s">
        <v>113</v>
      </c>
      <c r="F134" s="22" t="s">
        <v>57</v>
      </c>
      <c r="G134" s="22" t="s">
        <v>346</v>
      </c>
      <c r="H134" s="22" t="s">
        <v>59</v>
      </c>
      <c r="I134" s="22" t="s">
        <v>59</v>
      </c>
      <c r="J134" s="22" t="s">
        <v>60</v>
      </c>
      <c r="K134" s="22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6">
        <v>8.0</v>
      </c>
      <c r="B135" s="20" t="str">
        <f t="array" ref="B135">INDEX('Báo cáo 75 trang đích'!$B$2:$B$76,$A135)</f>
        <v>https://techcombank.com/thong-tin/blog/cong-ty-su-dung-tai-khoan-ca-nhan</v>
      </c>
      <c r="C135" s="22" t="str">
        <f t="array" ref="C135">INDEX('Báo cáo 75 trang đích'!$C$2:$C$76,$A135)</f>
        <v>Business Account</v>
      </c>
      <c r="D135" s="20" t="s">
        <v>123</v>
      </c>
      <c r="E135" s="22" t="s">
        <v>342</v>
      </c>
      <c r="F135" s="22" t="s">
        <v>76</v>
      </c>
      <c r="G135" s="22" t="s">
        <v>348</v>
      </c>
      <c r="H135" s="22" t="s">
        <v>59</v>
      </c>
      <c r="I135" s="22" t="s">
        <v>59</v>
      </c>
      <c r="J135" s="22" t="s">
        <v>60</v>
      </c>
      <c r="K135" s="22" t="s">
        <v>137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6">
        <v>8.0</v>
      </c>
      <c r="B136" s="20" t="str">
        <f t="array" ref="B136">INDEX('Báo cáo 75 trang đích'!$B$2:$B$76,$A136)</f>
        <v>https://techcombank.com/thong-tin/blog/cong-ty-su-dung-tai-khoan-ca-nhan</v>
      </c>
      <c r="C136" s="22" t="str">
        <f t="array" ref="C136">INDEX('Báo cáo 75 trang đích'!$C$2:$C$76,$A136)</f>
        <v>Business Account</v>
      </c>
      <c r="D136" s="20" t="s">
        <v>350</v>
      </c>
      <c r="E136" s="22" t="s">
        <v>113</v>
      </c>
      <c r="F136" s="22" t="s">
        <v>76</v>
      </c>
      <c r="G136" s="22" t="s">
        <v>351</v>
      </c>
      <c r="H136" s="22" t="s">
        <v>59</v>
      </c>
      <c r="I136" s="22" t="s">
        <v>59</v>
      </c>
      <c r="J136" s="22" t="s">
        <v>60</v>
      </c>
      <c r="K136" s="22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6">
        <v>8.0</v>
      </c>
      <c r="B137" s="20" t="str">
        <f t="array" ref="B137">INDEX('Báo cáo 75 trang đích'!$B$2:$B$76,$A137)</f>
        <v>https://techcombank.com/thong-tin/blog/cong-ty-su-dung-tai-khoan-ca-nhan</v>
      </c>
      <c r="C137" s="22" t="str">
        <f t="array" ref="C137">INDEX('Báo cáo 75 trang đích'!$C$2:$C$76,$A137)</f>
        <v>Business Account</v>
      </c>
      <c r="D137" s="20" t="s">
        <v>353</v>
      </c>
      <c r="E137" s="22" t="s">
        <v>342</v>
      </c>
      <c r="F137" s="22" t="s">
        <v>81</v>
      </c>
      <c r="G137" s="22" t="s">
        <v>354</v>
      </c>
      <c r="H137" s="22" t="s">
        <v>59</v>
      </c>
      <c r="I137" s="22" t="s">
        <v>59</v>
      </c>
      <c r="J137" s="22" t="s">
        <v>60</v>
      </c>
      <c r="K137" s="22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6">
        <v>8.0</v>
      </c>
      <c r="B138" s="20" t="str">
        <f t="array" ref="B138">INDEX('Báo cáo 75 trang đích'!$B$2:$B$76,$A138)</f>
        <v>https://techcombank.com/thong-tin/blog/cong-ty-su-dung-tai-khoan-ca-nhan</v>
      </c>
      <c r="C138" s="22" t="str">
        <f t="array" ref="C138">INDEX('Báo cáo 75 trang đích'!$C$2:$C$76,$A138)</f>
        <v>Business Account</v>
      </c>
      <c r="D138" s="20" t="s">
        <v>356</v>
      </c>
      <c r="E138" s="22" t="s">
        <v>113</v>
      </c>
      <c r="F138" s="22" t="s">
        <v>81</v>
      </c>
      <c r="G138" s="22" t="s">
        <v>359</v>
      </c>
      <c r="H138" s="22" t="s">
        <v>59</v>
      </c>
      <c r="I138" s="22" t="s">
        <v>59</v>
      </c>
      <c r="J138" s="22" t="s">
        <v>60</v>
      </c>
      <c r="K138" s="22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6">
        <v>8.0</v>
      </c>
      <c r="B139" s="20" t="str">
        <f t="array" ref="B139">INDEX('Báo cáo 75 trang đích'!$B$2:$B$76,$A139)</f>
        <v>https://techcombank.com/thong-tin/blog/cong-ty-su-dung-tai-khoan-ca-nhan</v>
      </c>
      <c r="C139" s="22" t="str">
        <f t="array" ref="C139">INDEX('Báo cáo 75 trang đích'!$C$2:$C$76,$A139)</f>
        <v>Business Account</v>
      </c>
      <c r="D139" s="20" t="s">
        <v>360</v>
      </c>
      <c r="E139" s="22" t="s">
        <v>342</v>
      </c>
      <c r="F139" s="22" t="s">
        <v>81</v>
      </c>
      <c r="G139" s="22" t="s">
        <v>362</v>
      </c>
      <c r="H139" s="22" t="s">
        <v>59</v>
      </c>
      <c r="I139" s="22" t="s">
        <v>59</v>
      </c>
      <c r="J139" s="22" t="s">
        <v>60</v>
      </c>
      <c r="K139" s="22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6">
        <v>8.0</v>
      </c>
      <c r="B140" s="20" t="str">
        <f t="array" ref="B140">INDEX('Báo cáo 75 trang đích'!$B$2:$B$76,$A140)</f>
        <v>https://techcombank.com/thong-tin/blog/cong-ty-su-dung-tai-khoan-ca-nhan</v>
      </c>
      <c r="C140" s="22" t="str">
        <f t="array" ref="C140">INDEX('Báo cáo 75 trang đích'!$C$2:$C$76,$A140)</f>
        <v>Business Account</v>
      </c>
      <c r="D140" s="20" t="s">
        <v>363</v>
      </c>
      <c r="E140" s="22" t="s">
        <v>113</v>
      </c>
      <c r="F140" s="22" t="s">
        <v>81</v>
      </c>
      <c r="G140" s="22" t="s">
        <v>362</v>
      </c>
      <c r="H140" s="22" t="s">
        <v>59</v>
      </c>
      <c r="I140" s="22" t="s">
        <v>59</v>
      </c>
      <c r="J140" s="22" t="s">
        <v>60</v>
      </c>
      <c r="K140" s="22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6">
        <v>8.0</v>
      </c>
      <c r="B141" s="20" t="str">
        <f t="array" ref="B141">INDEX('Báo cáo 75 trang đích'!$B$2:$B$76,$A141)</f>
        <v>https://techcombank.com/thong-tin/blog/cong-ty-su-dung-tai-khoan-ca-nhan</v>
      </c>
      <c r="C141" s="22" t="str">
        <f t="array" ref="C141">INDEX('Báo cáo 75 trang đích'!$C$2:$C$76,$A141)</f>
        <v>Business Account</v>
      </c>
      <c r="D141" s="20" t="s">
        <v>365</v>
      </c>
      <c r="E141" s="22" t="s">
        <v>342</v>
      </c>
      <c r="F141" s="22" t="s">
        <v>81</v>
      </c>
      <c r="G141" s="22" t="s">
        <v>362</v>
      </c>
      <c r="H141" s="22" t="s">
        <v>59</v>
      </c>
      <c r="I141" s="22" t="s">
        <v>59</v>
      </c>
      <c r="J141" s="22" t="s">
        <v>60</v>
      </c>
      <c r="K141" s="22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6">
        <v>8.0</v>
      </c>
      <c r="B142" s="20" t="str">
        <f t="array" ref="B142">INDEX('Báo cáo 75 trang đích'!$B$2:$B$76,$A142)</f>
        <v>https://techcombank.com/thong-tin/blog/cong-ty-su-dung-tai-khoan-ca-nhan</v>
      </c>
      <c r="C142" s="22" t="str">
        <f t="array" ref="C142">INDEX('Báo cáo 75 trang đích'!$C$2:$C$76,$A142)</f>
        <v>Business Account</v>
      </c>
      <c r="D142" s="20" t="s">
        <v>368</v>
      </c>
      <c r="E142" s="22" t="s">
        <v>113</v>
      </c>
      <c r="F142" s="22" t="s">
        <v>81</v>
      </c>
      <c r="G142" s="22" t="s">
        <v>362</v>
      </c>
      <c r="H142" s="22" t="s">
        <v>59</v>
      </c>
      <c r="I142" s="22" t="s">
        <v>59</v>
      </c>
      <c r="J142" s="22" t="s">
        <v>60</v>
      </c>
      <c r="K142" s="22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6">
        <v>8.0</v>
      </c>
      <c r="B143" s="20" t="str">
        <f t="array" ref="B143">INDEX('Báo cáo 75 trang đích'!$B$2:$B$76,$A143)</f>
        <v>https://techcombank.com/thong-tin/blog/cong-ty-su-dung-tai-khoan-ca-nhan</v>
      </c>
      <c r="C143" s="22" t="str">
        <f t="array" ref="C143">INDEX('Báo cáo 75 trang đích'!$C$2:$C$76,$A143)</f>
        <v>Business Account</v>
      </c>
      <c r="D143" s="20" t="s">
        <v>369</v>
      </c>
      <c r="E143" s="22" t="s">
        <v>342</v>
      </c>
      <c r="F143" s="22" t="s">
        <v>81</v>
      </c>
      <c r="G143" s="22" t="s">
        <v>372</v>
      </c>
      <c r="H143" s="22" t="s">
        <v>59</v>
      </c>
      <c r="I143" s="22" t="s">
        <v>59</v>
      </c>
      <c r="J143" s="22" t="s">
        <v>60</v>
      </c>
      <c r="K143" s="22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6">
        <v>8.0</v>
      </c>
      <c r="B144" s="20" t="str">
        <f t="array" ref="B144">INDEX('Báo cáo 75 trang đích'!$B$2:$B$76,$A144)</f>
        <v>https://techcombank.com/thong-tin/blog/cong-ty-su-dung-tai-khoan-ca-nhan</v>
      </c>
      <c r="C144" s="22" t="str">
        <f t="array" ref="C144">INDEX('Báo cáo 75 trang đích'!$C$2:$C$76,$A144)</f>
        <v>Business Account</v>
      </c>
      <c r="D144" s="20" t="s">
        <v>373</v>
      </c>
      <c r="E144" s="22" t="s">
        <v>113</v>
      </c>
      <c r="F144" s="22" t="s">
        <v>81</v>
      </c>
      <c r="G144" s="22" t="s">
        <v>354</v>
      </c>
      <c r="H144" s="22" t="s">
        <v>59</v>
      </c>
      <c r="I144" s="22" t="s">
        <v>59</v>
      </c>
      <c r="J144" s="22" t="s">
        <v>60</v>
      </c>
      <c r="K144" s="22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6">
        <v>9.0</v>
      </c>
      <c r="B145" s="20" t="str">
        <f t="array" ref="B145">INDEX('Báo cáo 75 trang đích'!$B$2:$B$76,$A145)</f>
        <v>https://techcombank.com/thong-tin/blog/cach-tinh-thue-thu-nhap-doanh-nghiep</v>
      </c>
      <c r="C145" s="22" t="str">
        <f t="array" ref="C145">INDEX('Báo cáo 75 trang đích'!$C$2:$C$76,$A145)</f>
        <v>Business Account</v>
      </c>
      <c r="D145" s="20" t="s">
        <v>167</v>
      </c>
      <c r="E145" s="22" t="s">
        <v>117</v>
      </c>
      <c r="F145" s="22" t="s">
        <v>57</v>
      </c>
      <c r="G145" s="22" t="s">
        <v>375</v>
      </c>
      <c r="H145" s="22" t="s">
        <v>59</v>
      </c>
      <c r="I145" s="22" t="s">
        <v>59</v>
      </c>
      <c r="J145" s="22" t="s">
        <v>60</v>
      </c>
      <c r="K145" s="22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6">
        <v>9.0</v>
      </c>
      <c r="B146" s="20" t="str">
        <f t="array" ref="B146">INDEX('Báo cáo 75 trang đích'!$B$2:$B$76,$A146)</f>
        <v>https://techcombank.com/thong-tin/blog/cach-tinh-thue-thu-nhap-doanh-nghiep</v>
      </c>
      <c r="C146" s="22" t="str">
        <f t="array" ref="C146">INDEX('Báo cáo 75 trang đích'!$C$2:$C$76,$A146)</f>
        <v>Business Account</v>
      </c>
      <c r="D146" s="20" t="s">
        <v>376</v>
      </c>
      <c r="E146" s="22" t="s">
        <v>378</v>
      </c>
      <c r="F146" s="22" t="s">
        <v>57</v>
      </c>
      <c r="G146" s="22" t="s">
        <v>379</v>
      </c>
      <c r="H146" s="22" t="s">
        <v>59</v>
      </c>
      <c r="I146" s="22" t="s">
        <v>59</v>
      </c>
      <c r="J146" s="22" t="s">
        <v>60</v>
      </c>
      <c r="K146" s="22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6">
        <v>9.0</v>
      </c>
      <c r="B147" s="20" t="str">
        <f t="array" ref="B147">INDEX('Báo cáo 75 trang đích'!$B$2:$B$76,$A147)</f>
        <v>https://techcombank.com/thong-tin/blog/cach-tinh-thue-thu-nhap-doanh-nghiep</v>
      </c>
      <c r="C147" s="22" t="str">
        <f t="array" ref="C147">INDEX('Báo cáo 75 trang đích'!$C$2:$C$76,$A147)</f>
        <v>Business Account</v>
      </c>
      <c r="D147" s="20" t="s">
        <v>191</v>
      </c>
      <c r="E147" s="22" t="s">
        <v>380</v>
      </c>
      <c r="F147" s="22" t="s">
        <v>76</v>
      </c>
      <c r="G147" s="22" t="s">
        <v>381</v>
      </c>
      <c r="H147" s="22" t="s">
        <v>59</v>
      </c>
      <c r="I147" s="22" t="s">
        <v>59</v>
      </c>
      <c r="J147" s="22" t="s">
        <v>60</v>
      </c>
      <c r="K147" s="22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6">
        <v>9.0</v>
      </c>
      <c r="B148" s="20" t="str">
        <f t="array" ref="B148">INDEX('Báo cáo 75 trang đích'!$B$2:$B$76,$A148)</f>
        <v>https://techcombank.com/thong-tin/blog/cach-tinh-thue-thu-nhap-doanh-nghiep</v>
      </c>
      <c r="C148" s="22" t="str">
        <f t="array" ref="C148">INDEX('Báo cáo 75 trang đích'!$C$2:$C$76,$A148)</f>
        <v>Business Account</v>
      </c>
      <c r="D148" s="20" t="s">
        <v>383</v>
      </c>
      <c r="E148" s="22" t="s">
        <v>117</v>
      </c>
      <c r="F148" s="22" t="s">
        <v>76</v>
      </c>
      <c r="G148" s="22" t="s">
        <v>384</v>
      </c>
      <c r="H148" s="22" t="s">
        <v>59</v>
      </c>
      <c r="I148" s="22" t="s">
        <v>59</v>
      </c>
      <c r="J148" s="22" t="s">
        <v>60</v>
      </c>
      <c r="K148" s="22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6">
        <v>9.0</v>
      </c>
      <c r="B149" s="20" t="str">
        <f t="array" ref="B149">INDEX('Báo cáo 75 trang đích'!$B$2:$B$76,$A149)</f>
        <v>https://techcombank.com/thong-tin/blog/cach-tinh-thue-thu-nhap-doanh-nghiep</v>
      </c>
      <c r="C149" s="22" t="str">
        <f t="array" ref="C149">INDEX('Báo cáo 75 trang đích'!$C$2:$C$76,$A149)</f>
        <v>Business Account</v>
      </c>
      <c r="D149" s="20" t="s">
        <v>328</v>
      </c>
      <c r="E149" s="22" t="s">
        <v>378</v>
      </c>
      <c r="F149" s="22" t="s">
        <v>76</v>
      </c>
      <c r="G149" s="22" t="s">
        <v>386</v>
      </c>
      <c r="H149" s="22" t="s">
        <v>59</v>
      </c>
      <c r="I149" s="22" t="s">
        <v>59</v>
      </c>
      <c r="J149" s="22" t="s">
        <v>60</v>
      </c>
      <c r="K149" s="22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6">
        <v>9.0</v>
      </c>
      <c r="B150" s="20" t="str">
        <f t="array" ref="B150">INDEX('Báo cáo 75 trang đích'!$B$2:$B$76,$A150)</f>
        <v>https://techcombank.com/thong-tin/blog/cach-tinh-thue-thu-nhap-doanh-nghiep</v>
      </c>
      <c r="C150" s="22" t="str">
        <f t="array" ref="C150">INDEX('Báo cáo 75 trang đích'!$C$2:$C$76,$A150)</f>
        <v>Business Account</v>
      </c>
      <c r="D150" s="20" t="s">
        <v>388</v>
      </c>
      <c r="E150" s="22" t="s">
        <v>380</v>
      </c>
      <c r="F150" s="22" t="s">
        <v>81</v>
      </c>
      <c r="G150" s="22" t="s">
        <v>389</v>
      </c>
      <c r="H150" s="22" t="s">
        <v>59</v>
      </c>
      <c r="I150" s="22" t="s">
        <v>59</v>
      </c>
      <c r="J150" s="22" t="s">
        <v>60</v>
      </c>
      <c r="K150" s="22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6">
        <v>9.0</v>
      </c>
      <c r="B151" s="20" t="str">
        <f t="array" ref="B151">INDEX('Báo cáo 75 trang đích'!$B$2:$B$76,$A151)</f>
        <v>https://techcombank.com/thong-tin/blog/cach-tinh-thue-thu-nhap-doanh-nghiep</v>
      </c>
      <c r="C151" s="22" t="str">
        <f t="array" ref="C151">INDEX('Báo cáo 75 trang đích'!$C$2:$C$76,$A151)</f>
        <v>Business Account</v>
      </c>
      <c r="D151" s="20" t="s">
        <v>180</v>
      </c>
      <c r="E151" s="22" t="s">
        <v>117</v>
      </c>
      <c r="F151" s="22" t="s">
        <v>81</v>
      </c>
      <c r="G151" s="22" t="s">
        <v>192</v>
      </c>
      <c r="H151" s="22" t="s">
        <v>59</v>
      </c>
      <c r="I151" s="22" t="s">
        <v>59</v>
      </c>
      <c r="J151" s="22" t="s">
        <v>60</v>
      </c>
      <c r="K151" s="22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6">
        <v>9.0</v>
      </c>
      <c r="B152" s="20" t="str">
        <f t="array" ref="B152">INDEX('Báo cáo 75 trang đích'!$B$2:$B$76,$A152)</f>
        <v>https://techcombank.com/thong-tin/blog/cach-tinh-thue-thu-nhap-doanh-nghiep</v>
      </c>
      <c r="C152" s="22" t="str">
        <f t="array" ref="C152">INDEX('Báo cáo 75 trang đích'!$C$2:$C$76,$A152)</f>
        <v>Business Account</v>
      </c>
      <c r="D152" s="20" t="s">
        <v>92</v>
      </c>
      <c r="E152" s="22" t="s">
        <v>378</v>
      </c>
      <c r="F152" s="22" t="s">
        <v>81</v>
      </c>
      <c r="G152" s="22" t="s">
        <v>199</v>
      </c>
      <c r="H152" s="22" t="s">
        <v>59</v>
      </c>
      <c r="I152" s="22" t="s">
        <v>59</v>
      </c>
      <c r="J152" s="22" t="s">
        <v>60</v>
      </c>
      <c r="K152" s="22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6">
        <v>9.0</v>
      </c>
      <c r="B153" s="20" t="str">
        <f t="array" ref="B153">INDEX('Báo cáo 75 trang đích'!$B$2:$B$76,$A153)</f>
        <v>https://techcombank.com/thong-tin/blog/cach-tinh-thue-thu-nhap-doanh-nghiep</v>
      </c>
      <c r="C153" s="22" t="str">
        <f t="array" ref="C153">INDEX('Báo cáo 75 trang đích'!$C$2:$C$76,$A153)</f>
        <v>Business Account</v>
      </c>
      <c r="D153" s="20" t="s">
        <v>197</v>
      </c>
      <c r="E153" s="22" t="s">
        <v>380</v>
      </c>
      <c r="F153" s="22" t="s">
        <v>81</v>
      </c>
      <c r="G153" s="22" t="s">
        <v>199</v>
      </c>
      <c r="H153" s="22" t="s">
        <v>59</v>
      </c>
      <c r="I153" s="22" t="s">
        <v>59</v>
      </c>
      <c r="J153" s="22" t="s">
        <v>60</v>
      </c>
      <c r="K153" s="22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6">
        <v>9.0</v>
      </c>
      <c r="B154" s="20" t="str">
        <f t="array" ref="B154">INDEX('Báo cáo 75 trang đích'!$B$2:$B$76,$A154)</f>
        <v>https://techcombank.com/thong-tin/blog/cach-tinh-thue-thu-nhap-doanh-nghiep</v>
      </c>
      <c r="C154" s="22" t="str">
        <f t="array" ref="C154">INDEX('Báo cáo 75 trang đích'!$C$2:$C$76,$A154)</f>
        <v>Business Account</v>
      </c>
      <c r="D154" s="20" t="s">
        <v>74</v>
      </c>
      <c r="E154" s="22" t="s">
        <v>117</v>
      </c>
      <c r="F154" s="22" t="s">
        <v>81</v>
      </c>
      <c r="G154" s="22" t="s">
        <v>392</v>
      </c>
      <c r="H154" s="22" t="s">
        <v>59</v>
      </c>
      <c r="I154" s="22" t="s">
        <v>59</v>
      </c>
      <c r="J154" s="22" t="s">
        <v>60</v>
      </c>
      <c r="K154" s="22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6">
        <v>9.0</v>
      </c>
      <c r="B155" s="20" t="str">
        <f t="array" ref="B155">INDEX('Báo cáo 75 trang đích'!$B$2:$B$76,$A155)</f>
        <v>https://techcombank.com/thong-tin/blog/cach-tinh-thue-thu-nhap-doanh-nghiep</v>
      </c>
      <c r="C155" s="22" t="str">
        <f t="array" ref="C155">INDEX('Báo cáo 75 trang đích'!$C$2:$C$76,$A155)</f>
        <v>Business Account</v>
      </c>
      <c r="D155" s="20" t="s">
        <v>200</v>
      </c>
      <c r="E155" s="22" t="s">
        <v>378</v>
      </c>
      <c r="F155" s="22" t="s">
        <v>81</v>
      </c>
      <c r="G155" s="22" t="s">
        <v>192</v>
      </c>
      <c r="H155" s="22" t="s">
        <v>59</v>
      </c>
      <c r="I155" s="22" t="s">
        <v>59</v>
      </c>
      <c r="J155" s="22" t="s">
        <v>60</v>
      </c>
      <c r="K155" s="22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6">
        <v>9.0</v>
      </c>
      <c r="B156" s="20" t="str">
        <f t="array" ref="B156">INDEX('Báo cáo 75 trang đích'!$B$2:$B$76,$A156)</f>
        <v>https://techcombank.com/thong-tin/blog/cach-tinh-thue-thu-nhap-doanh-nghiep</v>
      </c>
      <c r="C156" s="22" t="str">
        <f t="array" ref="C156">INDEX('Báo cáo 75 trang đích'!$C$2:$C$76,$A156)</f>
        <v>Business Account</v>
      </c>
      <c r="D156" s="20" t="s">
        <v>203</v>
      </c>
      <c r="E156" s="22" t="s">
        <v>380</v>
      </c>
      <c r="F156" s="22" t="s">
        <v>81</v>
      </c>
      <c r="G156" s="22" t="s">
        <v>192</v>
      </c>
      <c r="H156" s="22" t="s">
        <v>59</v>
      </c>
      <c r="I156" s="22" t="s">
        <v>59</v>
      </c>
      <c r="J156" s="22" t="s">
        <v>60</v>
      </c>
      <c r="K156" s="22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6">
        <v>9.0</v>
      </c>
      <c r="B157" s="20" t="str">
        <f t="array" ref="B157">INDEX('Báo cáo 75 trang đích'!$B$2:$B$76,$A157)</f>
        <v>https://techcombank.com/thong-tin/blog/cach-tinh-thue-thu-nhap-doanh-nghiep</v>
      </c>
      <c r="C157" s="22" t="str">
        <f t="array" ref="C157">INDEX('Báo cáo 75 trang đích'!$C$2:$C$76,$A157)</f>
        <v>Business Account</v>
      </c>
      <c r="D157" s="20" t="s">
        <v>206</v>
      </c>
      <c r="E157" s="22" t="s">
        <v>117</v>
      </c>
      <c r="F157" s="22" t="s">
        <v>81</v>
      </c>
      <c r="G157" s="22" t="s">
        <v>192</v>
      </c>
      <c r="H157" s="22" t="s">
        <v>59</v>
      </c>
      <c r="I157" s="22" t="s">
        <v>59</v>
      </c>
      <c r="J157" s="22" t="s">
        <v>60</v>
      </c>
      <c r="K157" s="22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6">
        <v>9.0</v>
      </c>
      <c r="B158" s="20" t="str">
        <f t="array" ref="B158">INDEX('Báo cáo 75 trang đích'!$B$2:$B$76,$A158)</f>
        <v>https://techcombank.com/thong-tin/blog/cach-tinh-thue-thu-nhap-doanh-nghiep</v>
      </c>
      <c r="C158" s="22" t="str">
        <f t="array" ref="C158">INDEX('Báo cáo 75 trang đích'!$C$2:$C$76,$A158)</f>
        <v>Business Account</v>
      </c>
      <c r="D158" s="20" t="s">
        <v>208</v>
      </c>
      <c r="E158" s="22" t="s">
        <v>378</v>
      </c>
      <c r="F158" s="22" t="s">
        <v>81</v>
      </c>
      <c r="G158" s="22" t="s">
        <v>192</v>
      </c>
      <c r="H158" s="22" t="s">
        <v>59</v>
      </c>
      <c r="I158" s="22" t="s">
        <v>59</v>
      </c>
      <c r="J158" s="22" t="s">
        <v>60</v>
      </c>
      <c r="K158" s="22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6">
        <v>9.0</v>
      </c>
      <c r="B159" s="20" t="str">
        <f t="array" ref="B159">INDEX('Báo cáo 75 trang đích'!$B$2:$B$76,$A159)</f>
        <v>https://techcombank.com/thong-tin/blog/cach-tinh-thue-thu-nhap-doanh-nghiep</v>
      </c>
      <c r="C159" s="22" t="str">
        <f t="array" ref="C159">INDEX('Báo cáo 75 trang đích'!$C$2:$C$76,$A159)</f>
        <v>Business Account</v>
      </c>
      <c r="D159" s="20" t="s">
        <v>210</v>
      </c>
      <c r="E159" s="22" t="s">
        <v>380</v>
      </c>
      <c r="F159" s="22" t="s">
        <v>81</v>
      </c>
      <c r="G159" s="22" t="s">
        <v>192</v>
      </c>
      <c r="H159" s="22" t="s">
        <v>59</v>
      </c>
      <c r="I159" s="22" t="s">
        <v>59</v>
      </c>
      <c r="J159" s="22" t="s">
        <v>60</v>
      </c>
      <c r="K159" s="22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6">
        <v>9.0</v>
      </c>
      <c r="B160" s="20" t="str">
        <f t="array" ref="B160">INDEX('Báo cáo 75 trang đích'!$B$2:$B$76,$A160)</f>
        <v>https://techcombank.com/thong-tin/blog/cach-tinh-thue-thu-nhap-doanh-nghiep</v>
      </c>
      <c r="C160" s="22" t="str">
        <f t="array" ref="C160">INDEX('Báo cáo 75 trang đích'!$C$2:$C$76,$A160)</f>
        <v>Business Account</v>
      </c>
      <c r="D160" s="20" t="s">
        <v>212</v>
      </c>
      <c r="E160" s="22" t="s">
        <v>117</v>
      </c>
      <c r="F160" s="22" t="s">
        <v>81</v>
      </c>
      <c r="G160" s="22" t="s">
        <v>192</v>
      </c>
      <c r="H160" s="22" t="s">
        <v>59</v>
      </c>
      <c r="I160" s="22" t="s">
        <v>59</v>
      </c>
      <c r="J160" s="22" t="s">
        <v>60</v>
      </c>
      <c r="K160" s="22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6">
        <v>9.0</v>
      </c>
      <c r="B161" s="20" t="str">
        <f t="array" ref="B161">INDEX('Báo cáo 75 trang đích'!$B$2:$B$76,$A161)</f>
        <v>https://techcombank.com/thong-tin/blog/cach-tinh-thue-thu-nhap-doanh-nghiep</v>
      </c>
      <c r="C161" s="22" t="str">
        <f t="array" ref="C161">INDEX('Báo cáo 75 trang đích'!$C$2:$C$76,$A161)</f>
        <v>Business Account</v>
      </c>
      <c r="D161" s="20" t="s">
        <v>214</v>
      </c>
      <c r="E161" s="22" t="s">
        <v>378</v>
      </c>
      <c r="F161" s="22" t="s">
        <v>81</v>
      </c>
      <c r="G161" s="22" t="s">
        <v>192</v>
      </c>
      <c r="H161" s="22" t="s">
        <v>59</v>
      </c>
      <c r="I161" s="22" t="s">
        <v>59</v>
      </c>
      <c r="J161" s="22" t="s">
        <v>60</v>
      </c>
      <c r="K161" s="22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6">
        <v>9.0</v>
      </c>
      <c r="B162" s="20" t="str">
        <f t="array" ref="B162">INDEX('Báo cáo 75 trang đích'!$B$2:$B$76,$A162)</f>
        <v>https://techcombank.com/thong-tin/blog/cach-tinh-thue-thu-nhap-doanh-nghiep</v>
      </c>
      <c r="C162" s="22" t="str">
        <f t="array" ref="C162">INDEX('Báo cáo 75 trang đích'!$C$2:$C$76,$A162)</f>
        <v>Business Account</v>
      </c>
      <c r="D162" s="20" t="s">
        <v>216</v>
      </c>
      <c r="E162" s="22" t="s">
        <v>380</v>
      </c>
      <c r="F162" s="22" t="s">
        <v>81</v>
      </c>
      <c r="G162" s="22" t="s">
        <v>192</v>
      </c>
      <c r="H162" s="22" t="s">
        <v>59</v>
      </c>
      <c r="I162" s="22" t="s">
        <v>59</v>
      </c>
      <c r="J162" s="22" t="s">
        <v>60</v>
      </c>
      <c r="K162" s="22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6">
        <v>9.0</v>
      </c>
      <c r="B163" s="20" t="str">
        <f t="array" ref="B163">INDEX('Báo cáo 75 trang đích'!$B$2:$B$76,$A163)</f>
        <v>https://techcombank.com/thong-tin/blog/cach-tinh-thue-thu-nhap-doanh-nghiep</v>
      </c>
      <c r="C163" s="22" t="str">
        <f t="array" ref="C163">INDEX('Báo cáo 75 trang đích'!$C$2:$C$76,$A163)</f>
        <v>Business Account</v>
      </c>
      <c r="D163" s="20" t="s">
        <v>217</v>
      </c>
      <c r="E163" s="22" t="s">
        <v>117</v>
      </c>
      <c r="F163" s="22" t="s">
        <v>81</v>
      </c>
      <c r="G163" s="22" t="s">
        <v>192</v>
      </c>
      <c r="H163" s="22" t="s">
        <v>59</v>
      </c>
      <c r="I163" s="22" t="s">
        <v>59</v>
      </c>
      <c r="J163" s="22" t="s">
        <v>60</v>
      </c>
      <c r="K163" s="22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6">
        <v>9.0</v>
      </c>
      <c r="B164" s="20" t="str">
        <f t="array" ref="B164">INDEX('Báo cáo 75 trang đích'!$B$2:$B$76,$A164)</f>
        <v>https://techcombank.com/thong-tin/blog/cach-tinh-thue-thu-nhap-doanh-nghiep</v>
      </c>
      <c r="C164" s="22" t="str">
        <f t="array" ref="C164">INDEX('Báo cáo 75 trang đích'!$C$2:$C$76,$A164)</f>
        <v>Business Account</v>
      </c>
      <c r="D164" s="20" t="s">
        <v>221</v>
      </c>
      <c r="E164" s="22" t="s">
        <v>378</v>
      </c>
      <c r="F164" s="22" t="s">
        <v>81</v>
      </c>
      <c r="G164" s="22" t="s">
        <v>192</v>
      </c>
      <c r="H164" s="22" t="s">
        <v>59</v>
      </c>
      <c r="I164" s="22" t="s">
        <v>59</v>
      </c>
      <c r="J164" s="22" t="s">
        <v>60</v>
      </c>
      <c r="K164" s="22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6">
        <v>9.0</v>
      </c>
      <c r="B165" s="20" t="str">
        <f t="array" ref="B165">INDEX('Báo cáo 75 trang đích'!$B$2:$B$76,$A165)</f>
        <v>https://techcombank.com/thong-tin/blog/cach-tinh-thue-thu-nhap-doanh-nghiep</v>
      </c>
      <c r="C165" s="22" t="str">
        <f t="array" ref="C165">INDEX('Báo cáo 75 trang đích'!$C$2:$C$76,$A165)</f>
        <v>Business Account</v>
      </c>
      <c r="D165" s="20" t="s">
        <v>223</v>
      </c>
      <c r="E165" s="22" t="s">
        <v>380</v>
      </c>
      <c r="F165" s="22" t="s">
        <v>81</v>
      </c>
      <c r="G165" s="22" t="s">
        <v>192</v>
      </c>
      <c r="H165" s="22" t="s">
        <v>59</v>
      </c>
      <c r="I165" s="22" t="s">
        <v>59</v>
      </c>
      <c r="J165" s="22" t="s">
        <v>60</v>
      </c>
      <c r="K165" s="22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6">
        <v>9.0</v>
      </c>
      <c r="B166" s="20" t="str">
        <f t="array" ref="B166">INDEX('Báo cáo 75 trang đích'!$B$2:$B$76,$A166)</f>
        <v>https://techcombank.com/thong-tin/blog/cach-tinh-thue-thu-nhap-doanh-nghiep</v>
      </c>
      <c r="C166" s="22" t="str">
        <f t="array" ref="C166">INDEX('Báo cáo 75 trang đích'!$C$2:$C$76,$A166)</f>
        <v>Business Account</v>
      </c>
      <c r="D166" s="20" t="s">
        <v>225</v>
      </c>
      <c r="E166" s="22" t="s">
        <v>117</v>
      </c>
      <c r="F166" s="22" t="s">
        <v>81</v>
      </c>
      <c r="G166" s="22" t="s">
        <v>192</v>
      </c>
      <c r="H166" s="22" t="s">
        <v>59</v>
      </c>
      <c r="I166" s="22" t="s">
        <v>59</v>
      </c>
      <c r="J166" s="22" t="s">
        <v>60</v>
      </c>
      <c r="K166" s="22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6">
        <v>9.0</v>
      </c>
      <c r="B167" s="20" t="str">
        <f t="array" ref="B167">INDEX('Báo cáo 75 trang đích'!$B$2:$B$76,$A167)</f>
        <v>https://techcombank.com/thong-tin/blog/cach-tinh-thue-thu-nhap-doanh-nghiep</v>
      </c>
      <c r="C167" s="22" t="str">
        <f t="array" ref="C167">INDEX('Báo cáo 75 trang đích'!$C$2:$C$76,$A167)</f>
        <v>Business Account</v>
      </c>
      <c r="D167" s="20" t="s">
        <v>226</v>
      </c>
      <c r="E167" s="22" t="s">
        <v>378</v>
      </c>
      <c r="F167" s="22" t="s">
        <v>81</v>
      </c>
      <c r="G167" s="22" t="s">
        <v>192</v>
      </c>
      <c r="H167" s="22" t="s">
        <v>59</v>
      </c>
      <c r="I167" s="22" t="s">
        <v>59</v>
      </c>
      <c r="J167" s="22" t="s">
        <v>60</v>
      </c>
      <c r="K167" s="22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6">
        <v>9.0</v>
      </c>
      <c r="B168" s="20" t="str">
        <f t="array" ref="B168">INDEX('Báo cáo 75 trang đích'!$B$2:$B$76,$A168)</f>
        <v>https://techcombank.com/thong-tin/blog/cach-tinh-thue-thu-nhap-doanh-nghiep</v>
      </c>
      <c r="C168" s="22" t="str">
        <f t="array" ref="C168">INDEX('Báo cáo 75 trang đích'!$C$2:$C$76,$A168)</f>
        <v>Business Account</v>
      </c>
      <c r="D168" s="20" t="s">
        <v>230</v>
      </c>
      <c r="E168" s="22" t="s">
        <v>380</v>
      </c>
      <c r="F168" s="22" t="s">
        <v>81</v>
      </c>
      <c r="G168" s="22" t="s">
        <v>192</v>
      </c>
      <c r="H168" s="22" t="s">
        <v>59</v>
      </c>
      <c r="I168" s="22" t="s">
        <v>59</v>
      </c>
      <c r="J168" s="22" t="s">
        <v>60</v>
      </c>
      <c r="K168" s="22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6">
        <v>9.0</v>
      </c>
      <c r="B169" s="20" t="str">
        <f t="array" ref="B169">INDEX('Báo cáo 75 trang đích'!$B$2:$B$76,$A169)</f>
        <v>https://techcombank.com/thong-tin/blog/cach-tinh-thue-thu-nhap-doanh-nghiep</v>
      </c>
      <c r="C169" s="22" t="str">
        <f t="array" ref="C169">INDEX('Báo cáo 75 trang đích'!$C$2:$C$76,$A169)</f>
        <v>Business Account</v>
      </c>
      <c r="D169" s="20" t="s">
        <v>233</v>
      </c>
      <c r="E169" s="22" t="s">
        <v>117</v>
      </c>
      <c r="F169" s="22" t="s">
        <v>81</v>
      </c>
      <c r="G169" s="22" t="s">
        <v>192</v>
      </c>
      <c r="H169" s="22" t="s">
        <v>59</v>
      </c>
      <c r="I169" s="22" t="s">
        <v>59</v>
      </c>
      <c r="J169" s="22" t="s">
        <v>60</v>
      </c>
      <c r="K169" s="22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6">
        <v>10.0</v>
      </c>
      <c r="B170" s="20" t="str">
        <f t="array" ref="B170">INDEX('Báo cáo 75 trang đích'!$B$2:$B$76,$A170)</f>
        <v>https://techcombank.com/thong-tin/blog/cach-nap-the-viettel</v>
      </c>
      <c r="C170" s="22" t="str">
        <f t="array" ref="C170">INDEX('Báo cáo 75 trang đích'!$C$2:$C$76,$A170)</f>
        <v>CASA</v>
      </c>
      <c r="D170" s="20" t="s">
        <v>402</v>
      </c>
      <c r="E170" s="22" t="s">
        <v>120</v>
      </c>
      <c r="F170" s="22" t="s">
        <v>57</v>
      </c>
      <c r="G170" s="22" t="s">
        <v>403</v>
      </c>
      <c r="H170" s="22" t="s">
        <v>59</v>
      </c>
      <c r="I170" s="22" t="s">
        <v>59</v>
      </c>
      <c r="J170" s="22" t="s">
        <v>60</v>
      </c>
      <c r="K170" s="22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6">
        <v>10.0</v>
      </c>
      <c r="B171" s="20" t="str">
        <f t="array" ref="B171">INDEX('Báo cáo 75 trang đích'!$B$2:$B$76,$A171)</f>
        <v>https://techcombank.com/thong-tin/blog/cach-nap-the-viettel</v>
      </c>
      <c r="C171" s="22" t="str">
        <f t="array" ref="C171">INDEX('Báo cáo 75 trang đích'!$C$2:$C$76,$A171)</f>
        <v>CASA</v>
      </c>
      <c r="D171" s="20" t="s">
        <v>404</v>
      </c>
      <c r="E171" s="22" t="s">
        <v>406</v>
      </c>
      <c r="F171" s="22" t="s">
        <v>57</v>
      </c>
      <c r="G171" s="22" t="s">
        <v>407</v>
      </c>
      <c r="H171" s="22" t="s">
        <v>59</v>
      </c>
      <c r="I171" s="22" t="s">
        <v>59</v>
      </c>
      <c r="J171" s="22" t="s">
        <v>60</v>
      </c>
      <c r="K171" s="22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6">
        <v>10.0</v>
      </c>
      <c r="B172" s="20" t="str">
        <f t="array" ref="B172">INDEX('Báo cáo 75 trang đích'!$B$2:$B$76,$A172)</f>
        <v>https://techcombank.com/thong-tin/blog/cach-nap-the-viettel</v>
      </c>
      <c r="C172" s="22" t="str">
        <f t="array" ref="C172">INDEX('Báo cáo 75 trang đích'!$C$2:$C$76,$A172)</f>
        <v>CASA</v>
      </c>
      <c r="D172" s="20" t="s">
        <v>408</v>
      </c>
      <c r="E172" s="22" t="s">
        <v>409</v>
      </c>
      <c r="F172" s="22" t="s">
        <v>57</v>
      </c>
      <c r="G172" s="22" t="s">
        <v>410</v>
      </c>
      <c r="H172" s="22" t="s">
        <v>59</v>
      </c>
      <c r="I172" s="22" t="s">
        <v>59</v>
      </c>
      <c r="J172" s="22" t="s">
        <v>60</v>
      </c>
      <c r="K172" s="22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6">
        <v>10.0</v>
      </c>
      <c r="B173" s="20" t="str">
        <f t="array" ref="B173">INDEX('Báo cáo 75 trang đích'!$B$2:$B$76,$A173)</f>
        <v>https://techcombank.com/thong-tin/blog/cach-nap-the-viettel</v>
      </c>
      <c r="C173" s="22" t="str">
        <f t="array" ref="C173">INDEX('Báo cáo 75 trang đích'!$C$2:$C$76,$A173)</f>
        <v>CASA</v>
      </c>
      <c r="D173" s="20" t="s">
        <v>411</v>
      </c>
      <c r="E173" s="22" t="s">
        <v>120</v>
      </c>
      <c r="F173" s="22" t="s">
        <v>76</v>
      </c>
      <c r="G173" s="22" t="s">
        <v>413</v>
      </c>
      <c r="H173" s="22" t="s">
        <v>59</v>
      </c>
      <c r="I173" s="22" t="s">
        <v>59</v>
      </c>
      <c r="J173" s="22" t="s">
        <v>60</v>
      </c>
      <c r="K173" s="22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6">
        <v>10.0</v>
      </c>
      <c r="B174" s="20" t="str">
        <f t="array" ref="B174">INDEX('Báo cáo 75 trang đích'!$B$2:$B$76,$A174)</f>
        <v>https://techcombank.com/thong-tin/blog/cach-nap-the-viettel</v>
      </c>
      <c r="C174" s="22" t="str">
        <f t="array" ref="C174">INDEX('Báo cáo 75 trang đích'!$C$2:$C$76,$A174)</f>
        <v>CASA</v>
      </c>
      <c r="D174" s="20" t="s">
        <v>414</v>
      </c>
      <c r="E174" s="22" t="s">
        <v>406</v>
      </c>
      <c r="F174" s="22" t="s">
        <v>76</v>
      </c>
      <c r="G174" s="22" t="s">
        <v>415</v>
      </c>
      <c r="H174" s="22" t="s">
        <v>59</v>
      </c>
      <c r="I174" s="22" t="s">
        <v>59</v>
      </c>
      <c r="J174" s="22" t="s">
        <v>60</v>
      </c>
      <c r="K174" s="22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6">
        <v>10.0</v>
      </c>
      <c r="B175" s="20" t="str">
        <f t="array" ref="B175">INDEX('Báo cáo 75 trang đích'!$B$2:$B$76,$A175)</f>
        <v>https://techcombank.com/thong-tin/blog/cach-nap-the-viettel</v>
      </c>
      <c r="C175" s="22" t="str">
        <f t="array" ref="C175">INDEX('Báo cáo 75 trang đích'!$C$2:$C$76,$A175)</f>
        <v>CASA</v>
      </c>
      <c r="D175" s="20" t="s">
        <v>416</v>
      </c>
      <c r="E175" s="22" t="s">
        <v>409</v>
      </c>
      <c r="F175" s="22" t="s">
        <v>81</v>
      </c>
      <c r="G175" s="22" t="s">
        <v>417</v>
      </c>
      <c r="H175" s="22" t="s">
        <v>59</v>
      </c>
      <c r="I175" s="22" t="s">
        <v>59</v>
      </c>
      <c r="J175" s="22" t="s">
        <v>60</v>
      </c>
      <c r="K175" s="22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6">
        <v>10.0</v>
      </c>
      <c r="B176" s="20" t="str">
        <f t="array" ref="B176">INDEX('Báo cáo 75 trang đích'!$B$2:$B$76,$A176)</f>
        <v>https://techcombank.com/thong-tin/blog/cach-nap-the-viettel</v>
      </c>
      <c r="C176" s="22" t="str">
        <f t="array" ref="C176">INDEX('Báo cáo 75 trang đích'!$C$2:$C$76,$A176)</f>
        <v>CASA</v>
      </c>
      <c r="D176" s="20" t="s">
        <v>419</v>
      </c>
      <c r="E176" s="22" t="s">
        <v>120</v>
      </c>
      <c r="F176" s="22" t="s">
        <v>81</v>
      </c>
      <c r="G176" s="22" t="s">
        <v>417</v>
      </c>
      <c r="H176" s="22" t="s">
        <v>59</v>
      </c>
      <c r="I176" s="22" t="s">
        <v>59</v>
      </c>
      <c r="J176" s="22" t="s">
        <v>60</v>
      </c>
      <c r="K176" s="22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6">
        <v>10.0</v>
      </c>
      <c r="B177" s="20" t="str">
        <f t="array" ref="B177">INDEX('Báo cáo 75 trang đích'!$B$2:$B$76,$A177)</f>
        <v>https://techcombank.com/thong-tin/blog/cach-nap-the-viettel</v>
      </c>
      <c r="C177" s="22" t="str">
        <f t="array" ref="C177">INDEX('Báo cáo 75 trang đích'!$C$2:$C$76,$A177)</f>
        <v>CASA</v>
      </c>
      <c r="D177" s="20" t="s">
        <v>272</v>
      </c>
      <c r="E177" s="22" t="s">
        <v>406</v>
      </c>
      <c r="F177" s="22" t="s">
        <v>81</v>
      </c>
      <c r="G177" s="22" t="s">
        <v>420</v>
      </c>
      <c r="H177" s="22" t="s">
        <v>59</v>
      </c>
      <c r="I177" s="22" t="s">
        <v>59</v>
      </c>
      <c r="J177" s="22" t="s">
        <v>60</v>
      </c>
      <c r="K177" s="22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6">
        <v>11.0</v>
      </c>
      <c r="B178" s="20" t="str">
        <f t="array" ref="B178">INDEX('Báo cáo 75 trang đích'!$B$2:$B$76,$A178)</f>
        <v>https://techcombank.com/thong-tin/blog/cach-tinh-tien-dien-sinh-hoat</v>
      </c>
      <c r="C178" s="22" t="str">
        <f t="array" ref="C178">INDEX('Báo cáo 75 trang đích'!$C$2:$C$76,$A178)</f>
        <v>CASA</v>
      </c>
      <c r="D178" s="20" t="s">
        <v>421</v>
      </c>
      <c r="E178" s="22" t="s">
        <v>124</v>
      </c>
      <c r="F178" s="22" t="s">
        <v>57</v>
      </c>
      <c r="G178" s="22" t="s">
        <v>422</v>
      </c>
      <c r="H178" s="22" t="s">
        <v>59</v>
      </c>
      <c r="I178" s="22" t="s">
        <v>59</v>
      </c>
      <c r="J178" s="22" t="s">
        <v>60</v>
      </c>
      <c r="K178" s="22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6">
        <v>11.0</v>
      </c>
      <c r="B179" s="20" t="str">
        <f t="array" ref="B179">INDEX('Báo cáo 75 trang đích'!$B$2:$B$76,$A179)</f>
        <v>https://techcombank.com/thong-tin/blog/cach-tinh-tien-dien-sinh-hoat</v>
      </c>
      <c r="C179" s="22" t="str">
        <f t="array" ref="C179">INDEX('Báo cáo 75 trang đích'!$C$2:$C$76,$A179)</f>
        <v>CASA</v>
      </c>
      <c r="D179" s="20" t="s">
        <v>276</v>
      </c>
      <c r="E179" s="22" t="s">
        <v>424</v>
      </c>
      <c r="F179" s="22" t="s">
        <v>57</v>
      </c>
      <c r="G179" s="22" t="s">
        <v>425</v>
      </c>
      <c r="H179" s="22" t="s">
        <v>59</v>
      </c>
      <c r="I179" s="22" t="s">
        <v>59</v>
      </c>
      <c r="J179" s="22" t="s">
        <v>60</v>
      </c>
      <c r="K179" s="22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6">
        <v>11.0</v>
      </c>
      <c r="B180" s="20" t="str">
        <f t="array" ref="B180">INDEX('Báo cáo 75 trang đích'!$B$2:$B$76,$A180)</f>
        <v>https://techcombank.com/thong-tin/blog/cach-tinh-tien-dien-sinh-hoat</v>
      </c>
      <c r="C180" s="22" t="str">
        <f t="array" ref="C180">INDEX('Báo cáo 75 trang đích'!$C$2:$C$76,$A180)</f>
        <v>CASA</v>
      </c>
      <c r="D180" s="20" t="s">
        <v>426</v>
      </c>
      <c r="E180" s="22" t="s">
        <v>427</v>
      </c>
      <c r="F180" s="22" t="s">
        <v>57</v>
      </c>
      <c r="G180" s="22" t="s">
        <v>428</v>
      </c>
      <c r="H180" s="22" t="s">
        <v>59</v>
      </c>
      <c r="I180" s="22" t="s">
        <v>59</v>
      </c>
      <c r="J180" s="22" t="s">
        <v>60</v>
      </c>
      <c r="K180" s="22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6">
        <v>11.0</v>
      </c>
      <c r="B181" s="20" t="str">
        <f t="array" ref="B181">INDEX('Báo cáo 75 trang đích'!$B$2:$B$76,$A181)</f>
        <v>https://techcombank.com/thong-tin/blog/cach-tinh-tien-dien-sinh-hoat</v>
      </c>
      <c r="C181" s="22" t="str">
        <f t="array" ref="C181">INDEX('Báo cáo 75 trang đích'!$C$2:$C$76,$A181)</f>
        <v>CASA</v>
      </c>
      <c r="D181" s="20" t="s">
        <v>272</v>
      </c>
      <c r="E181" s="22" t="s">
        <v>124</v>
      </c>
      <c r="F181" s="22" t="s">
        <v>76</v>
      </c>
      <c r="G181" s="22" t="s">
        <v>429</v>
      </c>
      <c r="H181" s="22" t="s">
        <v>59</v>
      </c>
      <c r="I181" s="22" t="s">
        <v>59</v>
      </c>
      <c r="J181" s="22" t="s">
        <v>60</v>
      </c>
      <c r="K181" s="22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6">
        <v>11.0</v>
      </c>
      <c r="B182" s="20" t="str">
        <f t="array" ref="B182">INDEX('Báo cáo 75 trang đích'!$B$2:$B$76,$A182)</f>
        <v>https://techcombank.com/thong-tin/blog/cach-tinh-tien-dien-sinh-hoat</v>
      </c>
      <c r="C182" s="22" t="str">
        <f t="array" ref="C182">INDEX('Báo cáo 75 trang đích'!$C$2:$C$76,$A182)</f>
        <v>CASA</v>
      </c>
      <c r="D182" s="20" t="s">
        <v>431</v>
      </c>
      <c r="E182" s="22" t="s">
        <v>424</v>
      </c>
      <c r="F182" s="22" t="s">
        <v>76</v>
      </c>
      <c r="G182" s="22" t="s">
        <v>432</v>
      </c>
      <c r="H182" s="22" t="s">
        <v>59</v>
      </c>
      <c r="I182" s="22" t="s">
        <v>59</v>
      </c>
      <c r="J182" s="22" t="s">
        <v>60</v>
      </c>
      <c r="K182" s="22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6">
        <v>11.0</v>
      </c>
      <c r="B183" s="20" t="str">
        <f t="array" ref="B183">INDEX('Báo cáo 75 trang đích'!$B$2:$B$76,$A183)</f>
        <v>https://techcombank.com/thong-tin/blog/cach-tinh-tien-dien-sinh-hoat</v>
      </c>
      <c r="C183" s="22" t="str">
        <f t="array" ref="C183">INDEX('Báo cáo 75 trang đích'!$C$2:$C$76,$A183)</f>
        <v>CASA</v>
      </c>
      <c r="D183" s="20" t="s">
        <v>245</v>
      </c>
      <c r="E183" s="22" t="s">
        <v>427</v>
      </c>
      <c r="F183" s="22" t="s">
        <v>81</v>
      </c>
      <c r="G183" s="22" t="s">
        <v>433</v>
      </c>
      <c r="H183" s="22" t="s">
        <v>59</v>
      </c>
      <c r="I183" s="22" t="s">
        <v>59</v>
      </c>
      <c r="J183" s="22" t="s">
        <v>60</v>
      </c>
      <c r="K183" s="22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6">
        <v>11.0</v>
      </c>
      <c r="B184" s="20" t="str">
        <f t="array" ref="B184">INDEX('Báo cáo 75 trang đích'!$B$2:$B$76,$A184)</f>
        <v>https://techcombank.com/thong-tin/blog/cach-tinh-tien-dien-sinh-hoat</v>
      </c>
      <c r="C184" s="22" t="str">
        <f t="array" ref="C184">INDEX('Báo cáo 75 trang đích'!$C$2:$C$76,$A184)</f>
        <v>CASA</v>
      </c>
      <c r="D184" s="20" t="s">
        <v>239</v>
      </c>
      <c r="E184" s="22" t="s">
        <v>124</v>
      </c>
      <c r="F184" s="22" t="s">
        <v>81</v>
      </c>
      <c r="G184" s="22" t="s">
        <v>434</v>
      </c>
      <c r="H184" s="22" t="s">
        <v>59</v>
      </c>
      <c r="I184" s="22" t="s">
        <v>59</v>
      </c>
      <c r="J184" s="22" t="s">
        <v>60</v>
      </c>
      <c r="K184" s="22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6">
        <v>11.0</v>
      </c>
      <c r="B185" s="20" t="str">
        <f t="array" ref="B185">INDEX('Báo cáo 75 trang đích'!$B$2:$B$76,$A185)</f>
        <v>https://techcombank.com/thong-tin/blog/cach-tinh-tien-dien-sinh-hoat</v>
      </c>
      <c r="C185" s="22" t="str">
        <f t="array" ref="C185">INDEX('Báo cáo 75 trang đích'!$C$2:$C$76,$A185)</f>
        <v>CASA</v>
      </c>
      <c r="D185" s="20" t="s">
        <v>252</v>
      </c>
      <c r="E185" s="22" t="s">
        <v>424</v>
      </c>
      <c r="F185" s="22" t="s">
        <v>81</v>
      </c>
      <c r="G185" s="22" t="s">
        <v>433</v>
      </c>
      <c r="H185" s="22" t="s">
        <v>59</v>
      </c>
      <c r="I185" s="22" t="s">
        <v>59</v>
      </c>
      <c r="J185" s="22" t="s">
        <v>60</v>
      </c>
      <c r="K185" s="22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6">
        <v>11.0</v>
      </c>
      <c r="B186" s="20" t="str">
        <f t="array" ref="B186">INDEX('Báo cáo 75 trang đích'!$B$2:$B$76,$A186)</f>
        <v>https://techcombank.com/thong-tin/blog/cach-tinh-tien-dien-sinh-hoat</v>
      </c>
      <c r="C186" s="22" t="str">
        <f t="array" ref="C186">INDEX('Báo cáo 75 trang đích'!$C$2:$C$76,$A186)</f>
        <v>CASA</v>
      </c>
      <c r="D186" s="20" t="s">
        <v>258</v>
      </c>
      <c r="E186" s="22" t="s">
        <v>427</v>
      </c>
      <c r="F186" s="22" t="s">
        <v>81</v>
      </c>
      <c r="G186" s="22" t="s">
        <v>434</v>
      </c>
      <c r="H186" s="22" t="s">
        <v>59</v>
      </c>
      <c r="I186" s="22" t="s">
        <v>59</v>
      </c>
      <c r="J186" s="22" t="s">
        <v>60</v>
      </c>
      <c r="K186" s="22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6">
        <v>11.0</v>
      </c>
      <c r="B187" s="20" t="str">
        <f t="array" ref="B187">INDEX('Báo cáo 75 trang đích'!$B$2:$B$76,$A187)</f>
        <v>https://techcombank.com/thong-tin/blog/cach-tinh-tien-dien-sinh-hoat</v>
      </c>
      <c r="C187" s="22" t="str">
        <f t="array" ref="C187">INDEX('Báo cáo 75 trang đích'!$C$2:$C$76,$A187)</f>
        <v>CASA</v>
      </c>
      <c r="D187" s="20" t="s">
        <v>264</v>
      </c>
      <c r="E187" s="22" t="s">
        <v>124</v>
      </c>
      <c r="F187" s="22" t="s">
        <v>81</v>
      </c>
      <c r="G187" s="22" t="s">
        <v>433</v>
      </c>
      <c r="H187" s="22" t="s">
        <v>59</v>
      </c>
      <c r="I187" s="22" t="s">
        <v>59</v>
      </c>
      <c r="J187" s="22" t="s">
        <v>60</v>
      </c>
      <c r="K187" s="22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6">
        <v>11.0</v>
      </c>
      <c r="B188" s="20" t="str">
        <f t="array" ref="B188">INDEX('Báo cáo 75 trang đích'!$B$2:$B$76,$A188)</f>
        <v>https://techcombank.com/thong-tin/blog/cach-tinh-tien-dien-sinh-hoat</v>
      </c>
      <c r="C188" s="22" t="str">
        <f t="array" ref="C188">INDEX('Báo cáo 75 trang đích'!$C$2:$C$76,$A188)</f>
        <v>CASA</v>
      </c>
      <c r="D188" s="20" t="s">
        <v>197</v>
      </c>
      <c r="E188" s="22" t="s">
        <v>424</v>
      </c>
      <c r="F188" s="22" t="s">
        <v>81</v>
      </c>
      <c r="G188" s="22" t="s">
        <v>433</v>
      </c>
      <c r="H188" s="22" t="s">
        <v>59</v>
      </c>
      <c r="I188" s="22" t="s">
        <v>59</v>
      </c>
      <c r="J188" s="22" t="s">
        <v>60</v>
      </c>
      <c r="K188" s="22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6">
        <v>11.0</v>
      </c>
      <c r="B189" s="20" t="str">
        <f t="array" ref="B189">INDEX('Báo cáo 75 trang đích'!$B$2:$B$76,$A189)</f>
        <v>https://techcombank.com/thong-tin/blog/cach-tinh-tien-dien-sinh-hoat</v>
      </c>
      <c r="C189" s="22" t="str">
        <f t="array" ref="C189">INDEX('Báo cáo 75 trang đích'!$C$2:$C$76,$A189)</f>
        <v>CASA</v>
      </c>
      <c r="D189" s="20" t="s">
        <v>266</v>
      </c>
      <c r="E189" s="22" t="s">
        <v>427</v>
      </c>
      <c r="F189" s="22" t="s">
        <v>81</v>
      </c>
      <c r="G189" s="22" t="s">
        <v>434</v>
      </c>
      <c r="H189" s="22" t="s">
        <v>59</v>
      </c>
      <c r="I189" s="22" t="s">
        <v>59</v>
      </c>
      <c r="J189" s="22" t="s">
        <v>60</v>
      </c>
      <c r="K189" s="22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6">
        <v>11.0</v>
      </c>
      <c r="B190" s="20" t="str">
        <f t="array" ref="B190">INDEX('Báo cáo 75 trang đích'!$B$2:$B$76,$A190)</f>
        <v>https://techcombank.com/thong-tin/blog/cach-tinh-tien-dien-sinh-hoat</v>
      </c>
      <c r="C190" s="22" t="str">
        <f t="array" ref="C190">INDEX('Báo cáo 75 trang đích'!$C$2:$C$76,$A190)</f>
        <v>CASA</v>
      </c>
      <c r="D190" s="20" t="s">
        <v>268</v>
      </c>
      <c r="E190" s="22" t="s">
        <v>124</v>
      </c>
      <c r="F190" s="22" t="s">
        <v>81</v>
      </c>
      <c r="G190" s="22" t="s">
        <v>433</v>
      </c>
      <c r="H190" s="22" t="s">
        <v>59</v>
      </c>
      <c r="I190" s="22" t="s">
        <v>59</v>
      </c>
      <c r="J190" s="22" t="s">
        <v>60</v>
      </c>
      <c r="K190" s="22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6">
        <v>11.0</v>
      </c>
      <c r="B191" s="20" t="str">
        <f t="array" ref="B191">INDEX('Báo cáo 75 trang đích'!$B$2:$B$76,$A191)</f>
        <v>https://techcombank.com/thong-tin/blog/cach-tinh-tien-dien-sinh-hoat</v>
      </c>
      <c r="C191" s="22" t="str">
        <f t="array" ref="C191">INDEX('Báo cáo 75 trang đích'!$C$2:$C$76,$A191)</f>
        <v>CASA</v>
      </c>
      <c r="D191" s="20" t="s">
        <v>281</v>
      </c>
      <c r="E191" s="22" t="s">
        <v>424</v>
      </c>
      <c r="F191" s="22" t="s">
        <v>81</v>
      </c>
      <c r="G191" s="22" t="s">
        <v>436</v>
      </c>
      <c r="H191" s="22" t="s">
        <v>59</v>
      </c>
      <c r="I191" s="22" t="s">
        <v>59</v>
      </c>
      <c r="J191" s="22" t="s">
        <v>60</v>
      </c>
      <c r="K191" s="22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6">
        <v>11.0</v>
      </c>
      <c r="B192" s="20" t="str">
        <f t="array" ref="B192">INDEX('Báo cáo 75 trang đích'!$B$2:$B$76,$A192)</f>
        <v>https://techcombank.com/thong-tin/blog/cach-tinh-tien-dien-sinh-hoat</v>
      </c>
      <c r="C192" s="22" t="str">
        <f t="array" ref="C192">INDEX('Báo cáo 75 trang đích'!$C$2:$C$76,$A192)</f>
        <v>CASA</v>
      </c>
      <c r="D192" s="20" t="s">
        <v>404</v>
      </c>
      <c r="E192" s="22" t="s">
        <v>427</v>
      </c>
      <c r="F192" s="22" t="s">
        <v>81</v>
      </c>
      <c r="G192" s="22" t="s">
        <v>437</v>
      </c>
      <c r="H192" s="22" t="s">
        <v>59</v>
      </c>
      <c r="I192" s="22" t="s">
        <v>59</v>
      </c>
      <c r="J192" s="22" t="s">
        <v>60</v>
      </c>
      <c r="K192" s="22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6">
        <v>11.0</v>
      </c>
      <c r="B193" s="20" t="str">
        <f t="array" ref="B193">INDEX('Báo cáo 75 trang đích'!$B$2:$B$76,$A193)</f>
        <v>https://techcombank.com/thong-tin/blog/cach-tinh-tien-dien-sinh-hoat</v>
      </c>
      <c r="C193" s="22" t="str">
        <f t="array" ref="C193">INDEX('Báo cáo 75 trang đích'!$C$2:$C$76,$A193)</f>
        <v>CASA</v>
      </c>
      <c r="D193" s="20" t="s">
        <v>278</v>
      </c>
      <c r="E193" s="22" t="s">
        <v>124</v>
      </c>
      <c r="F193" s="22" t="s">
        <v>81</v>
      </c>
      <c r="G193" s="22" t="s">
        <v>437</v>
      </c>
      <c r="H193" s="22" t="s">
        <v>59</v>
      </c>
      <c r="I193" s="22" t="s">
        <v>59</v>
      </c>
      <c r="J193" s="22" t="s">
        <v>60</v>
      </c>
      <c r="K193" s="22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6">
        <v>11.0</v>
      </c>
      <c r="B194" s="20" t="str">
        <f t="array" ref="B194">INDEX('Báo cáo 75 trang đích'!$B$2:$B$76,$A194)</f>
        <v>https://techcombank.com/thong-tin/blog/cach-tinh-tien-dien-sinh-hoat</v>
      </c>
      <c r="C194" s="22" t="str">
        <f t="array" ref="C194">INDEX('Báo cáo 75 trang đích'!$C$2:$C$76,$A194)</f>
        <v>CASA</v>
      </c>
      <c r="D194" s="20" t="s">
        <v>280</v>
      </c>
      <c r="E194" s="22" t="s">
        <v>424</v>
      </c>
      <c r="F194" s="22" t="s">
        <v>81</v>
      </c>
      <c r="G194" s="22" t="s">
        <v>437</v>
      </c>
      <c r="H194" s="22" t="s">
        <v>59</v>
      </c>
      <c r="I194" s="22" t="s">
        <v>59</v>
      </c>
      <c r="J194" s="22" t="s">
        <v>60</v>
      </c>
      <c r="K194" s="22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6">
        <v>12.0</v>
      </c>
      <c r="B195" s="20" t="str">
        <f t="array" ref="B195">INDEX('Báo cáo 75 trang đích'!$B$2:$B$76,$A195)</f>
        <v>https://techcombank.com/thong-tin/blog/cach-tinh-thue-thu-nhap-ca-nhan-2025</v>
      </c>
      <c r="C195" s="22" t="str">
        <f t="array" ref="C195">INDEX('Báo cáo 75 trang đích'!$C$2:$C$76,$A195)</f>
        <v>CASA</v>
      </c>
      <c r="D195" s="20" t="s">
        <v>95</v>
      </c>
      <c r="E195" s="22" t="s">
        <v>127</v>
      </c>
      <c r="F195" s="22" t="s">
        <v>57</v>
      </c>
      <c r="G195" s="22" t="s">
        <v>438</v>
      </c>
      <c r="H195" s="22" t="s">
        <v>59</v>
      </c>
      <c r="I195" s="22" t="s">
        <v>59</v>
      </c>
      <c r="J195" s="22" t="s">
        <v>60</v>
      </c>
      <c r="K195" s="22" t="s">
        <v>137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6">
        <v>12.0</v>
      </c>
      <c r="B196" s="20" t="str">
        <f t="array" ref="B196">INDEX('Báo cáo 75 trang đích'!$B$2:$B$76,$A196)</f>
        <v>https://techcombank.com/thong-tin/blog/cach-tinh-thue-thu-nhap-ca-nhan-2025</v>
      </c>
      <c r="C196" s="22" t="str">
        <f t="array" ref="C196">INDEX('Báo cáo 75 trang đích'!$C$2:$C$76,$A196)</f>
        <v>CASA</v>
      </c>
      <c r="D196" s="20" t="s">
        <v>111</v>
      </c>
      <c r="E196" s="22" t="s">
        <v>439</v>
      </c>
      <c r="F196" s="22" t="s">
        <v>57</v>
      </c>
      <c r="G196" s="22" t="s">
        <v>440</v>
      </c>
      <c r="H196" s="22" t="s">
        <v>59</v>
      </c>
      <c r="I196" s="22" t="s">
        <v>59</v>
      </c>
      <c r="J196" s="22" t="s">
        <v>60</v>
      </c>
      <c r="K196" s="22" t="s">
        <v>137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6">
        <v>12.0</v>
      </c>
      <c r="B197" s="20" t="str">
        <f t="array" ref="B197">INDEX('Báo cáo 75 trang đích'!$B$2:$B$76,$A197)</f>
        <v>https://techcombank.com/thong-tin/blog/cach-tinh-thue-thu-nhap-ca-nhan-2025</v>
      </c>
      <c r="C197" s="22" t="str">
        <f t="array" ref="C197">INDEX('Báo cáo 75 trang đích'!$C$2:$C$76,$A197)</f>
        <v>CASA</v>
      </c>
      <c r="D197" s="20" t="s">
        <v>441</v>
      </c>
      <c r="E197" s="22" t="s">
        <v>442</v>
      </c>
      <c r="F197" s="22" t="s">
        <v>76</v>
      </c>
      <c r="G197" s="22" t="s">
        <v>443</v>
      </c>
      <c r="H197" s="22" t="s">
        <v>59</v>
      </c>
      <c r="I197" s="22" t="s">
        <v>59</v>
      </c>
      <c r="J197" s="22" t="s">
        <v>60</v>
      </c>
      <c r="K197" s="22" t="s">
        <v>137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6">
        <v>12.0</v>
      </c>
      <c r="B198" s="20" t="str">
        <f t="array" ref="B198">INDEX('Báo cáo 75 trang đích'!$B$2:$B$76,$A198)</f>
        <v>https://techcombank.com/thong-tin/blog/cach-tinh-thue-thu-nhap-ca-nhan-2025</v>
      </c>
      <c r="C198" s="22" t="str">
        <f t="array" ref="C198">INDEX('Báo cáo 75 trang đích'!$C$2:$C$76,$A198)</f>
        <v>CASA</v>
      </c>
      <c r="D198" s="20" t="s">
        <v>447</v>
      </c>
      <c r="E198" s="22" t="s">
        <v>127</v>
      </c>
      <c r="F198" s="22" t="s">
        <v>76</v>
      </c>
      <c r="G198" s="22" t="s">
        <v>449</v>
      </c>
      <c r="H198" s="22" t="s">
        <v>59</v>
      </c>
      <c r="I198" s="22" t="s">
        <v>59</v>
      </c>
      <c r="J198" s="22" t="s">
        <v>60</v>
      </c>
      <c r="K198" s="22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6">
        <v>12.0</v>
      </c>
      <c r="B199" s="20" t="str">
        <f t="array" ref="B199">INDEX('Báo cáo 75 trang đích'!$B$2:$B$76,$A199)</f>
        <v>https://techcombank.com/thong-tin/blog/cach-tinh-thue-thu-nhap-ca-nhan-2025</v>
      </c>
      <c r="C199" s="22" t="str">
        <f t="array" ref="C199">INDEX('Báo cáo 75 trang đích'!$C$2:$C$76,$A199)</f>
        <v>CASA</v>
      </c>
      <c r="D199" s="20" t="s">
        <v>450</v>
      </c>
      <c r="E199" s="22" t="s">
        <v>439</v>
      </c>
      <c r="F199" s="22" t="s">
        <v>76</v>
      </c>
      <c r="G199" s="22" t="s">
        <v>451</v>
      </c>
      <c r="H199" s="22" t="s">
        <v>59</v>
      </c>
      <c r="I199" s="22" t="s">
        <v>59</v>
      </c>
      <c r="J199" s="22" t="s">
        <v>60</v>
      </c>
      <c r="K199" s="22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6">
        <v>12.0</v>
      </c>
      <c r="B200" s="20" t="str">
        <f t="array" ref="B200">INDEX('Báo cáo 75 trang đích'!$B$2:$B$76,$A200)</f>
        <v>https://techcombank.com/thong-tin/blog/cach-tinh-thue-thu-nhap-ca-nhan-2025</v>
      </c>
      <c r="C200" s="22" t="str">
        <f t="array" ref="C200">INDEX('Báo cáo 75 trang đích'!$C$2:$C$76,$A200)</f>
        <v>CASA</v>
      </c>
      <c r="D200" s="20" t="s">
        <v>247</v>
      </c>
      <c r="E200" s="22" t="s">
        <v>442</v>
      </c>
      <c r="F200" s="22" t="s">
        <v>81</v>
      </c>
      <c r="G200" s="22" t="s">
        <v>452</v>
      </c>
      <c r="H200" s="22" t="s">
        <v>59</v>
      </c>
      <c r="I200" s="22" t="s">
        <v>59</v>
      </c>
      <c r="J200" s="22" t="s">
        <v>60</v>
      </c>
      <c r="K200" s="22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6">
        <v>12.0</v>
      </c>
      <c r="B201" s="20" t="str">
        <f t="array" ref="B201">INDEX('Báo cáo 75 trang đích'!$B$2:$B$76,$A201)</f>
        <v>https://techcombank.com/thong-tin/blog/cach-tinh-thue-thu-nhap-ca-nhan-2025</v>
      </c>
      <c r="C201" s="22" t="str">
        <f t="array" ref="C201">INDEX('Báo cáo 75 trang đích'!$C$2:$C$76,$A201)</f>
        <v>CASA</v>
      </c>
      <c r="D201" s="20" t="s">
        <v>350</v>
      </c>
      <c r="E201" s="22" t="s">
        <v>127</v>
      </c>
      <c r="F201" s="22" t="s">
        <v>81</v>
      </c>
      <c r="G201" s="22" t="s">
        <v>453</v>
      </c>
      <c r="H201" s="22" t="s">
        <v>59</v>
      </c>
      <c r="I201" s="22" t="s">
        <v>59</v>
      </c>
      <c r="J201" s="22" t="s">
        <v>60</v>
      </c>
      <c r="K201" s="22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6">
        <v>12.0</v>
      </c>
      <c r="B202" s="20" t="str">
        <f t="array" ref="B202">INDEX('Báo cáo 75 trang đích'!$B$2:$B$76,$A202)</f>
        <v>https://techcombank.com/thong-tin/blog/cach-tinh-thue-thu-nhap-ca-nhan-2025</v>
      </c>
      <c r="C202" s="22" t="str">
        <f t="array" ref="C202">INDEX('Báo cáo 75 trang đích'!$C$2:$C$76,$A202)</f>
        <v>CASA</v>
      </c>
      <c r="D202" s="20" t="s">
        <v>109</v>
      </c>
      <c r="E202" s="22" t="s">
        <v>439</v>
      </c>
      <c r="F202" s="22" t="s">
        <v>81</v>
      </c>
      <c r="G202" s="22" t="s">
        <v>454</v>
      </c>
      <c r="H202" s="22" t="s">
        <v>59</v>
      </c>
      <c r="I202" s="22" t="s">
        <v>59</v>
      </c>
      <c r="J202" s="22" t="s">
        <v>60</v>
      </c>
      <c r="K202" s="22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6">
        <v>12.0</v>
      </c>
      <c r="B203" s="20" t="str">
        <f t="array" ref="B203">INDEX('Báo cáo 75 trang đích'!$B$2:$B$76,$A203)</f>
        <v>https://techcombank.com/thong-tin/blog/cach-tinh-thue-thu-nhap-ca-nhan-2025</v>
      </c>
      <c r="C203" s="22" t="str">
        <f t="array" ref="C203">INDEX('Báo cáo 75 trang đích'!$C$2:$C$76,$A203)</f>
        <v>CASA</v>
      </c>
      <c r="D203" s="20" t="s">
        <v>250</v>
      </c>
      <c r="E203" s="22" t="s">
        <v>442</v>
      </c>
      <c r="F203" s="22" t="s">
        <v>81</v>
      </c>
      <c r="G203" s="22" t="s">
        <v>452</v>
      </c>
      <c r="H203" s="22" t="s">
        <v>59</v>
      </c>
      <c r="I203" s="22" t="s">
        <v>59</v>
      </c>
      <c r="J203" s="22" t="s">
        <v>60</v>
      </c>
      <c r="K203" s="22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6">
        <v>12.0</v>
      </c>
      <c r="B204" s="20" t="str">
        <f t="array" ref="B204">INDEX('Báo cáo 75 trang đích'!$B$2:$B$76,$A204)</f>
        <v>https://techcombank.com/thong-tin/blog/cach-tinh-thue-thu-nhap-ca-nhan-2025</v>
      </c>
      <c r="C204" s="22" t="str">
        <f t="array" ref="C204">INDEX('Báo cáo 75 trang đích'!$C$2:$C$76,$A204)</f>
        <v>CASA</v>
      </c>
      <c r="D204" s="20" t="s">
        <v>455</v>
      </c>
      <c r="E204" s="22" t="s">
        <v>127</v>
      </c>
      <c r="F204" s="22" t="s">
        <v>81</v>
      </c>
      <c r="G204" s="22" t="s">
        <v>453</v>
      </c>
      <c r="H204" s="22" t="s">
        <v>59</v>
      </c>
      <c r="I204" s="22" t="s">
        <v>59</v>
      </c>
      <c r="J204" s="22" t="s">
        <v>60</v>
      </c>
      <c r="K204" s="22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6">
        <v>12.0</v>
      </c>
      <c r="B205" s="20" t="str">
        <f t="array" ref="B205">INDEX('Báo cáo 75 trang đích'!$B$2:$B$76,$A205)</f>
        <v>https://techcombank.com/thong-tin/blog/cach-tinh-thue-thu-nhap-ca-nhan-2025</v>
      </c>
      <c r="C205" s="22" t="str">
        <f t="array" ref="C205">INDEX('Báo cáo 75 trang đích'!$C$2:$C$76,$A205)</f>
        <v>CASA</v>
      </c>
      <c r="D205" s="20" t="s">
        <v>153</v>
      </c>
      <c r="E205" s="22" t="s">
        <v>439</v>
      </c>
      <c r="F205" s="22" t="s">
        <v>81</v>
      </c>
      <c r="G205" s="22" t="s">
        <v>452</v>
      </c>
      <c r="H205" s="22" t="s">
        <v>59</v>
      </c>
      <c r="I205" s="22" t="s">
        <v>59</v>
      </c>
      <c r="J205" s="22" t="s">
        <v>60</v>
      </c>
      <c r="K205" s="22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6">
        <v>12.0</v>
      </c>
      <c r="B206" s="20" t="str">
        <f t="array" ref="B206">INDEX('Báo cáo 75 trang đích'!$B$2:$B$76,$A206)</f>
        <v>https://techcombank.com/thong-tin/blog/cach-tinh-thue-thu-nhap-ca-nhan-2025</v>
      </c>
      <c r="C206" s="22" t="str">
        <f t="array" ref="C206">INDEX('Báo cáo 75 trang đích'!$C$2:$C$76,$A206)</f>
        <v>CASA</v>
      </c>
      <c r="D206" s="20" t="s">
        <v>456</v>
      </c>
      <c r="E206" s="22" t="s">
        <v>442</v>
      </c>
      <c r="F206" s="22" t="s">
        <v>81</v>
      </c>
      <c r="G206" s="22" t="s">
        <v>453</v>
      </c>
      <c r="H206" s="22" t="s">
        <v>59</v>
      </c>
      <c r="I206" s="22" t="s">
        <v>59</v>
      </c>
      <c r="J206" s="22" t="s">
        <v>60</v>
      </c>
      <c r="K206" s="22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6">
        <v>12.0</v>
      </c>
      <c r="B207" s="20" t="str">
        <f t="array" ref="B207">INDEX('Báo cáo 75 trang đích'!$B$2:$B$76,$A207)</f>
        <v>https://techcombank.com/thong-tin/blog/cach-tinh-thue-thu-nhap-ca-nhan-2025</v>
      </c>
      <c r="C207" s="22" t="str">
        <f t="array" ref="C207">INDEX('Báo cáo 75 trang đích'!$C$2:$C$76,$A207)</f>
        <v>CASA</v>
      </c>
      <c r="D207" s="20" t="s">
        <v>458</v>
      </c>
      <c r="E207" s="22" t="s">
        <v>127</v>
      </c>
      <c r="F207" s="22" t="s">
        <v>81</v>
      </c>
      <c r="G207" s="22" t="s">
        <v>453</v>
      </c>
      <c r="H207" s="22" t="s">
        <v>59</v>
      </c>
      <c r="I207" s="22" t="s">
        <v>59</v>
      </c>
      <c r="J207" s="22" t="s">
        <v>60</v>
      </c>
      <c r="K207" s="22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6">
        <v>12.0</v>
      </c>
      <c r="B208" s="20" t="str">
        <f t="array" ref="B208">INDEX('Báo cáo 75 trang đích'!$B$2:$B$76,$A208)</f>
        <v>https://techcombank.com/thong-tin/blog/cach-tinh-thue-thu-nhap-ca-nhan-2025</v>
      </c>
      <c r="C208" s="22" t="str">
        <f t="array" ref="C208">INDEX('Báo cáo 75 trang đích'!$C$2:$C$76,$A208)</f>
        <v>CASA</v>
      </c>
      <c r="D208" s="20" t="s">
        <v>126</v>
      </c>
      <c r="E208" s="22" t="s">
        <v>439</v>
      </c>
      <c r="F208" s="22" t="s">
        <v>81</v>
      </c>
      <c r="G208" s="22" t="s">
        <v>459</v>
      </c>
      <c r="H208" s="22" t="s">
        <v>59</v>
      </c>
      <c r="I208" s="22" t="s">
        <v>59</v>
      </c>
      <c r="J208" s="22" t="s">
        <v>60</v>
      </c>
      <c r="K208" s="22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6">
        <v>12.0</v>
      </c>
      <c r="B209" s="20" t="str">
        <f t="array" ref="B209">INDEX('Báo cáo 75 trang đích'!$B$2:$B$76,$A209)</f>
        <v>https://techcombank.com/thong-tin/blog/cach-tinh-thue-thu-nhap-ca-nhan-2025</v>
      </c>
      <c r="C209" s="22" t="str">
        <f t="array" ref="C209">INDEX('Báo cáo 75 trang đích'!$C$2:$C$76,$A209)</f>
        <v>CASA</v>
      </c>
      <c r="D209" s="20" t="s">
        <v>460</v>
      </c>
      <c r="E209" s="22" t="s">
        <v>442</v>
      </c>
      <c r="F209" s="22" t="s">
        <v>81</v>
      </c>
      <c r="G209" s="22" t="s">
        <v>453</v>
      </c>
      <c r="H209" s="22" t="s">
        <v>59</v>
      </c>
      <c r="I209" s="22" t="s">
        <v>59</v>
      </c>
      <c r="J209" s="22" t="s">
        <v>60</v>
      </c>
      <c r="K209" s="22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6">
        <v>12.0</v>
      </c>
      <c r="B210" s="20" t="str">
        <f t="array" ref="B210">INDEX('Báo cáo 75 trang đích'!$B$2:$B$76,$A210)</f>
        <v>https://techcombank.com/thong-tin/blog/cach-tinh-thue-thu-nhap-ca-nhan-2025</v>
      </c>
      <c r="C210" s="22" t="str">
        <f t="array" ref="C210">INDEX('Báo cáo 75 trang đích'!$C$2:$C$76,$A210)</f>
        <v>CASA</v>
      </c>
      <c r="D210" s="20" t="s">
        <v>461</v>
      </c>
      <c r="E210" s="22" t="s">
        <v>127</v>
      </c>
      <c r="F210" s="22" t="s">
        <v>81</v>
      </c>
      <c r="G210" s="22" t="s">
        <v>453</v>
      </c>
      <c r="H210" s="22" t="s">
        <v>59</v>
      </c>
      <c r="I210" s="22" t="s">
        <v>59</v>
      </c>
      <c r="J210" s="22" t="s">
        <v>60</v>
      </c>
      <c r="K210" s="22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6">
        <v>13.0</v>
      </c>
      <c r="B211" s="20" t="str">
        <f t="array" ref="B211">INDEX('Báo cáo 75 trang đích'!$B$2:$B$76,$A211)</f>
        <v>https://techcombank.com/thong-tin/blog/cach-kiem-tra-tai-khoan-ngan-hang</v>
      </c>
      <c r="C211" s="22" t="str">
        <f t="array" ref="C211">INDEX('Báo cáo 75 trang đích'!$C$2:$C$76,$A211)</f>
        <v>CASA</v>
      </c>
      <c r="D211" s="20" t="s">
        <v>462</v>
      </c>
      <c r="E211" s="22" t="s">
        <v>131</v>
      </c>
      <c r="F211" s="22" t="s">
        <v>57</v>
      </c>
      <c r="G211" s="22" t="s">
        <v>463</v>
      </c>
      <c r="H211" s="22" t="s">
        <v>59</v>
      </c>
      <c r="I211" s="22" t="s">
        <v>59</v>
      </c>
      <c r="J211" s="22" t="s">
        <v>60</v>
      </c>
      <c r="K211" s="22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6">
        <v>13.0</v>
      </c>
      <c r="B212" s="20" t="str">
        <f t="array" ref="B212">INDEX('Báo cáo 75 trang đích'!$B$2:$B$76,$A212)</f>
        <v>https://techcombank.com/thong-tin/blog/cach-kiem-tra-tai-khoan-ngan-hang</v>
      </c>
      <c r="C212" s="22" t="str">
        <f t="array" ref="C212">INDEX('Báo cáo 75 trang đích'!$C$2:$C$76,$A212)</f>
        <v>CASA</v>
      </c>
      <c r="D212" s="20" t="s">
        <v>464</v>
      </c>
      <c r="E212" s="22" t="s">
        <v>465</v>
      </c>
      <c r="F212" s="22" t="s">
        <v>57</v>
      </c>
      <c r="G212" s="22" t="s">
        <v>466</v>
      </c>
      <c r="H212" s="22" t="s">
        <v>59</v>
      </c>
      <c r="I212" s="22" t="s">
        <v>59</v>
      </c>
      <c r="J212" s="22" t="s">
        <v>60</v>
      </c>
      <c r="K212" s="22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6">
        <v>13.0</v>
      </c>
      <c r="B213" s="20" t="str">
        <f t="array" ref="B213">INDEX('Báo cáo 75 trang đích'!$B$2:$B$76,$A213)</f>
        <v>https://techcombank.com/thong-tin/blog/cach-kiem-tra-tai-khoan-ngan-hang</v>
      </c>
      <c r="C213" s="22" t="str">
        <f t="array" ref="C213">INDEX('Báo cáo 75 trang đích'!$C$2:$C$76,$A213)</f>
        <v>CASA</v>
      </c>
      <c r="D213" s="20" t="s">
        <v>467</v>
      </c>
      <c r="E213" s="22" t="s">
        <v>468</v>
      </c>
      <c r="F213" s="22" t="s">
        <v>76</v>
      </c>
      <c r="G213" s="22" t="s">
        <v>469</v>
      </c>
      <c r="H213" s="22" t="s">
        <v>59</v>
      </c>
      <c r="I213" s="22" t="s">
        <v>59</v>
      </c>
      <c r="J213" s="22" t="s">
        <v>60</v>
      </c>
      <c r="K213" s="22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6">
        <v>13.0</v>
      </c>
      <c r="B214" s="20" t="str">
        <f t="array" ref="B214">INDEX('Báo cáo 75 trang đích'!$B$2:$B$76,$A214)</f>
        <v>https://techcombank.com/thong-tin/blog/cach-kiem-tra-tai-khoan-ngan-hang</v>
      </c>
      <c r="C214" s="22" t="str">
        <f t="array" ref="C214">INDEX('Báo cáo 75 trang đích'!$C$2:$C$76,$A214)</f>
        <v>CASA</v>
      </c>
      <c r="D214" s="20" t="s">
        <v>470</v>
      </c>
      <c r="E214" s="22" t="s">
        <v>131</v>
      </c>
      <c r="F214" s="22" t="s">
        <v>76</v>
      </c>
      <c r="G214" s="22" t="s">
        <v>471</v>
      </c>
      <c r="H214" s="22" t="s">
        <v>59</v>
      </c>
      <c r="I214" s="22" t="s">
        <v>59</v>
      </c>
      <c r="J214" s="22" t="s">
        <v>60</v>
      </c>
      <c r="K214" s="22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6">
        <v>13.0</v>
      </c>
      <c r="B215" s="20" t="str">
        <f t="array" ref="B215">INDEX('Báo cáo 75 trang đích'!$B$2:$B$76,$A215)</f>
        <v>https://techcombank.com/thong-tin/blog/cach-kiem-tra-tai-khoan-ngan-hang</v>
      </c>
      <c r="C215" s="22" t="str">
        <f t="array" ref="C215">INDEX('Báo cáo 75 trang đích'!$C$2:$C$76,$A215)</f>
        <v>CASA</v>
      </c>
      <c r="D215" s="20" t="s">
        <v>472</v>
      </c>
      <c r="E215" s="22" t="s">
        <v>465</v>
      </c>
      <c r="F215" s="22" t="s">
        <v>76</v>
      </c>
      <c r="G215" s="22" t="s">
        <v>473</v>
      </c>
      <c r="H215" s="22" t="s">
        <v>59</v>
      </c>
      <c r="I215" s="22" t="s">
        <v>59</v>
      </c>
      <c r="J215" s="22" t="s">
        <v>60</v>
      </c>
      <c r="K215" s="22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6">
        <v>13.0</v>
      </c>
      <c r="B216" s="20" t="str">
        <f t="array" ref="B216">INDEX('Báo cáo 75 trang đích'!$B$2:$B$76,$A216)</f>
        <v>https://techcombank.com/thong-tin/blog/cach-kiem-tra-tai-khoan-ngan-hang</v>
      </c>
      <c r="C216" s="22" t="str">
        <f t="array" ref="C216">INDEX('Báo cáo 75 trang đích'!$C$2:$C$76,$A216)</f>
        <v>CASA</v>
      </c>
      <c r="D216" s="20" t="s">
        <v>474</v>
      </c>
      <c r="E216" s="22" t="s">
        <v>468</v>
      </c>
      <c r="F216" s="22" t="s">
        <v>81</v>
      </c>
      <c r="G216" s="22" t="s">
        <v>475</v>
      </c>
      <c r="H216" s="22" t="s">
        <v>59</v>
      </c>
      <c r="I216" s="22" t="s">
        <v>59</v>
      </c>
      <c r="J216" s="22" t="s">
        <v>60</v>
      </c>
      <c r="K216" s="22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6">
        <v>13.0</v>
      </c>
      <c r="B217" s="20" t="str">
        <f t="array" ref="B217">INDEX('Báo cáo 75 trang đích'!$B$2:$B$76,$A217)</f>
        <v>https://techcombank.com/thong-tin/blog/cach-kiem-tra-tai-khoan-ngan-hang</v>
      </c>
      <c r="C217" s="22" t="str">
        <f t="array" ref="C217">INDEX('Báo cáo 75 trang đích'!$C$2:$C$76,$A217)</f>
        <v>CASA</v>
      </c>
      <c r="D217" s="20" t="s">
        <v>476</v>
      </c>
      <c r="E217" s="22" t="s">
        <v>131</v>
      </c>
      <c r="F217" s="22" t="s">
        <v>81</v>
      </c>
      <c r="G217" s="22" t="s">
        <v>477</v>
      </c>
      <c r="H217" s="22" t="s">
        <v>59</v>
      </c>
      <c r="I217" s="22" t="s">
        <v>59</v>
      </c>
      <c r="J217" s="22" t="s">
        <v>60</v>
      </c>
      <c r="K217" s="22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6">
        <v>13.0</v>
      </c>
      <c r="B218" s="20" t="str">
        <f t="array" ref="B218">INDEX('Báo cáo 75 trang đích'!$B$2:$B$76,$A218)</f>
        <v>https://techcombank.com/thong-tin/blog/cach-kiem-tra-tai-khoan-ngan-hang</v>
      </c>
      <c r="C218" s="22" t="str">
        <f t="array" ref="C218">INDEX('Báo cáo 75 trang đích'!$C$2:$C$76,$A218)</f>
        <v>CASA</v>
      </c>
      <c r="D218" s="20" t="s">
        <v>478</v>
      </c>
      <c r="E218" s="22" t="s">
        <v>465</v>
      </c>
      <c r="F218" s="22" t="s">
        <v>81</v>
      </c>
      <c r="G218" s="22" t="s">
        <v>475</v>
      </c>
      <c r="H218" s="22" t="s">
        <v>59</v>
      </c>
      <c r="I218" s="22" t="s">
        <v>59</v>
      </c>
      <c r="J218" s="22" t="s">
        <v>60</v>
      </c>
      <c r="K218" s="22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6">
        <v>13.0</v>
      </c>
      <c r="B219" s="20" t="str">
        <f t="array" ref="B219">INDEX('Báo cáo 75 trang đích'!$B$2:$B$76,$A219)</f>
        <v>https://techcombank.com/thong-tin/blog/cach-kiem-tra-tai-khoan-ngan-hang</v>
      </c>
      <c r="C219" s="22" t="str">
        <f t="array" ref="C219">INDEX('Báo cáo 75 trang đích'!$C$2:$C$76,$A219)</f>
        <v>CASA</v>
      </c>
      <c r="D219" s="20" t="s">
        <v>479</v>
      </c>
      <c r="E219" s="22" t="s">
        <v>468</v>
      </c>
      <c r="F219" s="22" t="s">
        <v>81</v>
      </c>
      <c r="G219" s="22" t="s">
        <v>475</v>
      </c>
      <c r="H219" s="22" t="s">
        <v>59</v>
      </c>
      <c r="I219" s="22" t="s">
        <v>59</v>
      </c>
      <c r="J219" s="22" t="s">
        <v>60</v>
      </c>
      <c r="K219" s="22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6">
        <v>13.0</v>
      </c>
      <c r="B220" s="20" t="str">
        <f t="array" ref="B220">INDEX('Báo cáo 75 trang đích'!$B$2:$B$76,$A220)</f>
        <v>https://techcombank.com/thong-tin/blog/cach-kiem-tra-tai-khoan-ngan-hang</v>
      </c>
      <c r="C220" s="22" t="str">
        <f t="array" ref="C220">INDEX('Báo cáo 75 trang đích'!$C$2:$C$76,$A220)</f>
        <v>CASA</v>
      </c>
      <c r="D220" s="20" t="s">
        <v>480</v>
      </c>
      <c r="E220" s="22" t="s">
        <v>131</v>
      </c>
      <c r="F220" s="22" t="s">
        <v>81</v>
      </c>
      <c r="G220" s="22" t="s">
        <v>475</v>
      </c>
      <c r="H220" s="22" t="s">
        <v>59</v>
      </c>
      <c r="I220" s="22" t="s">
        <v>59</v>
      </c>
      <c r="J220" s="22" t="s">
        <v>60</v>
      </c>
      <c r="K220" s="22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6">
        <v>13.0</v>
      </c>
      <c r="B221" s="20" t="str">
        <f t="array" ref="B221">INDEX('Báo cáo 75 trang đích'!$B$2:$B$76,$A221)</f>
        <v>https://techcombank.com/thong-tin/blog/cach-kiem-tra-tai-khoan-ngan-hang</v>
      </c>
      <c r="C221" s="22" t="str">
        <f t="array" ref="C221">INDEX('Báo cáo 75 trang đích'!$C$2:$C$76,$A221)</f>
        <v>CASA</v>
      </c>
      <c r="D221" s="20" t="s">
        <v>154</v>
      </c>
      <c r="E221" s="22" t="s">
        <v>465</v>
      </c>
      <c r="F221" s="22" t="s">
        <v>81</v>
      </c>
      <c r="G221" s="22" t="s">
        <v>475</v>
      </c>
      <c r="H221" s="22" t="s">
        <v>59</v>
      </c>
      <c r="I221" s="22" t="s">
        <v>59</v>
      </c>
      <c r="J221" s="22" t="s">
        <v>60</v>
      </c>
      <c r="K221" s="22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6">
        <v>13.0</v>
      </c>
      <c r="B222" s="20" t="str">
        <f t="array" ref="B222">INDEX('Báo cáo 75 trang đích'!$B$2:$B$76,$A222)</f>
        <v>https://techcombank.com/thong-tin/blog/cach-kiem-tra-tai-khoan-ngan-hang</v>
      </c>
      <c r="C222" s="22" t="str">
        <f t="array" ref="C222">INDEX('Báo cáo 75 trang đích'!$C$2:$C$76,$A222)</f>
        <v>CASA</v>
      </c>
      <c r="D222" s="20" t="s">
        <v>481</v>
      </c>
      <c r="E222" s="22" t="s">
        <v>468</v>
      </c>
      <c r="F222" s="22" t="s">
        <v>81</v>
      </c>
      <c r="G222" s="22" t="s">
        <v>475</v>
      </c>
      <c r="H222" s="22" t="s">
        <v>59</v>
      </c>
      <c r="I222" s="22" t="s">
        <v>59</v>
      </c>
      <c r="J222" s="22" t="s">
        <v>60</v>
      </c>
      <c r="K222" s="22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6">
        <v>13.0</v>
      </c>
      <c r="B223" s="20" t="str">
        <f t="array" ref="B223">INDEX('Báo cáo 75 trang đích'!$B$2:$B$76,$A223)</f>
        <v>https://techcombank.com/thong-tin/blog/cach-kiem-tra-tai-khoan-ngan-hang</v>
      </c>
      <c r="C223" s="22" t="str">
        <f t="array" ref="C223">INDEX('Báo cáo 75 trang đích'!$C$2:$C$76,$A223)</f>
        <v>CASA</v>
      </c>
      <c r="D223" s="20" t="s">
        <v>482</v>
      </c>
      <c r="E223" s="22" t="s">
        <v>131</v>
      </c>
      <c r="F223" s="22" t="s">
        <v>81</v>
      </c>
      <c r="G223" s="22" t="s">
        <v>475</v>
      </c>
      <c r="H223" s="22" t="s">
        <v>59</v>
      </c>
      <c r="I223" s="22" t="s">
        <v>59</v>
      </c>
      <c r="J223" s="22" t="s">
        <v>60</v>
      </c>
      <c r="K223" s="22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6">
        <v>13.0</v>
      </c>
      <c r="B224" s="20" t="str">
        <f t="array" ref="B224">INDEX('Báo cáo 75 trang đích'!$B$2:$B$76,$A224)</f>
        <v>https://techcombank.com/thong-tin/blog/cach-kiem-tra-tai-khoan-ngan-hang</v>
      </c>
      <c r="C224" s="22" t="str">
        <f t="array" ref="C224">INDEX('Báo cáo 75 trang đích'!$C$2:$C$76,$A224)</f>
        <v>CASA</v>
      </c>
      <c r="D224" s="20" t="s">
        <v>483</v>
      </c>
      <c r="E224" s="22" t="s">
        <v>465</v>
      </c>
      <c r="F224" s="22" t="s">
        <v>81</v>
      </c>
      <c r="G224" s="22" t="s">
        <v>475</v>
      </c>
      <c r="H224" s="22" t="s">
        <v>59</v>
      </c>
      <c r="I224" s="22" t="s">
        <v>59</v>
      </c>
      <c r="J224" s="22" t="s">
        <v>60</v>
      </c>
      <c r="K224" s="22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6">
        <v>13.0</v>
      </c>
      <c r="B225" s="20" t="str">
        <f t="array" ref="B225">INDEX('Báo cáo 75 trang đích'!$B$2:$B$76,$A225)</f>
        <v>https://techcombank.com/thong-tin/blog/cach-kiem-tra-tai-khoan-ngan-hang</v>
      </c>
      <c r="C225" s="22" t="str">
        <f t="array" ref="C225">INDEX('Báo cáo 75 trang đích'!$C$2:$C$76,$A225)</f>
        <v>CASA</v>
      </c>
      <c r="D225" s="20" t="s">
        <v>484</v>
      </c>
      <c r="E225" s="22" t="s">
        <v>468</v>
      </c>
      <c r="F225" s="22" t="s">
        <v>81</v>
      </c>
      <c r="G225" s="22" t="s">
        <v>475</v>
      </c>
      <c r="H225" s="22" t="s">
        <v>59</v>
      </c>
      <c r="I225" s="22" t="s">
        <v>59</v>
      </c>
      <c r="J225" s="22" t="s">
        <v>60</v>
      </c>
      <c r="K225" s="22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6">
        <v>13.0</v>
      </c>
      <c r="B226" s="20" t="str">
        <f t="array" ref="B226">INDEX('Báo cáo 75 trang đích'!$B$2:$B$76,$A226)</f>
        <v>https://techcombank.com/thong-tin/blog/cach-kiem-tra-tai-khoan-ngan-hang</v>
      </c>
      <c r="C226" s="22" t="str">
        <f t="array" ref="C226">INDEX('Báo cáo 75 trang đích'!$C$2:$C$76,$A226)</f>
        <v>CASA</v>
      </c>
      <c r="D226" s="20" t="s">
        <v>485</v>
      </c>
      <c r="E226" s="22" t="s">
        <v>131</v>
      </c>
      <c r="F226" s="22" t="s">
        <v>81</v>
      </c>
      <c r="G226" s="22" t="s">
        <v>475</v>
      </c>
      <c r="H226" s="22" t="s">
        <v>59</v>
      </c>
      <c r="I226" s="22" t="s">
        <v>59</v>
      </c>
      <c r="J226" s="22" t="s">
        <v>60</v>
      </c>
      <c r="K226" s="22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6">
        <v>13.0</v>
      </c>
      <c r="B227" s="20" t="str">
        <f t="array" ref="B227">INDEX('Báo cáo 75 trang đích'!$B$2:$B$76,$A227)</f>
        <v>https://techcombank.com/thong-tin/blog/cach-kiem-tra-tai-khoan-ngan-hang</v>
      </c>
      <c r="C227" s="22" t="str">
        <f t="array" ref="C227">INDEX('Báo cáo 75 trang đích'!$C$2:$C$76,$A227)</f>
        <v>CASA</v>
      </c>
      <c r="D227" s="20" t="s">
        <v>486</v>
      </c>
      <c r="E227" s="22" t="s">
        <v>465</v>
      </c>
      <c r="F227" s="22" t="s">
        <v>81</v>
      </c>
      <c r="G227" s="22" t="s">
        <v>477</v>
      </c>
      <c r="H227" s="22" t="s">
        <v>59</v>
      </c>
      <c r="I227" s="22" t="s">
        <v>59</v>
      </c>
      <c r="J227" s="22" t="s">
        <v>60</v>
      </c>
      <c r="K227" s="22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6">
        <v>13.0</v>
      </c>
      <c r="B228" s="20" t="str">
        <f t="array" ref="B228">INDEX('Báo cáo 75 trang đích'!$B$2:$B$76,$A228)</f>
        <v>https://techcombank.com/thong-tin/blog/cach-kiem-tra-tai-khoan-ngan-hang</v>
      </c>
      <c r="C228" s="22" t="str">
        <f t="array" ref="C228">INDEX('Báo cáo 75 trang đích'!$C$2:$C$76,$A228)</f>
        <v>CASA</v>
      </c>
      <c r="D228" s="20" t="s">
        <v>487</v>
      </c>
      <c r="E228" s="22" t="s">
        <v>468</v>
      </c>
      <c r="F228" s="22" t="s">
        <v>81</v>
      </c>
      <c r="G228" s="22" t="s">
        <v>477</v>
      </c>
      <c r="H228" s="22" t="s">
        <v>59</v>
      </c>
      <c r="I228" s="22" t="s">
        <v>59</v>
      </c>
      <c r="J228" s="22" t="s">
        <v>60</v>
      </c>
      <c r="K228" s="22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6">
        <v>13.0</v>
      </c>
      <c r="B229" s="20" t="str">
        <f t="array" ref="B229">INDEX('Báo cáo 75 trang đích'!$B$2:$B$76,$A229)</f>
        <v>https://techcombank.com/thong-tin/blog/cach-kiem-tra-tai-khoan-ngan-hang</v>
      </c>
      <c r="C229" s="22" t="str">
        <f t="array" ref="C229">INDEX('Báo cáo 75 trang đích'!$C$2:$C$76,$A229)</f>
        <v>CASA</v>
      </c>
      <c r="D229" s="20" t="s">
        <v>491</v>
      </c>
      <c r="E229" s="22" t="s">
        <v>131</v>
      </c>
      <c r="F229" s="22" t="s">
        <v>81</v>
      </c>
      <c r="G229" s="22" t="s">
        <v>475</v>
      </c>
      <c r="H229" s="22" t="s">
        <v>59</v>
      </c>
      <c r="I229" s="22" t="s">
        <v>59</v>
      </c>
      <c r="J229" s="22" t="s">
        <v>60</v>
      </c>
      <c r="K229" s="22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6">
        <v>13.0</v>
      </c>
      <c r="B230" s="20" t="str">
        <f t="array" ref="B230">INDEX('Báo cáo 75 trang đích'!$B$2:$B$76,$A230)</f>
        <v>https://techcombank.com/thong-tin/blog/cach-kiem-tra-tai-khoan-ngan-hang</v>
      </c>
      <c r="C230" s="22" t="str">
        <f t="array" ref="C230">INDEX('Báo cáo 75 trang đích'!$C$2:$C$76,$A230)</f>
        <v>CASA</v>
      </c>
      <c r="D230" s="20" t="s">
        <v>492</v>
      </c>
      <c r="E230" s="22" t="s">
        <v>465</v>
      </c>
      <c r="F230" s="22" t="s">
        <v>81</v>
      </c>
      <c r="G230" s="22" t="s">
        <v>475</v>
      </c>
      <c r="H230" s="22" t="s">
        <v>59</v>
      </c>
      <c r="I230" s="22" t="s">
        <v>59</v>
      </c>
      <c r="J230" s="22" t="s">
        <v>60</v>
      </c>
      <c r="K230" s="22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6">
        <v>13.0</v>
      </c>
      <c r="B231" s="20" t="str">
        <f t="array" ref="B231">INDEX('Báo cáo 75 trang đích'!$B$2:$B$76,$A231)</f>
        <v>https://techcombank.com/thong-tin/blog/cach-kiem-tra-tai-khoan-ngan-hang</v>
      </c>
      <c r="C231" s="22" t="str">
        <f t="array" ref="C231">INDEX('Báo cáo 75 trang đích'!$C$2:$C$76,$A231)</f>
        <v>CASA</v>
      </c>
      <c r="D231" s="20" t="s">
        <v>493</v>
      </c>
      <c r="E231" s="22" t="s">
        <v>468</v>
      </c>
      <c r="F231" s="22" t="s">
        <v>81</v>
      </c>
      <c r="G231" s="22" t="s">
        <v>475</v>
      </c>
      <c r="H231" s="22" t="s">
        <v>59</v>
      </c>
      <c r="I231" s="22" t="s">
        <v>59</v>
      </c>
      <c r="J231" s="22" t="s">
        <v>60</v>
      </c>
      <c r="K231" s="22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6">
        <v>13.0</v>
      </c>
      <c r="B232" s="20" t="str">
        <f t="array" ref="B232">INDEX('Báo cáo 75 trang đích'!$B$2:$B$76,$A232)</f>
        <v>https://techcombank.com/thong-tin/blog/cach-kiem-tra-tai-khoan-ngan-hang</v>
      </c>
      <c r="C232" s="22" t="str">
        <f t="array" ref="C232">INDEX('Báo cáo 75 trang đích'!$C$2:$C$76,$A232)</f>
        <v>CASA</v>
      </c>
      <c r="D232" s="20" t="s">
        <v>494</v>
      </c>
      <c r="E232" s="22" t="s">
        <v>131</v>
      </c>
      <c r="F232" s="22" t="s">
        <v>81</v>
      </c>
      <c r="G232" s="22" t="s">
        <v>477</v>
      </c>
      <c r="H232" s="22" t="s">
        <v>59</v>
      </c>
      <c r="I232" s="22" t="s">
        <v>59</v>
      </c>
      <c r="J232" s="22" t="s">
        <v>60</v>
      </c>
      <c r="K232" s="22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6">
        <v>14.0</v>
      </c>
      <c r="B233" s="20" t="str">
        <f t="array" ref="B233">INDEX('Báo cáo 75 trang đích'!$B$2:$B$76,$A233)</f>
        <v>https://techcombank.com/thong-tin/blog/cach-mo-tai-khoan</v>
      </c>
      <c r="C233" s="22" t="str">
        <f t="array" ref="C233">INDEX('Báo cáo 75 trang đích'!$C$2:$C$76,$A233)</f>
        <v>CASA</v>
      </c>
      <c r="D233" s="20" t="s">
        <v>495</v>
      </c>
      <c r="E233" s="22" t="s">
        <v>138</v>
      </c>
      <c r="F233" s="22" t="s">
        <v>57</v>
      </c>
      <c r="G233" s="22" t="s">
        <v>496</v>
      </c>
      <c r="H233" s="22" t="s">
        <v>59</v>
      </c>
      <c r="I233" s="22" t="s">
        <v>59</v>
      </c>
      <c r="J233" s="22" t="s">
        <v>60</v>
      </c>
      <c r="K233" s="22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6">
        <v>14.0</v>
      </c>
      <c r="B234" s="20" t="str">
        <f t="array" ref="B234">INDEX('Báo cáo 75 trang đích'!$B$2:$B$76,$A234)</f>
        <v>https://techcombank.com/thong-tin/blog/cach-mo-tai-khoan</v>
      </c>
      <c r="C234" s="22" t="str">
        <f t="array" ref="C234">INDEX('Báo cáo 75 trang đích'!$C$2:$C$76,$A234)</f>
        <v>CASA</v>
      </c>
      <c r="D234" s="20" t="s">
        <v>497</v>
      </c>
      <c r="E234" s="22" t="s">
        <v>498</v>
      </c>
      <c r="F234" s="22" t="s">
        <v>57</v>
      </c>
      <c r="G234" s="22" t="s">
        <v>499</v>
      </c>
      <c r="H234" s="22" t="s">
        <v>59</v>
      </c>
      <c r="I234" s="22" t="s">
        <v>59</v>
      </c>
      <c r="J234" s="22" t="s">
        <v>60</v>
      </c>
      <c r="K234" s="22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6">
        <v>14.0</v>
      </c>
      <c r="B235" s="20" t="str">
        <f t="array" ref="B235">INDEX('Báo cáo 75 trang đích'!$B$2:$B$76,$A235)</f>
        <v>https://techcombank.com/thong-tin/blog/cach-mo-tai-khoan</v>
      </c>
      <c r="C235" s="22" t="str">
        <f t="array" ref="C235">INDEX('Báo cáo 75 trang đích'!$C$2:$C$76,$A235)</f>
        <v>CASA</v>
      </c>
      <c r="D235" s="20" t="s">
        <v>500</v>
      </c>
      <c r="E235" s="22" t="s">
        <v>501</v>
      </c>
      <c r="F235" s="22" t="s">
        <v>57</v>
      </c>
      <c r="G235" s="22" t="s">
        <v>502</v>
      </c>
      <c r="H235" s="22" t="s">
        <v>59</v>
      </c>
      <c r="I235" s="22" t="s">
        <v>59</v>
      </c>
      <c r="J235" s="22" t="s">
        <v>60</v>
      </c>
      <c r="K235" s="22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">
        <v>14.0</v>
      </c>
      <c r="B236" s="20" t="str">
        <f t="array" ref="B236">INDEX('Báo cáo 75 trang đích'!$B$2:$B$76,$A236)</f>
        <v>https://techcombank.com/thong-tin/blog/cach-mo-tai-khoan</v>
      </c>
      <c r="C236" s="22" t="str">
        <f t="array" ref="C236">INDEX('Báo cáo 75 trang đích'!$C$2:$C$76,$A236)</f>
        <v>CASA</v>
      </c>
      <c r="D236" s="20" t="s">
        <v>503</v>
      </c>
      <c r="E236" s="22" t="s">
        <v>138</v>
      </c>
      <c r="F236" s="22" t="s">
        <v>57</v>
      </c>
      <c r="G236" s="22" t="s">
        <v>504</v>
      </c>
      <c r="H236" s="22" t="s">
        <v>59</v>
      </c>
      <c r="I236" s="22" t="s">
        <v>59</v>
      </c>
      <c r="J236" s="22" t="s">
        <v>60</v>
      </c>
      <c r="K236" s="22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6">
        <v>14.0</v>
      </c>
      <c r="B237" s="20" t="str">
        <f t="array" ref="B237">INDEX('Báo cáo 75 trang đích'!$B$2:$B$76,$A237)</f>
        <v>https://techcombank.com/thong-tin/blog/cach-mo-tai-khoan</v>
      </c>
      <c r="C237" s="22" t="str">
        <f t="array" ref="C237">INDEX('Báo cáo 75 trang đích'!$C$2:$C$76,$A237)</f>
        <v>CASA</v>
      </c>
      <c r="D237" s="20" t="s">
        <v>505</v>
      </c>
      <c r="E237" s="22" t="s">
        <v>498</v>
      </c>
      <c r="F237" s="22" t="s">
        <v>76</v>
      </c>
      <c r="G237" s="22" t="s">
        <v>506</v>
      </c>
      <c r="H237" s="22" t="s">
        <v>59</v>
      </c>
      <c r="I237" s="22" t="s">
        <v>59</v>
      </c>
      <c r="J237" s="22" t="s">
        <v>60</v>
      </c>
      <c r="K237" s="22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6">
        <v>14.0</v>
      </c>
      <c r="B238" s="20" t="str">
        <f t="array" ref="B238">INDEX('Báo cáo 75 trang đích'!$B$2:$B$76,$A238)</f>
        <v>https://techcombank.com/thong-tin/blog/cach-mo-tai-khoan</v>
      </c>
      <c r="C238" s="22" t="str">
        <f t="array" ref="C238">INDEX('Báo cáo 75 trang đích'!$C$2:$C$76,$A238)</f>
        <v>CASA</v>
      </c>
      <c r="D238" s="20" t="s">
        <v>338</v>
      </c>
      <c r="E238" s="22" t="s">
        <v>501</v>
      </c>
      <c r="F238" s="22" t="s">
        <v>81</v>
      </c>
      <c r="G238" s="22" t="s">
        <v>507</v>
      </c>
      <c r="H238" s="22" t="s">
        <v>59</v>
      </c>
      <c r="I238" s="22" t="s">
        <v>59</v>
      </c>
      <c r="J238" s="22" t="s">
        <v>60</v>
      </c>
      <c r="K238" s="22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6">
        <v>14.0</v>
      </c>
      <c r="B239" s="20" t="str">
        <f t="array" ref="B239">INDEX('Báo cáo 75 trang đích'!$B$2:$B$76,$A239)</f>
        <v>https://techcombank.com/thong-tin/blog/cach-mo-tai-khoan</v>
      </c>
      <c r="C239" s="22" t="str">
        <f t="array" ref="C239">INDEX('Báo cáo 75 trang đích'!$C$2:$C$76,$A239)</f>
        <v>CASA</v>
      </c>
      <c r="D239" s="20" t="s">
        <v>356</v>
      </c>
      <c r="E239" s="22" t="s">
        <v>138</v>
      </c>
      <c r="F239" s="22" t="s">
        <v>81</v>
      </c>
      <c r="G239" s="22" t="s">
        <v>508</v>
      </c>
      <c r="H239" s="22" t="s">
        <v>59</v>
      </c>
      <c r="I239" s="22" t="s">
        <v>59</v>
      </c>
      <c r="J239" s="22" t="s">
        <v>60</v>
      </c>
      <c r="K239" s="22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6">
        <v>14.0</v>
      </c>
      <c r="B240" s="20" t="str">
        <f t="array" ref="B240">INDEX('Báo cáo 75 trang đích'!$B$2:$B$76,$A240)</f>
        <v>https://techcombank.com/thong-tin/blog/cach-mo-tai-khoan</v>
      </c>
      <c r="C240" s="22" t="str">
        <f t="array" ref="C240">INDEX('Báo cáo 75 trang đích'!$C$2:$C$76,$A240)</f>
        <v>CASA</v>
      </c>
      <c r="D240" s="20" t="s">
        <v>304</v>
      </c>
      <c r="E240" s="22" t="s">
        <v>498</v>
      </c>
      <c r="F240" s="22" t="s">
        <v>81</v>
      </c>
      <c r="G240" s="22" t="s">
        <v>507</v>
      </c>
      <c r="H240" s="22" t="s">
        <v>59</v>
      </c>
      <c r="I240" s="22" t="s">
        <v>59</v>
      </c>
      <c r="J240" s="22" t="s">
        <v>60</v>
      </c>
      <c r="K240" s="22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6">
        <v>14.0</v>
      </c>
      <c r="B241" s="20" t="str">
        <f t="array" ref="B241">INDEX('Báo cáo 75 trang đích'!$B$2:$B$76,$A241)</f>
        <v>https://techcombank.com/thong-tin/blog/cach-mo-tai-khoan</v>
      </c>
      <c r="C241" s="22" t="str">
        <f t="array" ref="C241">INDEX('Báo cáo 75 trang đích'!$C$2:$C$76,$A241)</f>
        <v>CASA</v>
      </c>
      <c r="D241" s="20" t="s">
        <v>86</v>
      </c>
      <c r="E241" s="22" t="s">
        <v>501</v>
      </c>
      <c r="F241" s="22" t="s">
        <v>81</v>
      </c>
      <c r="G241" s="22" t="s">
        <v>508</v>
      </c>
      <c r="H241" s="22" t="s">
        <v>59</v>
      </c>
      <c r="I241" s="22" t="s">
        <v>59</v>
      </c>
      <c r="J241" s="22" t="s">
        <v>60</v>
      </c>
      <c r="K241" s="22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6">
        <v>14.0</v>
      </c>
      <c r="B242" s="20" t="str">
        <f t="array" ref="B242">INDEX('Báo cáo 75 trang đích'!$B$2:$B$76,$A242)</f>
        <v>https://techcombank.com/thong-tin/blog/cach-mo-tai-khoan</v>
      </c>
      <c r="C242" s="22" t="str">
        <f t="array" ref="C242">INDEX('Báo cáo 75 trang đích'!$C$2:$C$76,$A242)</f>
        <v>CASA</v>
      </c>
      <c r="D242" s="20" t="s">
        <v>472</v>
      </c>
      <c r="E242" s="22" t="s">
        <v>138</v>
      </c>
      <c r="F242" s="22" t="s">
        <v>81</v>
      </c>
      <c r="G242" s="22" t="s">
        <v>508</v>
      </c>
      <c r="H242" s="22" t="s">
        <v>59</v>
      </c>
      <c r="I242" s="22" t="s">
        <v>59</v>
      </c>
      <c r="J242" s="22" t="s">
        <v>60</v>
      </c>
      <c r="K242" s="22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6">
        <v>14.0</v>
      </c>
      <c r="B243" s="20" t="str">
        <f t="array" ref="B243">INDEX('Báo cáo 75 trang đích'!$B$2:$B$76,$A243)</f>
        <v>https://techcombank.com/thong-tin/blog/cach-mo-tai-khoan</v>
      </c>
      <c r="C243" s="22" t="str">
        <f t="array" ref="C243">INDEX('Báo cáo 75 trang đích'!$C$2:$C$76,$A243)</f>
        <v>CASA</v>
      </c>
      <c r="D243" s="20" t="s">
        <v>509</v>
      </c>
      <c r="E243" s="22" t="s">
        <v>498</v>
      </c>
      <c r="F243" s="22" t="s">
        <v>81</v>
      </c>
      <c r="G243" s="22" t="s">
        <v>508</v>
      </c>
      <c r="H243" s="22" t="s">
        <v>59</v>
      </c>
      <c r="I243" s="22" t="s">
        <v>59</v>
      </c>
      <c r="J243" s="22" t="s">
        <v>60</v>
      </c>
      <c r="K243" s="22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6">
        <v>14.0</v>
      </c>
      <c r="B244" s="20" t="str">
        <f t="array" ref="B244">INDEX('Báo cáo 75 trang đích'!$B$2:$B$76,$A244)</f>
        <v>https://techcombank.com/thong-tin/blog/cach-mo-tai-khoan</v>
      </c>
      <c r="C244" s="22" t="str">
        <f t="array" ref="C244">INDEX('Báo cáo 75 trang đích'!$C$2:$C$76,$A244)</f>
        <v>CASA</v>
      </c>
      <c r="D244" s="20" t="s">
        <v>474</v>
      </c>
      <c r="E244" s="22" t="s">
        <v>501</v>
      </c>
      <c r="F244" s="22" t="s">
        <v>81</v>
      </c>
      <c r="G244" s="22" t="s">
        <v>508</v>
      </c>
      <c r="H244" s="22" t="s">
        <v>59</v>
      </c>
      <c r="I244" s="22" t="s">
        <v>59</v>
      </c>
      <c r="J244" s="22" t="s">
        <v>60</v>
      </c>
      <c r="K244" s="22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6">
        <v>14.0</v>
      </c>
      <c r="B245" s="20" t="str">
        <f t="array" ref="B245">INDEX('Báo cáo 75 trang đích'!$B$2:$B$76,$A245)</f>
        <v>https://techcombank.com/thong-tin/blog/cach-mo-tai-khoan</v>
      </c>
      <c r="C245" s="22" t="str">
        <f t="array" ref="C245">INDEX('Báo cáo 75 trang đích'!$C$2:$C$76,$A245)</f>
        <v>CASA</v>
      </c>
      <c r="D245" s="20" t="s">
        <v>510</v>
      </c>
      <c r="E245" s="22" t="s">
        <v>138</v>
      </c>
      <c r="F245" s="22" t="s">
        <v>81</v>
      </c>
      <c r="G245" s="22" t="s">
        <v>508</v>
      </c>
      <c r="H245" s="22" t="s">
        <v>59</v>
      </c>
      <c r="I245" s="22" t="s">
        <v>59</v>
      </c>
      <c r="J245" s="22" t="s">
        <v>60</v>
      </c>
      <c r="K245" s="22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6">
        <v>14.0</v>
      </c>
      <c r="B246" s="20" t="str">
        <f t="array" ref="B246">INDEX('Báo cáo 75 trang đích'!$B$2:$B$76,$A246)</f>
        <v>https://techcombank.com/thong-tin/blog/cach-mo-tai-khoan</v>
      </c>
      <c r="C246" s="22" t="str">
        <f t="array" ref="C246">INDEX('Báo cáo 75 trang đích'!$C$2:$C$76,$A246)</f>
        <v>CASA</v>
      </c>
      <c r="D246" s="20" t="s">
        <v>511</v>
      </c>
      <c r="E246" s="22" t="s">
        <v>498</v>
      </c>
      <c r="F246" s="22" t="s">
        <v>81</v>
      </c>
      <c r="G246" s="22" t="s">
        <v>512</v>
      </c>
      <c r="H246" s="22" t="s">
        <v>59</v>
      </c>
      <c r="I246" s="22" t="s">
        <v>59</v>
      </c>
      <c r="J246" s="22" t="s">
        <v>60</v>
      </c>
      <c r="K246" s="22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6">
        <v>14.0</v>
      </c>
      <c r="B247" s="20" t="str">
        <f t="array" ref="B247">INDEX('Báo cáo 75 trang đích'!$B$2:$B$76,$A247)</f>
        <v>https://techcombank.com/thong-tin/blog/cach-mo-tai-khoan</v>
      </c>
      <c r="C247" s="22" t="str">
        <f t="array" ref="C247">INDEX('Báo cáo 75 trang đích'!$C$2:$C$76,$A247)</f>
        <v>CASA</v>
      </c>
      <c r="D247" s="20" t="s">
        <v>513</v>
      </c>
      <c r="E247" s="22" t="s">
        <v>501</v>
      </c>
      <c r="F247" s="22" t="s">
        <v>81</v>
      </c>
      <c r="G247" s="22" t="s">
        <v>508</v>
      </c>
      <c r="H247" s="22" t="s">
        <v>59</v>
      </c>
      <c r="I247" s="22" t="s">
        <v>59</v>
      </c>
      <c r="J247" s="22" t="s">
        <v>60</v>
      </c>
      <c r="K247" s="22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6">
        <v>14.0</v>
      </c>
      <c r="B248" s="20" t="str">
        <f t="array" ref="B248">INDEX('Báo cáo 75 trang đích'!$B$2:$B$76,$A248)</f>
        <v>https://techcombank.com/thong-tin/blog/cach-mo-tai-khoan</v>
      </c>
      <c r="C248" s="22" t="str">
        <f t="array" ref="C248">INDEX('Báo cáo 75 trang đích'!$C$2:$C$76,$A248)</f>
        <v>CASA</v>
      </c>
      <c r="D248" s="20" t="s">
        <v>514</v>
      </c>
      <c r="E248" s="22" t="s">
        <v>138</v>
      </c>
      <c r="F248" s="22" t="s">
        <v>81</v>
      </c>
      <c r="G248" s="22" t="s">
        <v>515</v>
      </c>
      <c r="H248" s="22" t="s">
        <v>59</v>
      </c>
      <c r="I248" s="22" t="s">
        <v>59</v>
      </c>
      <c r="J248" s="22" t="s">
        <v>60</v>
      </c>
      <c r="K248" s="22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6">
        <v>14.0</v>
      </c>
      <c r="B249" s="20" t="str">
        <f t="array" ref="B249">INDEX('Báo cáo 75 trang đích'!$B$2:$B$76,$A249)</f>
        <v>https://techcombank.com/thong-tin/blog/cach-mo-tai-khoan</v>
      </c>
      <c r="C249" s="22" t="str">
        <f t="array" ref="C249">INDEX('Báo cáo 75 trang đích'!$C$2:$C$76,$A249)</f>
        <v>CASA</v>
      </c>
      <c r="D249" s="20" t="s">
        <v>147</v>
      </c>
      <c r="E249" s="22" t="s">
        <v>498</v>
      </c>
      <c r="F249" s="22" t="s">
        <v>81</v>
      </c>
      <c r="G249" s="22" t="s">
        <v>508</v>
      </c>
      <c r="H249" s="22" t="s">
        <v>59</v>
      </c>
      <c r="I249" s="22" t="s">
        <v>59</v>
      </c>
      <c r="J249" s="22" t="s">
        <v>60</v>
      </c>
      <c r="K249" s="22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6">
        <v>14.0</v>
      </c>
      <c r="B250" s="20" t="str">
        <f t="array" ref="B250">INDEX('Báo cáo 75 trang đích'!$B$2:$B$76,$A250)</f>
        <v>https://techcombank.com/thong-tin/blog/cach-mo-tai-khoan</v>
      </c>
      <c r="C250" s="22" t="str">
        <f t="array" ref="C250">INDEX('Báo cáo 75 trang đích'!$C$2:$C$76,$A250)</f>
        <v>CASA</v>
      </c>
      <c r="D250" s="20" t="s">
        <v>516</v>
      </c>
      <c r="E250" s="22" t="s">
        <v>501</v>
      </c>
      <c r="F250" s="22" t="s">
        <v>81</v>
      </c>
      <c r="G250" s="22" t="s">
        <v>508</v>
      </c>
      <c r="H250" s="22" t="s">
        <v>59</v>
      </c>
      <c r="I250" s="22" t="s">
        <v>59</v>
      </c>
      <c r="J250" s="22" t="s">
        <v>60</v>
      </c>
      <c r="K250" s="22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6">
        <v>14.0</v>
      </c>
      <c r="B251" s="20" t="str">
        <f t="array" ref="B251">INDEX('Báo cáo 75 trang đích'!$B$2:$B$76,$A251)</f>
        <v>https://techcombank.com/thong-tin/blog/cach-mo-tai-khoan</v>
      </c>
      <c r="C251" s="22" t="str">
        <f t="array" ref="C251">INDEX('Báo cáo 75 trang đích'!$C$2:$C$76,$A251)</f>
        <v>CASA</v>
      </c>
      <c r="D251" s="20" t="s">
        <v>517</v>
      </c>
      <c r="E251" s="22" t="s">
        <v>138</v>
      </c>
      <c r="F251" s="22" t="s">
        <v>81</v>
      </c>
      <c r="G251" s="22" t="s">
        <v>518</v>
      </c>
      <c r="H251" s="22" t="s">
        <v>59</v>
      </c>
      <c r="I251" s="22" t="s">
        <v>59</v>
      </c>
      <c r="J251" s="22" t="s">
        <v>60</v>
      </c>
      <c r="K251" s="22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6">
        <v>14.0</v>
      </c>
      <c r="B252" s="20" t="str">
        <f t="array" ref="B252">INDEX('Báo cáo 75 trang đích'!$B$2:$B$76,$A252)</f>
        <v>https://techcombank.com/thong-tin/blog/cach-mo-tai-khoan</v>
      </c>
      <c r="C252" s="22" t="str">
        <f t="array" ref="C252">INDEX('Báo cáo 75 trang đích'!$C$2:$C$76,$A252)</f>
        <v>CASA</v>
      </c>
      <c r="D252" s="20" t="s">
        <v>478</v>
      </c>
      <c r="E252" s="22" t="s">
        <v>498</v>
      </c>
      <c r="F252" s="22" t="s">
        <v>81</v>
      </c>
      <c r="G252" s="22" t="s">
        <v>508</v>
      </c>
      <c r="H252" s="22" t="s">
        <v>59</v>
      </c>
      <c r="I252" s="22" t="s">
        <v>59</v>
      </c>
      <c r="J252" s="22" t="s">
        <v>60</v>
      </c>
      <c r="K252" s="22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6">
        <v>14.0</v>
      </c>
      <c r="B253" s="20" t="str">
        <f t="array" ref="B253">INDEX('Báo cáo 75 trang đích'!$B$2:$B$76,$A253)</f>
        <v>https://techcombank.com/thong-tin/blog/cach-mo-tai-khoan</v>
      </c>
      <c r="C253" s="22" t="str">
        <f t="array" ref="C253">INDEX('Báo cáo 75 trang đích'!$C$2:$C$76,$A253)</f>
        <v>CASA</v>
      </c>
      <c r="D253" s="20" t="s">
        <v>519</v>
      </c>
      <c r="E253" s="22" t="s">
        <v>501</v>
      </c>
      <c r="F253" s="22" t="s">
        <v>81</v>
      </c>
      <c r="G253" s="22" t="s">
        <v>508</v>
      </c>
      <c r="H253" s="22" t="s">
        <v>59</v>
      </c>
      <c r="I253" s="22" t="s">
        <v>59</v>
      </c>
      <c r="J253" s="22" t="s">
        <v>60</v>
      </c>
      <c r="K253" s="22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6">
        <v>14.0</v>
      </c>
      <c r="B254" s="20" t="str">
        <f t="array" ref="B254">INDEX('Báo cáo 75 trang đích'!$B$2:$B$76,$A254)</f>
        <v>https://techcombank.com/thong-tin/blog/cach-mo-tai-khoan</v>
      </c>
      <c r="C254" s="22" t="str">
        <f t="array" ref="C254">INDEX('Báo cáo 75 trang đích'!$C$2:$C$76,$A254)</f>
        <v>CASA</v>
      </c>
      <c r="D254" s="20" t="s">
        <v>522</v>
      </c>
      <c r="E254" s="22" t="s">
        <v>138</v>
      </c>
      <c r="F254" s="22" t="s">
        <v>81</v>
      </c>
      <c r="G254" s="22" t="s">
        <v>507</v>
      </c>
      <c r="H254" s="22" t="s">
        <v>59</v>
      </c>
      <c r="I254" s="22" t="s">
        <v>59</v>
      </c>
      <c r="J254" s="22" t="s">
        <v>60</v>
      </c>
      <c r="K254" s="22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6">
        <v>14.0</v>
      </c>
      <c r="B255" s="20" t="str">
        <f t="array" ref="B255">INDEX('Báo cáo 75 trang đích'!$B$2:$B$76,$A255)</f>
        <v>https://techcombank.com/thong-tin/blog/cach-mo-tai-khoan</v>
      </c>
      <c r="C255" s="22" t="str">
        <f t="array" ref="C255">INDEX('Báo cáo 75 trang đích'!$C$2:$C$76,$A255)</f>
        <v>CASA</v>
      </c>
      <c r="D255" s="20" t="s">
        <v>523</v>
      </c>
      <c r="E255" s="22" t="s">
        <v>498</v>
      </c>
      <c r="F255" s="22" t="s">
        <v>81</v>
      </c>
      <c r="G255" s="22" t="s">
        <v>508</v>
      </c>
      <c r="H255" s="22" t="s">
        <v>59</v>
      </c>
      <c r="I255" s="22" t="s">
        <v>59</v>
      </c>
      <c r="J255" s="22" t="s">
        <v>60</v>
      </c>
      <c r="K255" s="22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6">
        <v>14.0</v>
      </c>
      <c r="B256" s="20" t="str">
        <f t="array" ref="B256">INDEX('Báo cáo 75 trang đích'!$B$2:$B$76,$A256)</f>
        <v>https://techcombank.com/thong-tin/blog/cach-mo-tai-khoan</v>
      </c>
      <c r="C256" s="22" t="str">
        <f t="array" ref="C256">INDEX('Báo cáo 75 trang đích'!$C$2:$C$76,$A256)</f>
        <v>CASA</v>
      </c>
      <c r="D256" s="20" t="s">
        <v>164</v>
      </c>
      <c r="E256" s="22" t="s">
        <v>501</v>
      </c>
      <c r="F256" s="22" t="s">
        <v>81</v>
      </c>
      <c r="G256" s="22" t="s">
        <v>508</v>
      </c>
      <c r="H256" s="22" t="s">
        <v>59</v>
      </c>
      <c r="I256" s="22" t="s">
        <v>59</v>
      </c>
      <c r="J256" s="22" t="s">
        <v>60</v>
      </c>
      <c r="K256" s="22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6">
        <v>14.0</v>
      </c>
      <c r="B257" s="20" t="str">
        <f t="array" ref="B257">INDEX('Báo cáo 75 trang đích'!$B$2:$B$76,$A257)</f>
        <v>https://techcombank.com/thong-tin/blog/cach-mo-tai-khoan</v>
      </c>
      <c r="C257" s="22" t="str">
        <f t="array" ref="C257">INDEX('Báo cáo 75 trang đích'!$C$2:$C$76,$A257)</f>
        <v>CASA</v>
      </c>
      <c r="D257" s="20" t="s">
        <v>479</v>
      </c>
      <c r="E257" s="22" t="s">
        <v>138</v>
      </c>
      <c r="F257" s="22" t="s">
        <v>81</v>
      </c>
      <c r="G257" s="22" t="s">
        <v>508</v>
      </c>
      <c r="H257" s="22" t="s">
        <v>59</v>
      </c>
      <c r="I257" s="22" t="s">
        <v>59</v>
      </c>
      <c r="J257" s="22" t="s">
        <v>60</v>
      </c>
      <c r="K257" s="22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6">
        <v>14.0</v>
      </c>
      <c r="B258" s="20" t="str">
        <f t="array" ref="B258">INDEX('Báo cáo 75 trang đích'!$B$2:$B$76,$A258)</f>
        <v>https://techcombank.com/thong-tin/blog/cach-mo-tai-khoan</v>
      </c>
      <c r="C258" s="22" t="str">
        <f t="array" ref="C258">INDEX('Báo cáo 75 trang đích'!$C$2:$C$76,$A258)</f>
        <v>CASA</v>
      </c>
      <c r="D258" s="20" t="s">
        <v>426</v>
      </c>
      <c r="E258" s="22" t="s">
        <v>498</v>
      </c>
      <c r="F258" s="22" t="s">
        <v>81</v>
      </c>
      <c r="G258" s="22" t="s">
        <v>508</v>
      </c>
      <c r="H258" s="22" t="s">
        <v>59</v>
      </c>
      <c r="I258" s="22" t="s">
        <v>59</v>
      </c>
      <c r="J258" s="22" t="s">
        <v>60</v>
      </c>
      <c r="K258" s="22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6">
        <v>14.0</v>
      </c>
      <c r="B259" s="20" t="str">
        <f t="array" ref="B259">INDEX('Báo cáo 75 trang đích'!$B$2:$B$76,$A259)</f>
        <v>https://techcombank.com/thong-tin/blog/cach-mo-tai-khoan</v>
      </c>
      <c r="C259" s="22" t="str">
        <f t="array" ref="C259">INDEX('Báo cáo 75 trang đích'!$C$2:$C$76,$A259)</f>
        <v>CASA</v>
      </c>
      <c r="D259" s="20" t="s">
        <v>368</v>
      </c>
      <c r="E259" s="22" t="s">
        <v>501</v>
      </c>
      <c r="F259" s="22" t="s">
        <v>81</v>
      </c>
      <c r="G259" s="22" t="s">
        <v>507</v>
      </c>
      <c r="H259" s="22" t="s">
        <v>59</v>
      </c>
      <c r="I259" s="22" t="s">
        <v>59</v>
      </c>
      <c r="J259" s="22" t="s">
        <v>60</v>
      </c>
      <c r="K259" s="22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6">
        <v>14.0</v>
      </c>
      <c r="B260" s="20" t="str">
        <f t="array" ref="B260">INDEX('Báo cáo 75 trang đích'!$B$2:$B$76,$A260)</f>
        <v>https://techcombank.com/thong-tin/blog/cach-mo-tai-khoan</v>
      </c>
      <c r="C260" s="22" t="str">
        <f t="array" ref="C260">INDEX('Báo cáo 75 trang đích'!$C$2:$C$76,$A260)</f>
        <v>CASA</v>
      </c>
      <c r="D260" s="20" t="s">
        <v>142</v>
      </c>
      <c r="E260" s="22" t="s">
        <v>138</v>
      </c>
      <c r="F260" s="22" t="s">
        <v>81</v>
      </c>
      <c r="G260" s="22" t="s">
        <v>512</v>
      </c>
      <c r="H260" s="22" t="s">
        <v>59</v>
      </c>
      <c r="I260" s="22" t="s">
        <v>59</v>
      </c>
      <c r="J260" s="22" t="s">
        <v>60</v>
      </c>
      <c r="K260" s="22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6">
        <v>14.0</v>
      </c>
      <c r="B261" s="20" t="str">
        <f t="array" ref="B261">INDEX('Báo cáo 75 trang đích'!$B$2:$B$76,$A261)</f>
        <v>https://techcombank.com/thong-tin/blog/cach-mo-tai-khoan</v>
      </c>
      <c r="C261" s="22" t="str">
        <f t="array" ref="C261">INDEX('Báo cáo 75 trang đích'!$C$2:$C$76,$A261)</f>
        <v>CASA</v>
      </c>
      <c r="D261" s="20" t="s">
        <v>416</v>
      </c>
      <c r="E261" s="22" t="s">
        <v>498</v>
      </c>
      <c r="F261" s="22" t="s">
        <v>81</v>
      </c>
      <c r="G261" s="22" t="s">
        <v>508</v>
      </c>
      <c r="H261" s="22" t="s">
        <v>59</v>
      </c>
      <c r="I261" s="22" t="s">
        <v>59</v>
      </c>
      <c r="J261" s="22" t="s">
        <v>60</v>
      </c>
      <c r="K261" s="22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6">
        <v>14.0</v>
      </c>
      <c r="B262" s="20" t="str">
        <f t="array" ref="B262">INDEX('Báo cáo 75 trang đích'!$B$2:$B$76,$A262)</f>
        <v>https://techcombank.com/thong-tin/blog/cach-mo-tai-khoan</v>
      </c>
      <c r="C262" s="22" t="str">
        <f t="array" ref="C262">INDEX('Báo cáo 75 trang đích'!$C$2:$C$76,$A262)</f>
        <v>CASA</v>
      </c>
      <c r="D262" s="20" t="s">
        <v>539</v>
      </c>
      <c r="E262" s="22" t="s">
        <v>501</v>
      </c>
      <c r="F262" s="22" t="s">
        <v>81</v>
      </c>
      <c r="G262" s="22" t="s">
        <v>507</v>
      </c>
      <c r="H262" s="22" t="s">
        <v>59</v>
      </c>
      <c r="I262" s="22" t="s">
        <v>59</v>
      </c>
      <c r="J262" s="22" t="s">
        <v>60</v>
      </c>
      <c r="K262" s="22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6">
        <v>14.0</v>
      </c>
      <c r="B263" s="20" t="str">
        <f t="array" ref="B263">INDEX('Báo cáo 75 trang đích'!$B$2:$B$76,$A263)</f>
        <v>https://techcombank.com/thong-tin/blog/cach-mo-tai-khoan</v>
      </c>
      <c r="C263" s="22" t="str">
        <f t="array" ref="C263">INDEX('Báo cáo 75 trang đích'!$C$2:$C$76,$A263)</f>
        <v>CASA</v>
      </c>
      <c r="D263" s="20" t="s">
        <v>216</v>
      </c>
      <c r="E263" s="22" t="s">
        <v>138</v>
      </c>
      <c r="F263" s="22" t="s">
        <v>81</v>
      </c>
      <c r="G263" s="22" t="s">
        <v>508</v>
      </c>
      <c r="H263" s="22" t="s">
        <v>59</v>
      </c>
      <c r="I263" s="22" t="s">
        <v>59</v>
      </c>
      <c r="J263" s="22" t="s">
        <v>60</v>
      </c>
      <c r="K263" s="22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6">
        <v>14.0</v>
      </c>
      <c r="B264" s="20" t="str">
        <f t="array" ref="B264">INDEX('Báo cáo 75 trang đích'!$B$2:$B$76,$A264)</f>
        <v>https://techcombank.com/thong-tin/blog/cach-mo-tai-khoan</v>
      </c>
      <c r="C264" s="22" t="str">
        <f t="array" ref="C264">INDEX('Báo cáo 75 trang đích'!$C$2:$C$76,$A264)</f>
        <v>CASA</v>
      </c>
      <c r="D264" s="20" t="s">
        <v>542</v>
      </c>
      <c r="E264" s="22" t="s">
        <v>498</v>
      </c>
      <c r="F264" s="22" t="s">
        <v>81</v>
      </c>
      <c r="G264" s="22" t="s">
        <v>508</v>
      </c>
      <c r="H264" s="22" t="s">
        <v>59</v>
      </c>
      <c r="I264" s="22" t="s">
        <v>59</v>
      </c>
      <c r="J264" s="22" t="s">
        <v>60</v>
      </c>
      <c r="K264" s="22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6">
        <v>14.0</v>
      </c>
      <c r="B265" s="20" t="str">
        <f t="array" ref="B265">INDEX('Báo cáo 75 trang đích'!$B$2:$B$76,$A265)</f>
        <v>https://techcombank.com/thong-tin/blog/cach-mo-tai-khoan</v>
      </c>
      <c r="C265" s="22" t="str">
        <f t="array" ref="C265">INDEX('Báo cáo 75 trang đích'!$C$2:$C$76,$A265)</f>
        <v>CASA</v>
      </c>
      <c r="D265" s="20" t="s">
        <v>545</v>
      </c>
      <c r="E265" s="22" t="s">
        <v>501</v>
      </c>
      <c r="F265" s="22" t="s">
        <v>81</v>
      </c>
      <c r="G265" s="22" t="s">
        <v>512</v>
      </c>
      <c r="H265" s="22" t="s">
        <v>59</v>
      </c>
      <c r="I265" s="22" t="s">
        <v>59</v>
      </c>
      <c r="J265" s="22" t="s">
        <v>60</v>
      </c>
      <c r="K265" s="22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6">
        <v>14.0</v>
      </c>
      <c r="B266" s="20" t="str">
        <f t="array" ref="B266">INDEX('Báo cáo 75 trang đích'!$B$2:$B$76,$A266)</f>
        <v>https://techcombank.com/thong-tin/blog/cach-mo-tai-khoan</v>
      </c>
      <c r="C266" s="22" t="str">
        <f t="array" ref="C266">INDEX('Báo cáo 75 trang đích'!$C$2:$C$76,$A266)</f>
        <v>CASA</v>
      </c>
      <c r="D266" s="20" t="s">
        <v>548</v>
      </c>
      <c r="E266" s="22" t="s">
        <v>138</v>
      </c>
      <c r="F266" s="22" t="s">
        <v>81</v>
      </c>
      <c r="G266" s="22" t="s">
        <v>508</v>
      </c>
      <c r="H266" s="22" t="s">
        <v>59</v>
      </c>
      <c r="I266" s="22" t="s">
        <v>59</v>
      </c>
      <c r="J266" s="22" t="s">
        <v>60</v>
      </c>
      <c r="K266" s="22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6">
        <v>14.0</v>
      </c>
      <c r="B267" s="20" t="str">
        <f t="array" ref="B267">INDEX('Báo cáo 75 trang đích'!$B$2:$B$76,$A267)</f>
        <v>https://techcombank.com/thong-tin/blog/cach-mo-tai-khoan</v>
      </c>
      <c r="C267" s="22" t="str">
        <f t="array" ref="C267">INDEX('Báo cáo 75 trang đích'!$C$2:$C$76,$A267)</f>
        <v>CASA</v>
      </c>
      <c r="D267" s="20" t="s">
        <v>483</v>
      </c>
      <c r="E267" s="22" t="s">
        <v>498</v>
      </c>
      <c r="F267" s="22" t="s">
        <v>81</v>
      </c>
      <c r="G267" s="22" t="s">
        <v>508</v>
      </c>
      <c r="H267" s="22" t="s">
        <v>59</v>
      </c>
      <c r="I267" s="22" t="s">
        <v>59</v>
      </c>
      <c r="J267" s="22" t="s">
        <v>60</v>
      </c>
      <c r="K267" s="22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6">
        <v>14.0</v>
      </c>
      <c r="B268" s="20" t="str">
        <f t="array" ref="B268">INDEX('Báo cáo 75 trang đích'!$B$2:$B$76,$A268)</f>
        <v>https://techcombank.com/thong-tin/blog/cach-mo-tai-khoan</v>
      </c>
      <c r="C268" s="22" t="str">
        <f t="array" ref="C268">INDEX('Báo cáo 75 trang đích'!$C$2:$C$76,$A268)</f>
        <v>CASA</v>
      </c>
      <c r="D268" s="20" t="s">
        <v>553</v>
      </c>
      <c r="E268" s="22" t="s">
        <v>501</v>
      </c>
      <c r="F268" s="22" t="s">
        <v>81</v>
      </c>
      <c r="G268" s="22" t="s">
        <v>512</v>
      </c>
      <c r="H268" s="22" t="s">
        <v>59</v>
      </c>
      <c r="I268" s="22" t="s">
        <v>59</v>
      </c>
      <c r="J268" s="22" t="s">
        <v>60</v>
      </c>
      <c r="K268" s="22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6">
        <v>14.0</v>
      </c>
      <c r="B269" s="20" t="str">
        <f t="array" ref="B269">INDEX('Báo cáo 75 trang đích'!$B$2:$B$76,$A269)</f>
        <v>https://techcombank.com/thong-tin/blog/cach-mo-tai-khoan</v>
      </c>
      <c r="C269" s="22" t="str">
        <f t="array" ref="C269">INDEX('Báo cáo 75 trang đích'!$C$2:$C$76,$A269)</f>
        <v>CASA</v>
      </c>
      <c r="D269" s="20" t="s">
        <v>485</v>
      </c>
      <c r="E269" s="22" t="s">
        <v>138</v>
      </c>
      <c r="F269" s="22" t="s">
        <v>81</v>
      </c>
      <c r="G269" s="22" t="s">
        <v>512</v>
      </c>
      <c r="H269" s="22" t="s">
        <v>59</v>
      </c>
      <c r="I269" s="22" t="s">
        <v>59</v>
      </c>
      <c r="J269" s="22" t="s">
        <v>60</v>
      </c>
      <c r="K269" s="22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6">
        <v>14.0</v>
      </c>
      <c r="B270" s="20" t="str">
        <f t="array" ref="B270">INDEX('Báo cáo 75 trang đích'!$B$2:$B$76,$A270)</f>
        <v>https://techcombank.com/thong-tin/blog/cach-mo-tai-khoan</v>
      </c>
      <c r="C270" s="22" t="str">
        <f t="array" ref="C270">INDEX('Báo cáo 75 trang đích'!$C$2:$C$76,$A270)</f>
        <v>CASA</v>
      </c>
      <c r="D270" s="20" t="s">
        <v>559</v>
      </c>
      <c r="E270" s="22" t="s">
        <v>498</v>
      </c>
      <c r="F270" s="22" t="s">
        <v>81</v>
      </c>
      <c r="G270" s="22" t="s">
        <v>507</v>
      </c>
      <c r="H270" s="22" t="s">
        <v>59</v>
      </c>
      <c r="I270" s="22" t="s">
        <v>59</v>
      </c>
      <c r="J270" s="22" t="s">
        <v>60</v>
      </c>
      <c r="K270" s="22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6">
        <v>14.0</v>
      </c>
      <c r="B271" s="20" t="str">
        <f t="array" ref="B271">INDEX('Báo cáo 75 trang đích'!$B$2:$B$76,$A271)</f>
        <v>https://techcombank.com/thong-tin/blog/cach-mo-tai-khoan</v>
      </c>
      <c r="C271" s="22" t="str">
        <f t="array" ref="C271">INDEX('Báo cáo 75 trang đích'!$C$2:$C$76,$A271)</f>
        <v>CASA</v>
      </c>
      <c r="D271" s="20" t="s">
        <v>562</v>
      </c>
      <c r="E271" s="22" t="s">
        <v>501</v>
      </c>
      <c r="F271" s="22" t="s">
        <v>81</v>
      </c>
      <c r="G271" s="22" t="s">
        <v>508</v>
      </c>
      <c r="H271" s="22" t="s">
        <v>59</v>
      </c>
      <c r="I271" s="22" t="s">
        <v>59</v>
      </c>
      <c r="J271" s="22" t="s">
        <v>60</v>
      </c>
      <c r="K271" s="22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6">
        <v>14.0</v>
      </c>
      <c r="B272" s="20" t="str">
        <f t="array" ref="B272">INDEX('Báo cáo 75 trang đích'!$B$2:$B$76,$A272)</f>
        <v>https://techcombank.com/thong-tin/blog/cach-mo-tai-khoan</v>
      </c>
      <c r="C272" s="22" t="str">
        <f t="array" ref="C272">INDEX('Báo cáo 75 trang đích'!$C$2:$C$76,$A272)</f>
        <v>CASA</v>
      </c>
      <c r="D272" s="20" t="s">
        <v>486</v>
      </c>
      <c r="E272" s="22" t="s">
        <v>138</v>
      </c>
      <c r="F272" s="22" t="s">
        <v>81</v>
      </c>
      <c r="G272" s="22" t="s">
        <v>515</v>
      </c>
      <c r="H272" s="22" t="s">
        <v>59</v>
      </c>
      <c r="I272" s="22" t="s">
        <v>59</v>
      </c>
      <c r="J272" s="22" t="s">
        <v>60</v>
      </c>
      <c r="K272" s="22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6">
        <v>14.0</v>
      </c>
      <c r="B273" s="20" t="str">
        <f t="array" ref="B273">INDEX('Báo cáo 75 trang đích'!$B$2:$B$76,$A273)</f>
        <v>https://techcombank.com/thong-tin/blog/cach-mo-tai-khoan</v>
      </c>
      <c r="C273" s="22" t="str">
        <f t="array" ref="C273">INDEX('Báo cáo 75 trang đích'!$C$2:$C$76,$A273)</f>
        <v>CASA</v>
      </c>
      <c r="D273" s="20" t="s">
        <v>566</v>
      </c>
      <c r="E273" s="22" t="s">
        <v>498</v>
      </c>
      <c r="F273" s="22" t="s">
        <v>81</v>
      </c>
      <c r="G273" s="22" t="s">
        <v>512</v>
      </c>
      <c r="H273" s="22" t="s">
        <v>59</v>
      </c>
      <c r="I273" s="22" t="s">
        <v>59</v>
      </c>
      <c r="J273" s="22" t="s">
        <v>60</v>
      </c>
      <c r="K273" s="22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6">
        <v>14.0</v>
      </c>
      <c r="B274" s="20" t="str">
        <f t="array" ref="B274">INDEX('Báo cáo 75 trang đích'!$B$2:$B$76,$A274)</f>
        <v>https://techcombank.com/thong-tin/blog/cach-mo-tai-khoan</v>
      </c>
      <c r="C274" s="22" t="str">
        <f t="array" ref="C274">INDEX('Báo cáo 75 trang đích'!$C$2:$C$76,$A274)</f>
        <v>CASA</v>
      </c>
      <c r="D274" s="20" t="s">
        <v>460</v>
      </c>
      <c r="E274" s="22" t="s">
        <v>501</v>
      </c>
      <c r="F274" s="22" t="s">
        <v>81</v>
      </c>
      <c r="G274" s="22" t="s">
        <v>508</v>
      </c>
      <c r="H274" s="22" t="s">
        <v>59</v>
      </c>
      <c r="I274" s="22" t="s">
        <v>59</v>
      </c>
      <c r="J274" s="22" t="s">
        <v>60</v>
      </c>
      <c r="K274" s="22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6">
        <v>14.0</v>
      </c>
      <c r="B275" s="20" t="str">
        <f t="array" ref="B275">INDEX('Báo cáo 75 trang đích'!$B$2:$B$76,$A275)</f>
        <v>https://techcombank.com/thong-tin/blog/cach-mo-tai-khoan</v>
      </c>
      <c r="C275" s="22" t="str">
        <f t="array" ref="C275">INDEX('Báo cáo 75 trang đích'!$C$2:$C$76,$A275)</f>
        <v>CASA</v>
      </c>
      <c r="D275" s="20" t="s">
        <v>162</v>
      </c>
      <c r="E275" s="22" t="s">
        <v>138</v>
      </c>
      <c r="F275" s="22" t="s">
        <v>81</v>
      </c>
      <c r="G275" s="22" t="s">
        <v>508</v>
      </c>
      <c r="H275" s="22" t="s">
        <v>59</v>
      </c>
      <c r="I275" s="22" t="s">
        <v>59</v>
      </c>
      <c r="J275" s="22" t="s">
        <v>60</v>
      </c>
      <c r="K275" s="22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6">
        <v>14.0</v>
      </c>
      <c r="B276" s="20" t="str">
        <f t="array" ref="B276">INDEX('Báo cáo 75 trang đích'!$B$2:$B$76,$A276)</f>
        <v>https://techcombank.com/thong-tin/blog/cach-mo-tai-khoan</v>
      </c>
      <c r="C276" s="22" t="str">
        <f t="array" ref="C276">INDEX('Báo cáo 75 trang đích'!$C$2:$C$76,$A276)</f>
        <v>CASA</v>
      </c>
      <c r="D276" s="20" t="s">
        <v>573</v>
      </c>
      <c r="E276" s="22" t="s">
        <v>498</v>
      </c>
      <c r="F276" s="22" t="s">
        <v>81</v>
      </c>
      <c r="G276" s="22" t="s">
        <v>508</v>
      </c>
      <c r="H276" s="22" t="s">
        <v>59</v>
      </c>
      <c r="I276" s="22" t="s">
        <v>59</v>
      </c>
      <c r="J276" s="22" t="s">
        <v>60</v>
      </c>
      <c r="K276" s="22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6">
        <v>14.0</v>
      </c>
      <c r="B277" s="20" t="str">
        <f t="array" ref="B277">INDEX('Báo cáo 75 trang đích'!$B$2:$B$76,$A277)</f>
        <v>https://techcombank.com/thong-tin/blog/cach-mo-tai-khoan</v>
      </c>
      <c r="C277" s="22" t="str">
        <f t="array" ref="C277">INDEX('Báo cáo 75 trang đích'!$C$2:$C$76,$A277)</f>
        <v>CASA</v>
      </c>
      <c r="D277" s="20" t="s">
        <v>151</v>
      </c>
      <c r="E277" s="22" t="s">
        <v>501</v>
      </c>
      <c r="F277" s="22" t="s">
        <v>81</v>
      </c>
      <c r="G277" s="22" t="s">
        <v>508</v>
      </c>
      <c r="H277" s="22" t="s">
        <v>59</v>
      </c>
      <c r="I277" s="22" t="s">
        <v>59</v>
      </c>
      <c r="J277" s="22" t="s">
        <v>60</v>
      </c>
      <c r="K277" s="22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6">
        <v>14.0</v>
      </c>
      <c r="B278" s="20" t="str">
        <f t="array" ref="B278">INDEX('Báo cáo 75 trang đích'!$B$2:$B$76,$A278)</f>
        <v>https://techcombank.com/thong-tin/blog/cach-mo-tai-khoan</v>
      </c>
      <c r="C278" s="22" t="str">
        <f t="array" ref="C278">INDEX('Báo cáo 75 trang đích'!$C$2:$C$76,$A278)</f>
        <v>CASA</v>
      </c>
      <c r="D278" s="20" t="s">
        <v>119</v>
      </c>
      <c r="E278" s="22" t="s">
        <v>138</v>
      </c>
      <c r="F278" s="22" t="s">
        <v>81</v>
      </c>
      <c r="G278" s="22" t="s">
        <v>508</v>
      </c>
      <c r="H278" s="22" t="s">
        <v>59</v>
      </c>
      <c r="I278" s="22" t="s">
        <v>59</v>
      </c>
      <c r="J278" s="22" t="s">
        <v>60</v>
      </c>
      <c r="K278" s="22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6">
        <v>14.0</v>
      </c>
      <c r="B279" s="20" t="str">
        <f t="array" ref="B279">INDEX('Báo cáo 75 trang đích'!$B$2:$B$76,$A279)</f>
        <v>https://techcombank.com/thong-tin/blog/cach-mo-tai-khoan</v>
      </c>
      <c r="C279" s="22" t="str">
        <f t="array" ref="C279">INDEX('Báo cáo 75 trang đích'!$C$2:$C$76,$A279)</f>
        <v>CASA</v>
      </c>
      <c r="D279" s="20" t="s">
        <v>408</v>
      </c>
      <c r="E279" s="22" t="s">
        <v>498</v>
      </c>
      <c r="F279" s="22" t="s">
        <v>81</v>
      </c>
      <c r="G279" s="22" t="s">
        <v>508</v>
      </c>
      <c r="H279" s="22" t="s">
        <v>59</v>
      </c>
      <c r="I279" s="22" t="s">
        <v>59</v>
      </c>
      <c r="J279" s="22" t="s">
        <v>60</v>
      </c>
      <c r="K279" s="22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6">
        <v>14.0</v>
      </c>
      <c r="B280" s="20" t="str">
        <f t="array" ref="B280">INDEX('Báo cáo 75 trang đích'!$B$2:$B$76,$A280)</f>
        <v>https://techcombank.com/thong-tin/blog/cach-mo-tai-khoan</v>
      </c>
      <c r="C280" s="22" t="str">
        <f t="array" ref="C280">INDEX('Báo cáo 75 trang đích'!$C$2:$C$76,$A280)</f>
        <v>CASA</v>
      </c>
      <c r="D280" s="20" t="s">
        <v>134</v>
      </c>
      <c r="E280" s="22" t="s">
        <v>501</v>
      </c>
      <c r="F280" s="22" t="s">
        <v>81</v>
      </c>
      <c r="G280" s="22" t="s">
        <v>512</v>
      </c>
      <c r="H280" s="22" t="s">
        <v>59</v>
      </c>
      <c r="I280" s="22" t="s">
        <v>59</v>
      </c>
      <c r="J280" s="22" t="s">
        <v>60</v>
      </c>
      <c r="K280" s="22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6">
        <v>14.0</v>
      </c>
      <c r="B281" s="20" t="str">
        <f t="array" ref="B281">INDEX('Báo cáo 75 trang đích'!$B$2:$B$76,$A281)</f>
        <v>https://techcombank.com/thong-tin/blog/cach-mo-tai-khoan</v>
      </c>
      <c r="C281" s="22" t="str">
        <f t="array" ref="C281">INDEX('Báo cáo 75 trang đích'!$C$2:$C$76,$A281)</f>
        <v>CASA</v>
      </c>
      <c r="D281" s="20" t="s">
        <v>583</v>
      </c>
      <c r="E281" s="22" t="s">
        <v>138</v>
      </c>
      <c r="F281" s="22" t="s">
        <v>81</v>
      </c>
      <c r="G281" s="22" t="s">
        <v>584</v>
      </c>
      <c r="H281" s="22" t="s">
        <v>59</v>
      </c>
      <c r="I281" s="22" t="s">
        <v>59</v>
      </c>
      <c r="J281" s="22" t="s">
        <v>60</v>
      </c>
      <c r="K281" s="22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6">
        <v>14.0</v>
      </c>
      <c r="B282" s="20" t="str">
        <f t="array" ref="B282">INDEX('Báo cáo 75 trang đích'!$B$2:$B$76,$A282)</f>
        <v>https://techcombank.com/thong-tin/blog/cach-mo-tai-khoan</v>
      </c>
      <c r="C282" s="22" t="str">
        <f t="array" ref="C282">INDEX('Báo cáo 75 trang đích'!$C$2:$C$76,$A282)</f>
        <v>CASA</v>
      </c>
      <c r="D282" s="20" t="s">
        <v>462</v>
      </c>
      <c r="E282" s="22" t="s">
        <v>498</v>
      </c>
      <c r="F282" s="22" t="s">
        <v>81</v>
      </c>
      <c r="G282" s="22" t="s">
        <v>508</v>
      </c>
      <c r="H282" s="22" t="s">
        <v>59</v>
      </c>
      <c r="I282" s="22" t="s">
        <v>59</v>
      </c>
      <c r="J282" s="22" t="s">
        <v>60</v>
      </c>
      <c r="K282" s="22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6">
        <v>14.0</v>
      </c>
      <c r="B283" s="20" t="str">
        <f t="array" ref="B283">INDEX('Báo cáo 75 trang đích'!$B$2:$B$76,$A283)</f>
        <v>https://techcombank.com/thong-tin/blog/cach-mo-tai-khoan</v>
      </c>
      <c r="C283" s="22" t="str">
        <f t="array" ref="C283">INDEX('Báo cáo 75 trang đích'!$C$2:$C$76,$A283)</f>
        <v>CASA</v>
      </c>
      <c r="D283" s="20" t="s">
        <v>494</v>
      </c>
      <c r="E283" s="22" t="s">
        <v>501</v>
      </c>
      <c r="F283" s="22" t="s">
        <v>81</v>
      </c>
      <c r="G283" s="22" t="s">
        <v>515</v>
      </c>
      <c r="H283" s="22" t="s">
        <v>59</v>
      </c>
      <c r="I283" s="22" t="s">
        <v>59</v>
      </c>
      <c r="J283" s="22" t="s">
        <v>60</v>
      </c>
      <c r="K283" s="22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6">
        <v>14.0</v>
      </c>
      <c r="B284" s="20" t="str">
        <f t="array" ref="B284">INDEX('Báo cáo 75 trang đích'!$B$2:$B$76,$A284)</f>
        <v>https://techcombank.com/thong-tin/blog/cach-mo-tai-khoan</v>
      </c>
      <c r="C284" s="22" t="str">
        <f t="array" ref="C284">INDEX('Báo cáo 75 trang đích'!$C$2:$C$76,$A284)</f>
        <v>CASA</v>
      </c>
      <c r="D284" s="20" t="s">
        <v>373</v>
      </c>
      <c r="E284" s="22" t="s">
        <v>138</v>
      </c>
      <c r="F284" s="22" t="s">
        <v>81</v>
      </c>
      <c r="G284" s="22" t="s">
        <v>512</v>
      </c>
      <c r="H284" s="22" t="s">
        <v>59</v>
      </c>
      <c r="I284" s="22" t="s">
        <v>59</v>
      </c>
      <c r="J284" s="22" t="s">
        <v>60</v>
      </c>
      <c r="K284" s="22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6">
        <v>14.0</v>
      </c>
      <c r="B285" s="20" t="str">
        <f t="array" ref="B285">INDEX('Báo cáo 75 trang đích'!$B$2:$B$76,$A285)</f>
        <v>https://techcombank.com/thong-tin/blog/cach-mo-tai-khoan</v>
      </c>
      <c r="C285" s="22" t="str">
        <f t="array" ref="C285">INDEX('Báo cáo 75 trang đích'!$C$2:$C$76,$A285)</f>
        <v>CASA</v>
      </c>
      <c r="D285" s="20" t="s">
        <v>592</v>
      </c>
      <c r="E285" s="22" t="s">
        <v>498</v>
      </c>
      <c r="F285" s="22" t="s">
        <v>81</v>
      </c>
      <c r="G285" s="22" t="s">
        <v>508</v>
      </c>
      <c r="H285" s="22" t="s">
        <v>59</v>
      </c>
      <c r="I285" s="22" t="s">
        <v>59</v>
      </c>
      <c r="J285" s="22" t="s">
        <v>60</v>
      </c>
      <c r="K285" s="22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6">
        <v>15.0</v>
      </c>
      <c r="B286" s="20" t="str">
        <f t="array" ref="B286">INDEX('Báo cáo 75 trang đích'!$B$2:$B$76,$A286)</f>
        <v>https://techcombank.com/thong-tin/blog/ngan-hang-uy-tin</v>
      </c>
      <c r="C286" s="22" t="str">
        <f t="array" ref="C286">INDEX('Báo cáo 75 trang đích'!$C$2:$C$76,$A286)</f>
        <v>CASA</v>
      </c>
      <c r="D286" s="20" t="s">
        <v>594</v>
      </c>
      <c r="E286" s="22" t="s">
        <v>144</v>
      </c>
      <c r="F286" s="22" t="s">
        <v>57</v>
      </c>
      <c r="G286" s="22" t="s">
        <v>596</v>
      </c>
      <c r="H286" s="22" t="s">
        <v>59</v>
      </c>
      <c r="I286" s="22" t="s">
        <v>59</v>
      </c>
      <c r="J286" s="22" t="s">
        <v>60</v>
      </c>
      <c r="K286" s="22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6">
        <v>15.0</v>
      </c>
      <c r="B287" s="20" t="str">
        <f t="array" ref="B287">INDEX('Báo cáo 75 trang đích'!$B$2:$B$76,$A287)</f>
        <v>https://techcombank.com/thong-tin/blog/ngan-hang-uy-tin</v>
      </c>
      <c r="C287" s="22" t="str">
        <f t="array" ref="C287">INDEX('Báo cáo 75 trang đích'!$C$2:$C$76,$A287)</f>
        <v>CASA</v>
      </c>
      <c r="D287" s="20" t="s">
        <v>599</v>
      </c>
      <c r="E287" s="22" t="s">
        <v>601</v>
      </c>
      <c r="F287" s="22" t="s">
        <v>57</v>
      </c>
      <c r="G287" s="22" t="s">
        <v>602</v>
      </c>
      <c r="H287" s="22" t="s">
        <v>59</v>
      </c>
      <c r="I287" s="22" t="s">
        <v>59</v>
      </c>
      <c r="J287" s="22" t="s">
        <v>60</v>
      </c>
      <c r="K287" s="22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6">
        <v>15.0</v>
      </c>
      <c r="B288" s="20" t="str">
        <f t="array" ref="B288">INDEX('Báo cáo 75 trang đích'!$B$2:$B$76,$A288)</f>
        <v>https://techcombank.com/thong-tin/blog/ngan-hang-uy-tin</v>
      </c>
      <c r="C288" s="22" t="str">
        <f t="array" ref="C288">INDEX('Báo cáo 75 trang đích'!$C$2:$C$76,$A288)</f>
        <v>CASA</v>
      </c>
      <c r="D288" s="20" t="s">
        <v>511</v>
      </c>
      <c r="E288" s="22" t="s">
        <v>144</v>
      </c>
      <c r="F288" s="22" t="s">
        <v>76</v>
      </c>
      <c r="G288" s="22" t="s">
        <v>604</v>
      </c>
      <c r="H288" s="22" t="s">
        <v>59</v>
      </c>
      <c r="I288" s="22" t="s">
        <v>59</v>
      </c>
      <c r="J288" s="22" t="s">
        <v>60</v>
      </c>
      <c r="K288" s="22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6">
        <v>15.0</v>
      </c>
      <c r="B289" s="20" t="str">
        <f t="array" ref="B289">INDEX('Báo cáo 75 trang đích'!$B$2:$B$76,$A289)</f>
        <v>https://techcombank.com/thong-tin/blog/ngan-hang-uy-tin</v>
      </c>
      <c r="C289" s="22" t="str">
        <f t="array" ref="C289">INDEX('Báo cáo 75 trang đích'!$C$2:$C$76,$A289)</f>
        <v>CASA</v>
      </c>
      <c r="D289" s="20" t="s">
        <v>606</v>
      </c>
      <c r="E289" s="22" t="s">
        <v>601</v>
      </c>
      <c r="F289" s="22" t="s">
        <v>76</v>
      </c>
      <c r="G289" s="22" t="s">
        <v>608</v>
      </c>
      <c r="H289" s="22" t="s">
        <v>59</v>
      </c>
      <c r="I289" s="22" t="s">
        <v>59</v>
      </c>
      <c r="J289" s="22" t="s">
        <v>60</v>
      </c>
      <c r="K289" s="22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6">
        <v>15.0</v>
      </c>
      <c r="B290" s="20" t="str">
        <f t="array" ref="B290">INDEX('Báo cáo 75 trang đích'!$B$2:$B$76,$A290)</f>
        <v>https://techcombank.com/thong-tin/blog/ngan-hang-uy-tin</v>
      </c>
      <c r="C290" s="22" t="str">
        <f t="array" ref="C290">INDEX('Báo cáo 75 trang đích'!$C$2:$C$76,$A290)</f>
        <v>CASA</v>
      </c>
      <c r="D290" s="20" t="s">
        <v>610</v>
      </c>
      <c r="E290" s="22" t="s">
        <v>144</v>
      </c>
      <c r="F290" s="22" t="s">
        <v>76</v>
      </c>
      <c r="G290" s="22" t="s">
        <v>612</v>
      </c>
      <c r="H290" s="22" t="s">
        <v>59</v>
      </c>
      <c r="I290" s="22" t="s">
        <v>59</v>
      </c>
      <c r="J290" s="22" t="s">
        <v>60</v>
      </c>
      <c r="K290" s="22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6">
        <v>15.0</v>
      </c>
      <c r="B291" s="20" t="str">
        <f t="array" ref="B291">INDEX('Báo cáo 75 trang đích'!$B$2:$B$76,$A291)</f>
        <v>https://techcombank.com/thong-tin/blog/ngan-hang-uy-tin</v>
      </c>
      <c r="C291" s="22" t="str">
        <f t="array" ref="C291">INDEX('Báo cáo 75 trang đích'!$C$2:$C$76,$A291)</f>
        <v>CASA</v>
      </c>
      <c r="D291" s="20" t="s">
        <v>614</v>
      </c>
      <c r="E291" s="22" t="s">
        <v>601</v>
      </c>
      <c r="F291" s="22" t="s">
        <v>81</v>
      </c>
      <c r="G291" s="22" t="s">
        <v>616</v>
      </c>
      <c r="H291" s="22" t="s">
        <v>59</v>
      </c>
      <c r="I291" s="22" t="s">
        <v>59</v>
      </c>
      <c r="J291" s="22" t="s">
        <v>60</v>
      </c>
      <c r="K291" s="22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6">
        <v>15.0</v>
      </c>
      <c r="B292" s="20" t="str">
        <f t="array" ref="B292">INDEX('Báo cáo 75 trang đích'!$B$2:$B$76,$A292)</f>
        <v>https://techcombank.com/thong-tin/blog/ngan-hang-uy-tin</v>
      </c>
      <c r="C292" s="22" t="str">
        <f t="array" ref="C292">INDEX('Báo cáo 75 trang đích'!$C$2:$C$76,$A292)</f>
        <v>CASA</v>
      </c>
      <c r="D292" s="20" t="s">
        <v>387</v>
      </c>
      <c r="E292" s="22" t="s">
        <v>144</v>
      </c>
      <c r="F292" s="22" t="s">
        <v>81</v>
      </c>
      <c r="G292" s="22" t="s">
        <v>616</v>
      </c>
      <c r="H292" s="22" t="s">
        <v>59</v>
      </c>
      <c r="I292" s="22" t="s">
        <v>59</v>
      </c>
      <c r="J292" s="22" t="s">
        <v>60</v>
      </c>
      <c r="K292" s="22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6">
        <v>15.0</v>
      </c>
      <c r="B293" s="20" t="str">
        <f t="array" ref="B293">INDEX('Báo cáo 75 trang đích'!$B$2:$B$76,$A293)</f>
        <v>https://techcombank.com/thong-tin/blog/ngan-hang-uy-tin</v>
      </c>
      <c r="C293" s="22" t="str">
        <f t="array" ref="C293">INDEX('Báo cáo 75 trang đích'!$C$2:$C$76,$A293)</f>
        <v>CASA</v>
      </c>
      <c r="D293" s="20" t="s">
        <v>624</v>
      </c>
      <c r="E293" s="22" t="s">
        <v>601</v>
      </c>
      <c r="F293" s="22" t="s">
        <v>81</v>
      </c>
      <c r="G293" s="22" t="s">
        <v>627</v>
      </c>
      <c r="H293" s="22" t="s">
        <v>59</v>
      </c>
      <c r="I293" s="22" t="s">
        <v>59</v>
      </c>
      <c r="J293" s="22" t="s">
        <v>60</v>
      </c>
      <c r="K293" s="22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6">
        <v>15.0</v>
      </c>
      <c r="B294" s="20" t="str">
        <f t="array" ref="B294">INDEX('Báo cáo 75 trang đích'!$B$2:$B$76,$A294)</f>
        <v>https://techcombank.com/thong-tin/blog/ngan-hang-uy-tin</v>
      </c>
      <c r="C294" s="22" t="str">
        <f t="array" ref="C294">INDEX('Báo cáo 75 trang đích'!$C$2:$C$76,$A294)</f>
        <v>CASA</v>
      </c>
      <c r="D294" s="20" t="s">
        <v>630</v>
      </c>
      <c r="E294" s="22" t="s">
        <v>144</v>
      </c>
      <c r="F294" s="22" t="s">
        <v>81</v>
      </c>
      <c r="G294" s="22" t="s">
        <v>616</v>
      </c>
      <c r="H294" s="22" t="s">
        <v>59</v>
      </c>
      <c r="I294" s="22" t="s">
        <v>59</v>
      </c>
      <c r="J294" s="22" t="s">
        <v>60</v>
      </c>
      <c r="K294" s="22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6">
        <v>15.0</v>
      </c>
      <c r="B295" s="20" t="str">
        <f t="array" ref="B295">INDEX('Báo cáo 75 trang đích'!$B$2:$B$76,$A295)</f>
        <v>https://techcombank.com/thong-tin/blog/ngan-hang-uy-tin</v>
      </c>
      <c r="C295" s="22" t="str">
        <f t="array" ref="C295">INDEX('Báo cáo 75 trang đích'!$C$2:$C$76,$A295)</f>
        <v>CASA</v>
      </c>
      <c r="D295" s="20" t="s">
        <v>55</v>
      </c>
      <c r="E295" s="22" t="s">
        <v>601</v>
      </c>
      <c r="F295" s="22" t="s">
        <v>81</v>
      </c>
      <c r="G295" s="22" t="s">
        <v>636</v>
      </c>
      <c r="H295" s="22" t="s">
        <v>59</v>
      </c>
      <c r="I295" s="22" t="s">
        <v>59</v>
      </c>
      <c r="J295" s="22" t="s">
        <v>60</v>
      </c>
      <c r="K295" s="22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6">
        <v>15.0</v>
      </c>
      <c r="B296" s="20" t="str">
        <f t="array" ref="B296">INDEX('Báo cáo 75 trang đích'!$B$2:$B$76,$A296)</f>
        <v>https://techcombank.com/thong-tin/blog/ngan-hang-uy-tin</v>
      </c>
      <c r="C296" s="22" t="str">
        <f t="array" ref="C296">INDEX('Báo cáo 75 trang đích'!$C$2:$C$76,$A296)</f>
        <v>CASA</v>
      </c>
      <c r="D296" s="20" t="s">
        <v>639</v>
      </c>
      <c r="E296" s="22" t="s">
        <v>144</v>
      </c>
      <c r="F296" s="22" t="s">
        <v>81</v>
      </c>
      <c r="G296" s="22" t="s">
        <v>641</v>
      </c>
      <c r="H296" s="22" t="s">
        <v>59</v>
      </c>
      <c r="I296" s="22" t="s">
        <v>59</v>
      </c>
      <c r="J296" s="22" t="s">
        <v>60</v>
      </c>
      <c r="K296" s="22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6">
        <v>15.0</v>
      </c>
      <c r="B297" s="20" t="str">
        <f t="array" ref="B297">INDEX('Báo cáo 75 trang đích'!$B$2:$B$76,$A297)</f>
        <v>https://techcombank.com/thong-tin/blog/ngan-hang-uy-tin</v>
      </c>
      <c r="C297" s="22" t="str">
        <f t="array" ref="C297">INDEX('Báo cáo 75 trang đích'!$C$2:$C$76,$A297)</f>
        <v>CASA</v>
      </c>
      <c r="D297" s="20" t="s">
        <v>212</v>
      </c>
      <c r="E297" s="22" t="s">
        <v>601</v>
      </c>
      <c r="F297" s="22" t="s">
        <v>81</v>
      </c>
      <c r="G297" s="22" t="s">
        <v>636</v>
      </c>
      <c r="H297" s="22" t="s">
        <v>59</v>
      </c>
      <c r="I297" s="22" t="s">
        <v>59</v>
      </c>
      <c r="J297" s="22" t="s">
        <v>60</v>
      </c>
      <c r="K297" s="22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6">
        <v>15.0</v>
      </c>
      <c r="B298" s="20" t="str">
        <f t="array" ref="B298">INDEX('Báo cáo 75 trang đích'!$B$2:$B$76,$A298)</f>
        <v>https://techcombank.com/thong-tin/blog/ngan-hang-uy-tin</v>
      </c>
      <c r="C298" s="22" t="str">
        <f t="array" ref="C298">INDEX('Báo cáo 75 trang đích'!$C$2:$C$76,$A298)</f>
        <v>CASA</v>
      </c>
      <c r="D298" s="20" t="s">
        <v>646</v>
      </c>
      <c r="E298" s="22" t="s">
        <v>144</v>
      </c>
      <c r="F298" s="22" t="s">
        <v>81</v>
      </c>
      <c r="G298" s="22" t="s">
        <v>649</v>
      </c>
      <c r="H298" s="22" t="s">
        <v>59</v>
      </c>
      <c r="I298" s="22" t="s">
        <v>59</v>
      </c>
      <c r="J298" s="22" t="s">
        <v>60</v>
      </c>
      <c r="K298" s="22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6">
        <v>15.0</v>
      </c>
      <c r="B299" s="20" t="str">
        <f t="array" ref="B299">INDEX('Báo cáo 75 trang đích'!$B$2:$B$76,$A299)</f>
        <v>https://techcombank.com/thong-tin/blog/ngan-hang-uy-tin</v>
      </c>
      <c r="C299" s="22" t="str">
        <f t="array" ref="C299">INDEX('Báo cáo 75 trang đích'!$C$2:$C$76,$A299)</f>
        <v>CASA</v>
      </c>
      <c r="D299" s="20" t="s">
        <v>653</v>
      </c>
      <c r="E299" s="22" t="s">
        <v>601</v>
      </c>
      <c r="F299" s="22" t="s">
        <v>81</v>
      </c>
      <c r="G299" s="22" t="s">
        <v>654</v>
      </c>
      <c r="H299" s="22" t="s">
        <v>59</v>
      </c>
      <c r="I299" s="22" t="s">
        <v>59</v>
      </c>
      <c r="J299" s="22" t="s">
        <v>60</v>
      </c>
      <c r="K299" s="22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6">
        <v>15.0</v>
      </c>
      <c r="B300" s="20" t="str">
        <f t="array" ref="B300">INDEX('Báo cáo 75 trang đích'!$B$2:$B$76,$A300)</f>
        <v>https://techcombank.com/thong-tin/blog/ngan-hang-uy-tin</v>
      </c>
      <c r="C300" s="22" t="str">
        <f t="array" ref="C300">INDEX('Báo cáo 75 trang đích'!$C$2:$C$76,$A300)</f>
        <v>CASA</v>
      </c>
      <c r="D300" s="20" t="s">
        <v>331</v>
      </c>
      <c r="E300" s="22" t="s">
        <v>144</v>
      </c>
      <c r="F300" s="22" t="s">
        <v>81</v>
      </c>
      <c r="G300" s="22" t="s">
        <v>616</v>
      </c>
      <c r="H300" s="22" t="s">
        <v>59</v>
      </c>
      <c r="I300" s="22" t="s">
        <v>59</v>
      </c>
      <c r="J300" s="22" t="s">
        <v>60</v>
      </c>
      <c r="K300" s="22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6">
        <v>15.0</v>
      </c>
      <c r="B301" s="20" t="str">
        <f t="array" ref="B301">INDEX('Báo cáo 75 trang đích'!$B$2:$B$76,$A301)</f>
        <v>https://techcombank.com/thong-tin/blog/ngan-hang-uy-tin</v>
      </c>
      <c r="C301" s="22" t="str">
        <f t="array" ref="C301">INDEX('Báo cáo 75 trang đích'!$C$2:$C$76,$A301)</f>
        <v>CASA</v>
      </c>
      <c r="D301" s="20" t="s">
        <v>680</v>
      </c>
      <c r="E301" s="22" t="s">
        <v>601</v>
      </c>
      <c r="F301" s="22" t="s">
        <v>81</v>
      </c>
      <c r="G301" s="22" t="s">
        <v>636</v>
      </c>
      <c r="H301" s="22" t="s">
        <v>59</v>
      </c>
      <c r="I301" s="22" t="s">
        <v>59</v>
      </c>
      <c r="J301" s="22" t="s">
        <v>60</v>
      </c>
      <c r="K301" s="22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6">
        <v>15.0</v>
      </c>
      <c r="B302" s="20" t="str">
        <f t="array" ref="B302">INDEX('Báo cáo 75 trang đích'!$B$2:$B$76,$A302)</f>
        <v>https://techcombank.com/thong-tin/blog/ngan-hang-uy-tin</v>
      </c>
      <c r="C302" s="22" t="str">
        <f t="array" ref="C302">INDEX('Báo cáo 75 trang đích'!$C$2:$C$76,$A302)</f>
        <v>CASA</v>
      </c>
      <c r="D302" s="20" t="s">
        <v>684</v>
      </c>
      <c r="E302" s="22" t="s">
        <v>144</v>
      </c>
      <c r="F302" s="22" t="s">
        <v>81</v>
      </c>
      <c r="G302" s="22" t="s">
        <v>616</v>
      </c>
      <c r="H302" s="22" t="s">
        <v>59</v>
      </c>
      <c r="I302" s="22" t="s">
        <v>59</v>
      </c>
      <c r="J302" s="22" t="s">
        <v>60</v>
      </c>
      <c r="K302" s="22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6">
        <v>15.0</v>
      </c>
      <c r="B303" s="20" t="str">
        <f t="array" ref="B303">INDEX('Báo cáo 75 trang đích'!$B$2:$B$76,$A303)</f>
        <v>https://techcombank.com/thong-tin/blog/ngan-hang-uy-tin</v>
      </c>
      <c r="C303" s="22" t="str">
        <f t="array" ref="C303">INDEX('Báo cáo 75 trang đích'!$C$2:$C$76,$A303)</f>
        <v>CASA</v>
      </c>
      <c r="D303" s="20" t="s">
        <v>633</v>
      </c>
      <c r="E303" s="22" t="s">
        <v>601</v>
      </c>
      <c r="F303" s="22" t="s">
        <v>81</v>
      </c>
      <c r="G303" s="22" t="s">
        <v>636</v>
      </c>
      <c r="H303" s="22" t="s">
        <v>59</v>
      </c>
      <c r="I303" s="22" t="s">
        <v>59</v>
      </c>
      <c r="J303" s="22" t="s">
        <v>60</v>
      </c>
      <c r="K303" s="22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6">
        <v>15.0</v>
      </c>
      <c r="B304" s="20" t="str">
        <f t="array" ref="B304">INDEX('Báo cáo 75 trang đích'!$B$2:$B$76,$A304)</f>
        <v>https://techcombank.com/thong-tin/blog/ngan-hang-uy-tin</v>
      </c>
      <c r="C304" s="22" t="str">
        <f t="array" ref="C304">INDEX('Báo cáo 75 trang đích'!$C$2:$C$76,$A304)</f>
        <v>CASA</v>
      </c>
      <c r="D304" s="20" t="s">
        <v>694</v>
      </c>
      <c r="E304" s="22" t="s">
        <v>144</v>
      </c>
      <c r="F304" s="22" t="s">
        <v>81</v>
      </c>
      <c r="G304" s="22" t="s">
        <v>616</v>
      </c>
      <c r="H304" s="22" t="s">
        <v>59</v>
      </c>
      <c r="I304" s="22" t="s">
        <v>59</v>
      </c>
      <c r="J304" s="22" t="s">
        <v>60</v>
      </c>
      <c r="K304" s="22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6">
        <v>15.0</v>
      </c>
      <c r="B305" s="20" t="str">
        <f t="array" ref="B305">INDEX('Báo cáo 75 trang đích'!$B$2:$B$76,$A305)</f>
        <v>https://techcombank.com/thong-tin/blog/ngan-hang-uy-tin</v>
      </c>
      <c r="C305" s="22" t="str">
        <f t="array" ref="C305">INDEX('Báo cáo 75 trang đích'!$C$2:$C$76,$A305)</f>
        <v>CASA</v>
      </c>
      <c r="D305" s="20" t="s">
        <v>700</v>
      </c>
      <c r="E305" s="22" t="s">
        <v>601</v>
      </c>
      <c r="F305" s="22" t="s">
        <v>81</v>
      </c>
      <c r="G305" s="22" t="s">
        <v>616</v>
      </c>
      <c r="H305" s="22" t="s">
        <v>59</v>
      </c>
      <c r="I305" s="22" t="s">
        <v>59</v>
      </c>
      <c r="J305" s="22" t="s">
        <v>60</v>
      </c>
      <c r="K305" s="22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6">
        <v>15.0</v>
      </c>
      <c r="B306" s="20" t="str">
        <f t="array" ref="B306">INDEX('Báo cáo 75 trang đích'!$B$2:$B$76,$A306)</f>
        <v>https://techcombank.com/thong-tin/blog/ngan-hang-uy-tin</v>
      </c>
      <c r="C306" s="22" t="str">
        <f t="array" ref="C306">INDEX('Báo cáo 75 trang đích'!$C$2:$C$76,$A306)</f>
        <v>CASA</v>
      </c>
      <c r="D306" s="20" t="s">
        <v>370</v>
      </c>
      <c r="E306" s="22" t="s">
        <v>144</v>
      </c>
      <c r="F306" s="22" t="s">
        <v>81</v>
      </c>
      <c r="G306" s="22" t="s">
        <v>616</v>
      </c>
      <c r="H306" s="22" t="s">
        <v>59</v>
      </c>
      <c r="I306" s="22" t="s">
        <v>59</v>
      </c>
      <c r="J306" s="22" t="s">
        <v>60</v>
      </c>
      <c r="K306" s="22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6">
        <v>15.0</v>
      </c>
      <c r="B307" s="20" t="str">
        <f t="array" ref="B307">INDEX('Báo cáo 75 trang đích'!$B$2:$B$76,$A307)</f>
        <v>https://techcombank.com/thong-tin/blog/ngan-hang-uy-tin</v>
      </c>
      <c r="C307" s="22" t="str">
        <f t="array" ref="C307">INDEX('Báo cáo 75 trang đích'!$C$2:$C$76,$A307)</f>
        <v>CASA</v>
      </c>
      <c r="D307" s="20" t="s">
        <v>709</v>
      </c>
      <c r="E307" s="22" t="s">
        <v>601</v>
      </c>
      <c r="F307" s="22" t="s">
        <v>81</v>
      </c>
      <c r="G307" s="22" t="s">
        <v>616</v>
      </c>
      <c r="H307" s="22" t="s">
        <v>59</v>
      </c>
      <c r="I307" s="22" t="s">
        <v>59</v>
      </c>
      <c r="J307" s="22" t="s">
        <v>60</v>
      </c>
      <c r="K307" s="22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6">
        <v>15.0</v>
      </c>
      <c r="B308" s="20" t="str">
        <f t="array" ref="B308">INDEX('Báo cáo 75 trang đích'!$B$2:$B$76,$A308)</f>
        <v>https://techcombank.com/thong-tin/blog/ngan-hang-uy-tin</v>
      </c>
      <c r="C308" s="22" t="str">
        <f t="array" ref="C308">INDEX('Báo cáo 75 trang đích'!$C$2:$C$76,$A308)</f>
        <v>CASA</v>
      </c>
      <c r="D308" s="20" t="s">
        <v>224</v>
      </c>
      <c r="E308" s="22" t="s">
        <v>144</v>
      </c>
      <c r="F308" s="22" t="s">
        <v>81</v>
      </c>
      <c r="G308" s="22" t="s">
        <v>616</v>
      </c>
      <c r="H308" s="22" t="s">
        <v>59</v>
      </c>
      <c r="I308" s="22" t="s">
        <v>59</v>
      </c>
      <c r="J308" s="22" t="s">
        <v>60</v>
      </c>
      <c r="K308" s="22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6">
        <v>15.0</v>
      </c>
      <c r="B309" s="20" t="str">
        <f t="array" ref="B309">INDEX('Báo cáo 75 trang đích'!$B$2:$B$76,$A309)</f>
        <v>https://techcombank.com/thong-tin/blog/ngan-hang-uy-tin</v>
      </c>
      <c r="C309" s="22" t="str">
        <f t="array" ref="C309">INDEX('Báo cáo 75 trang đích'!$C$2:$C$76,$A309)</f>
        <v>CASA</v>
      </c>
      <c r="D309" s="20" t="s">
        <v>26</v>
      </c>
      <c r="E309" s="22" t="s">
        <v>601</v>
      </c>
      <c r="F309" s="22" t="s">
        <v>81</v>
      </c>
      <c r="G309" s="22" t="s">
        <v>616</v>
      </c>
      <c r="H309" s="22" t="s">
        <v>59</v>
      </c>
      <c r="I309" s="22" t="s">
        <v>59</v>
      </c>
      <c r="J309" s="22" t="s">
        <v>60</v>
      </c>
      <c r="K309" s="22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6">
        <v>15.0</v>
      </c>
      <c r="B310" s="20" t="str">
        <f t="array" ref="B310">INDEX('Báo cáo 75 trang đích'!$B$2:$B$76,$A310)</f>
        <v>https://techcombank.com/thong-tin/blog/ngan-hang-uy-tin</v>
      </c>
      <c r="C310" s="22" t="str">
        <f t="array" ref="C310">INDEX('Báo cáo 75 trang đích'!$C$2:$C$76,$A310)</f>
        <v>CASA</v>
      </c>
      <c r="D310" s="20" t="s">
        <v>728</v>
      </c>
      <c r="E310" s="22" t="s">
        <v>144</v>
      </c>
      <c r="F310" s="22" t="s">
        <v>81</v>
      </c>
      <c r="G310" s="22" t="s">
        <v>616</v>
      </c>
      <c r="H310" s="22" t="s">
        <v>59</v>
      </c>
      <c r="I310" s="22" t="s">
        <v>59</v>
      </c>
      <c r="J310" s="22" t="s">
        <v>60</v>
      </c>
      <c r="K310" s="22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6">
        <v>15.0</v>
      </c>
      <c r="B311" s="20" t="str">
        <f t="array" ref="B311">INDEX('Báo cáo 75 trang đích'!$B$2:$B$76,$A311)</f>
        <v>https://techcombank.com/thong-tin/blog/ngan-hang-uy-tin</v>
      </c>
      <c r="C311" s="22" t="str">
        <f t="array" ref="C311">INDEX('Báo cáo 75 trang đích'!$C$2:$C$76,$A311)</f>
        <v>CASA</v>
      </c>
      <c r="D311" s="20" t="s">
        <v>737</v>
      </c>
      <c r="E311" s="22" t="s">
        <v>601</v>
      </c>
      <c r="F311" s="22" t="s">
        <v>81</v>
      </c>
      <c r="G311" s="22" t="s">
        <v>636</v>
      </c>
      <c r="H311" s="22" t="s">
        <v>59</v>
      </c>
      <c r="I311" s="22" t="s">
        <v>59</v>
      </c>
      <c r="J311" s="22" t="s">
        <v>60</v>
      </c>
      <c r="K311" s="22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6">
        <v>15.0</v>
      </c>
      <c r="B312" s="20" t="str">
        <f t="array" ref="B312">INDEX('Báo cáo 75 trang đích'!$B$2:$B$76,$A312)</f>
        <v>https://techcombank.com/thong-tin/blog/ngan-hang-uy-tin</v>
      </c>
      <c r="C312" s="22" t="str">
        <f t="array" ref="C312">INDEX('Báo cáo 75 trang đích'!$C$2:$C$76,$A312)</f>
        <v>CASA</v>
      </c>
      <c r="D312" s="20" t="s">
        <v>494</v>
      </c>
      <c r="E312" s="22" t="s">
        <v>144</v>
      </c>
      <c r="F312" s="22" t="s">
        <v>81</v>
      </c>
      <c r="G312" s="22" t="s">
        <v>616</v>
      </c>
      <c r="H312" s="22" t="s">
        <v>59</v>
      </c>
      <c r="I312" s="22" t="s">
        <v>59</v>
      </c>
      <c r="J312" s="22" t="s">
        <v>60</v>
      </c>
      <c r="K312" s="22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6">
        <v>15.0</v>
      </c>
      <c r="B313" s="20" t="str">
        <f t="array" ref="B313">INDEX('Báo cáo 75 trang đích'!$B$2:$B$76,$A313)</f>
        <v>https://techcombank.com/thong-tin/blog/ngan-hang-uy-tin</v>
      </c>
      <c r="C313" s="22" t="str">
        <f t="array" ref="C313">INDEX('Báo cáo 75 trang đích'!$C$2:$C$76,$A313)</f>
        <v>CASA</v>
      </c>
      <c r="D313" s="20" t="s">
        <v>592</v>
      </c>
      <c r="E313" s="22" t="s">
        <v>601</v>
      </c>
      <c r="F313" s="22" t="s">
        <v>81</v>
      </c>
      <c r="G313" s="22" t="s">
        <v>641</v>
      </c>
      <c r="H313" s="22" t="s">
        <v>59</v>
      </c>
      <c r="I313" s="22" t="s">
        <v>59</v>
      </c>
      <c r="J313" s="22" t="s">
        <v>60</v>
      </c>
      <c r="K313" s="22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6">
        <v>15.0</v>
      </c>
      <c r="B314" s="20" t="str">
        <f t="array" ref="B314">INDEX('Báo cáo 75 trang đích'!$B$2:$B$76,$A314)</f>
        <v>https://techcombank.com/thong-tin/blog/ngan-hang-uy-tin</v>
      </c>
      <c r="C314" s="22" t="str">
        <f t="array" ref="C314">INDEX('Báo cáo 75 trang đích'!$C$2:$C$76,$A314)</f>
        <v>CASA</v>
      </c>
      <c r="D314" s="20" t="s">
        <v>745</v>
      </c>
      <c r="E314" s="22" t="s">
        <v>144</v>
      </c>
      <c r="F314" s="22" t="s">
        <v>81</v>
      </c>
      <c r="G314" s="22" t="s">
        <v>746</v>
      </c>
      <c r="H314" s="22" t="s">
        <v>59</v>
      </c>
      <c r="I314" s="22" t="s">
        <v>59</v>
      </c>
      <c r="J314" s="22" t="s">
        <v>60</v>
      </c>
      <c r="K314" s="22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6">
        <v>15.0</v>
      </c>
      <c r="B315" s="20" t="str">
        <f t="array" ref="B315">INDEX('Báo cáo 75 trang đích'!$B$2:$B$76,$A315)</f>
        <v>https://techcombank.com/thong-tin/blog/ngan-hang-uy-tin</v>
      </c>
      <c r="C315" s="22" t="str">
        <f t="array" ref="C315">INDEX('Báo cáo 75 trang đích'!$C$2:$C$76,$A315)</f>
        <v>CASA</v>
      </c>
      <c r="D315" s="20" t="s">
        <v>750</v>
      </c>
      <c r="E315" s="22" t="s">
        <v>601</v>
      </c>
      <c r="F315" s="22" t="s">
        <v>81</v>
      </c>
      <c r="G315" s="22" t="s">
        <v>616</v>
      </c>
      <c r="H315" s="22" t="s">
        <v>59</v>
      </c>
      <c r="I315" s="22" t="s">
        <v>59</v>
      </c>
      <c r="J315" s="22" t="s">
        <v>60</v>
      </c>
      <c r="K315" s="22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6">
        <v>16.0</v>
      </c>
      <c r="B316" s="20" t="str">
        <f t="array" ref="B316">INDEX('Báo cáo 75 trang đích'!$B$2:$B$76,$A316)</f>
        <v>https://techcombank.com/thong-tin/blog/chuyen-khoan-thanh-cong-nhung-khong-nhan-duoc-tien</v>
      </c>
      <c r="C316" s="22" t="str">
        <f t="array" ref="C316">INDEX('Báo cáo 75 trang đích'!$C$2:$C$76,$A316)</f>
        <v>CASA</v>
      </c>
      <c r="D316" s="20" t="s">
        <v>493</v>
      </c>
      <c r="E316" s="22" t="s">
        <v>149</v>
      </c>
      <c r="F316" s="22" t="s">
        <v>57</v>
      </c>
      <c r="G316" s="22" t="s">
        <v>754</v>
      </c>
      <c r="H316" s="22" t="s">
        <v>59</v>
      </c>
      <c r="I316" s="22" t="s">
        <v>59</v>
      </c>
      <c r="J316" s="22" t="s">
        <v>60</v>
      </c>
      <c r="K316" s="22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6">
        <v>16.0</v>
      </c>
      <c r="B317" s="20" t="str">
        <f t="array" ref="B317">INDEX('Báo cáo 75 trang đích'!$B$2:$B$76,$A317)</f>
        <v>https://techcombank.com/thong-tin/blog/chuyen-khoan-thanh-cong-nhung-khong-nhan-duoc-tien</v>
      </c>
      <c r="C317" s="22" t="str">
        <f t="array" ref="C317">INDEX('Báo cáo 75 trang đích'!$C$2:$C$76,$A317)</f>
        <v>CASA</v>
      </c>
      <c r="D317" s="20" t="s">
        <v>619</v>
      </c>
      <c r="E317" s="22" t="s">
        <v>621</v>
      </c>
      <c r="F317" s="22" t="s">
        <v>57</v>
      </c>
      <c r="G317" s="22" t="s">
        <v>761</v>
      </c>
      <c r="H317" s="22" t="s">
        <v>59</v>
      </c>
      <c r="I317" s="22" t="s">
        <v>59</v>
      </c>
      <c r="J317" s="22" t="s">
        <v>60</v>
      </c>
      <c r="K317" s="22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6">
        <v>16.0</v>
      </c>
      <c r="B318" s="20" t="str">
        <f t="array" ref="B318">INDEX('Báo cáo 75 trang đích'!$B$2:$B$76,$A318)</f>
        <v>https://techcombank.com/thong-tin/blog/chuyen-khoan-thanh-cong-nhung-khong-nhan-duoc-tien</v>
      </c>
      <c r="C318" s="22" t="str">
        <f t="array" ref="C318">INDEX('Báo cáo 75 trang đích'!$C$2:$C$76,$A318)</f>
        <v>CASA</v>
      </c>
      <c r="D318" s="20" t="s">
        <v>467</v>
      </c>
      <c r="E318" s="22" t="s">
        <v>623</v>
      </c>
      <c r="F318" s="22" t="s">
        <v>57</v>
      </c>
      <c r="G318" s="22" t="s">
        <v>765</v>
      </c>
      <c r="H318" s="22" t="s">
        <v>59</v>
      </c>
      <c r="I318" s="22" t="s">
        <v>59</v>
      </c>
      <c r="J318" s="22" t="s">
        <v>60</v>
      </c>
      <c r="K318" s="22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6">
        <v>16.0</v>
      </c>
      <c r="B319" s="20" t="str">
        <f t="array" ref="B319">INDEX('Báo cáo 75 trang đích'!$B$2:$B$76,$A319)</f>
        <v>https://techcombank.com/thong-tin/blog/chuyen-khoan-thanh-cong-nhung-khong-nhan-duoc-tien</v>
      </c>
      <c r="C319" s="22" t="str">
        <f t="array" ref="C319">INDEX('Báo cáo 75 trang đích'!$C$2:$C$76,$A319)</f>
        <v>CASA</v>
      </c>
      <c r="D319" s="20" t="s">
        <v>625</v>
      </c>
      <c r="E319" s="22" t="s">
        <v>149</v>
      </c>
      <c r="F319" s="22" t="s">
        <v>57</v>
      </c>
      <c r="G319" s="22" t="s">
        <v>772</v>
      </c>
      <c r="H319" s="22" t="s">
        <v>59</v>
      </c>
      <c r="I319" s="22" t="s">
        <v>59</v>
      </c>
      <c r="J319" s="22" t="s">
        <v>60</v>
      </c>
      <c r="K319" s="22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6">
        <v>16.0</v>
      </c>
      <c r="B320" s="20" t="str">
        <f t="array" ref="B320">INDEX('Báo cáo 75 trang đích'!$B$2:$B$76,$A320)</f>
        <v>https://techcombank.com/thong-tin/blog/chuyen-khoan-thanh-cong-nhung-khong-nhan-duoc-tien</v>
      </c>
      <c r="C320" s="22" t="str">
        <f t="array" ref="C320">INDEX('Báo cáo 75 trang đích'!$C$2:$C$76,$A320)</f>
        <v>CASA</v>
      </c>
      <c r="D320" s="20" t="s">
        <v>628</v>
      </c>
      <c r="E320" s="22" t="s">
        <v>621</v>
      </c>
      <c r="F320" s="22" t="s">
        <v>76</v>
      </c>
      <c r="G320" s="22" t="s">
        <v>787</v>
      </c>
      <c r="H320" s="22" t="s">
        <v>59</v>
      </c>
      <c r="I320" s="22" t="s">
        <v>59</v>
      </c>
      <c r="J320" s="22" t="s">
        <v>60</v>
      </c>
      <c r="K320" s="22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6">
        <v>16.0</v>
      </c>
      <c r="B321" s="20" t="str">
        <f t="array" ref="B321">INDEX('Báo cáo 75 trang đích'!$B$2:$B$76,$A321)</f>
        <v>https://techcombank.com/thong-tin/blog/chuyen-khoan-thanh-cong-nhung-khong-nhan-duoc-tien</v>
      </c>
      <c r="C321" s="22" t="str">
        <f t="array" ref="C321">INDEX('Báo cáo 75 trang đích'!$C$2:$C$76,$A321)</f>
        <v>CASA</v>
      </c>
      <c r="D321" s="20" t="s">
        <v>790</v>
      </c>
      <c r="E321" s="22" t="s">
        <v>623</v>
      </c>
      <c r="F321" s="22" t="s">
        <v>81</v>
      </c>
      <c r="G321" s="22" t="s">
        <v>792</v>
      </c>
      <c r="H321" s="22" t="s">
        <v>59</v>
      </c>
      <c r="I321" s="22" t="s">
        <v>59</v>
      </c>
      <c r="J321" s="22" t="s">
        <v>60</v>
      </c>
      <c r="K321" s="22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6">
        <v>16.0</v>
      </c>
      <c r="B322" s="20" t="str">
        <f t="array" ref="B322">INDEX('Báo cáo 75 trang đích'!$B$2:$B$76,$A322)</f>
        <v>https://techcombank.com/thong-tin/blog/chuyen-khoan-thanh-cong-nhung-khong-nhan-duoc-tien</v>
      </c>
      <c r="C322" s="22" t="str">
        <f t="array" ref="C322">INDEX('Báo cáo 75 trang đích'!$C$2:$C$76,$A322)</f>
        <v>CASA</v>
      </c>
      <c r="D322" s="20" t="s">
        <v>797</v>
      </c>
      <c r="E322" s="22" t="s">
        <v>149</v>
      </c>
      <c r="F322" s="22" t="s">
        <v>81</v>
      </c>
      <c r="G322" s="22" t="s">
        <v>799</v>
      </c>
      <c r="H322" s="22" t="s">
        <v>59</v>
      </c>
      <c r="I322" s="22" t="s">
        <v>59</v>
      </c>
      <c r="J322" s="22" t="s">
        <v>60</v>
      </c>
      <c r="K322" s="22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6">
        <v>16.0</v>
      </c>
      <c r="B323" s="20" t="str">
        <f t="array" ref="B323">INDEX('Báo cáo 75 trang đích'!$B$2:$B$76,$A323)</f>
        <v>https://techcombank.com/thong-tin/blog/chuyen-khoan-thanh-cong-nhung-khong-nhan-duoc-tien</v>
      </c>
      <c r="C323" s="22" t="str">
        <f t="array" ref="C323">INDEX('Báo cáo 75 trang đích'!$C$2:$C$76,$A323)</f>
        <v>CASA</v>
      </c>
      <c r="D323" s="20" t="s">
        <v>341</v>
      </c>
      <c r="E323" s="22" t="s">
        <v>621</v>
      </c>
      <c r="F323" s="22" t="s">
        <v>81</v>
      </c>
      <c r="G323" s="22" t="s">
        <v>803</v>
      </c>
      <c r="H323" s="22" t="s">
        <v>59</v>
      </c>
      <c r="I323" s="22" t="s">
        <v>59</v>
      </c>
      <c r="J323" s="22" t="s">
        <v>60</v>
      </c>
      <c r="K323" s="22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6">
        <v>16.0</v>
      </c>
      <c r="B324" s="20" t="str">
        <f t="array" ref="B324">INDEX('Báo cáo 75 trang đích'!$B$2:$B$76,$A324)</f>
        <v>https://techcombank.com/thong-tin/blog/chuyen-khoan-thanh-cong-nhung-khong-nhan-duoc-tien</v>
      </c>
      <c r="C324" s="22" t="str">
        <f t="array" ref="C324">INDEX('Báo cáo 75 trang đích'!$C$2:$C$76,$A324)</f>
        <v>CASA</v>
      </c>
      <c r="D324" s="20" t="s">
        <v>805</v>
      </c>
      <c r="E324" s="22" t="s">
        <v>623</v>
      </c>
      <c r="F324" s="22" t="s">
        <v>81</v>
      </c>
      <c r="G324" s="22" t="s">
        <v>799</v>
      </c>
      <c r="H324" s="22" t="s">
        <v>59</v>
      </c>
      <c r="I324" s="22" t="s">
        <v>59</v>
      </c>
      <c r="J324" s="22" t="s">
        <v>60</v>
      </c>
      <c r="K324" s="22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6">
        <v>16.0</v>
      </c>
      <c r="B325" s="20" t="str">
        <f t="array" ref="B325">INDEX('Báo cáo 75 trang đích'!$B$2:$B$76,$A325)</f>
        <v>https://techcombank.com/thong-tin/blog/chuyen-khoan-thanh-cong-nhung-khong-nhan-duoc-tien</v>
      </c>
      <c r="C325" s="22" t="str">
        <f t="array" ref="C325">INDEX('Báo cáo 75 trang đích'!$C$2:$C$76,$A325)</f>
        <v>CASA</v>
      </c>
      <c r="D325" s="20" t="s">
        <v>476</v>
      </c>
      <c r="E325" s="22" t="s">
        <v>149</v>
      </c>
      <c r="F325" s="22" t="s">
        <v>81</v>
      </c>
      <c r="G325" s="22" t="s">
        <v>792</v>
      </c>
      <c r="H325" s="22" t="s">
        <v>59</v>
      </c>
      <c r="I325" s="22" t="s">
        <v>59</v>
      </c>
      <c r="J325" s="22" t="s">
        <v>60</v>
      </c>
      <c r="K325" s="22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6">
        <v>16.0</v>
      </c>
      <c r="B326" s="20" t="str">
        <f t="array" ref="B326">INDEX('Báo cáo 75 trang đích'!$B$2:$B$76,$A326)</f>
        <v>https://techcombank.com/thong-tin/blog/chuyen-khoan-thanh-cong-nhung-khong-nhan-duoc-tien</v>
      </c>
      <c r="C326" s="22" t="str">
        <f t="array" ref="C326">INDEX('Báo cáo 75 trang đích'!$C$2:$C$76,$A326)</f>
        <v>CASA</v>
      </c>
      <c r="D326" s="20" t="s">
        <v>345</v>
      </c>
      <c r="E326" s="22" t="s">
        <v>621</v>
      </c>
      <c r="F326" s="22" t="s">
        <v>81</v>
      </c>
      <c r="G326" s="22" t="s">
        <v>792</v>
      </c>
      <c r="H326" s="22" t="s">
        <v>59</v>
      </c>
      <c r="I326" s="22" t="s">
        <v>59</v>
      </c>
      <c r="J326" s="22" t="s">
        <v>60</v>
      </c>
      <c r="K326" s="22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6">
        <v>16.0</v>
      </c>
      <c r="B327" s="20" t="str">
        <f t="array" ref="B327">INDEX('Báo cáo 75 trang đích'!$B$2:$B$76,$A327)</f>
        <v>https://techcombank.com/thong-tin/blog/chuyen-khoan-thanh-cong-nhung-khong-nhan-duoc-tien</v>
      </c>
      <c r="C327" s="22" t="str">
        <f t="array" ref="C327">INDEX('Báo cáo 75 trang đích'!$C$2:$C$76,$A327)</f>
        <v>CASA</v>
      </c>
      <c r="D327" s="20" t="s">
        <v>814</v>
      </c>
      <c r="E327" s="22" t="s">
        <v>623</v>
      </c>
      <c r="F327" s="22" t="s">
        <v>81</v>
      </c>
      <c r="G327" s="22" t="s">
        <v>799</v>
      </c>
      <c r="H327" s="22" t="s">
        <v>59</v>
      </c>
      <c r="I327" s="22" t="s">
        <v>59</v>
      </c>
      <c r="J327" s="22" t="s">
        <v>60</v>
      </c>
      <c r="K327" s="22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6">
        <v>16.0</v>
      </c>
      <c r="B328" s="20" t="str">
        <f t="array" ref="B328">INDEX('Báo cáo 75 trang đích'!$B$2:$B$76,$A328)</f>
        <v>https://techcombank.com/thong-tin/blog/chuyen-khoan-thanh-cong-nhung-khong-nhan-duoc-tien</v>
      </c>
      <c r="C328" s="22" t="str">
        <f t="array" ref="C328">INDEX('Báo cáo 75 trang đích'!$C$2:$C$76,$A328)</f>
        <v>CASA</v>
      </c>
      <c r="D328" s="20" t="s">
        <v>822</v>
      </c>
      <c r="E328" s="22" t="s">
        <v>149</v>
      </c>
      <c r="F328" s="22" t="s">
        <v>81</v>
      </c>
      <c r="G328" s="22" t="s">
        <v>792</v>
      </c>
      <c r="H328" s="22" t="s">
        <v>59</v>
      </c>
      <c r="I328" s="22" t="s">
        <v>59</v>
      </c>
      <c r="J328" s="22" t="s">
        <v>60</v>
      </c>
      <c r="K328" s="22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6">
        <v>16.0</v>
      </c>
      <c r="B329" s="20" t="str">
        <f t="array" ref="B329">INDEX('Báo cáo 75 trang đích'!$B$2:$B$76,$A329)</f>
        <v>https://techcombank.com/thong-tin/blog/chuyen-khoan-thanh-cong-nhung-khong-nhan-duoc-tien</v>
      </c>
      <c r="C329" s="22" t="str">
        <f t="array" ref="C329">INDEX('Báo cáo 75 trang đích'!$C$2:$C$76,$A329)</f>
        <v>CASA</v>
      </c>
      <c r="D329" s="20" t="s">
        <v>825</v>
      </c>
      <c r="E329" s="22" t="s">
        <v>621</v>
      </c>
      <c r="F329" s="22" t="s">
        <v>81</v>
      </c>
      <c r="G329" s="22" t="s">
        <v>828</v>
      </c>
      <c r="H329" s="22" t="s">
        <v>59</v>
      </c>
      <c r="I329" s="22" t="s">
        <v>59</v>
      </c>
      <c r="J329" s="22" t="s">
        <v>60</v>
      </c>
      <c r="K329" s="22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6">
        <v>16.0</v>
      </c>
      <c r="B330" s="20" t="str">
        <f t="array" ref="B330">INDEX('Báo cáo 75 trang đích'!$B$2:$B$76,$A330)</f>
        <v>https://techcombank.com/thong-tin/blog/chuyen-khoan-thanh-cong-nhung-khong-nhan-duoc-tien</v>
      </c>
      <c r="C330" s="22" t="str">
        <f t="array" ref="C330">INDEX('Báo cáo 75 trang đích'!$C$2:$C$76,$A330)</f>
        <v>CASA</v>
      </c>
      <c r="D330" s="20" t="s">
        <v>832</v>
      </c>
      <c r="E330" s="22" t="s">
        <v>623</v>
      </c>
      <c r="F330" s="22" t="s">
        <v>81</v>
      </c>
      <c r="G330" s="22" t="s">
        <v>799</v>
      </c>
      <c r="H330" s="22" t="s">
        <v>59</v>
      </c>
      <c r="I330" s="22" t="s">
        <v>59</v>
      </c>
      <c r="J330" s="22" t="s">
        <v>60</v>
      </c>
      <c r="K330" s="22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6">
        <v>16.0</v>
      </c>
      <c r="B331" s="20" t="str">
        <f t="array" ref="B331">INDEX('Báo cáo 75 trang đích'!$B$2:$B$76,$A331)</f>
        <v>https://techcombank.com/thong-tin/blog/chuyen-khoan-thanh-cong-nhung-khong-nhan-duoc-tien</v>
      </c>
      <c r="C331" s="22" t="str">
        <f t="array" ref="C331">INDEX('Báo cáo 75 trang đích'!$C$2:$C$76,$A331)</f>
        <v>CASA</v>
      </c>
      <c r="D331" s="20" t="s">
        <v>269</v>
      </c>
      <c r="E331" s="22" t="s">
        <v>149</v>
      </c>
      <c r="F331" s="22" t="s">
        <v>81</v>
      </c>
      <c r="G331" s="22" t="s">
        <v>828</v>
      </c>
      <c r="H331" s="22" t="s">
        <v>59</v>
      </c>
      <c r="I331" s="22" t="s">
        <v>59</v>
      </c>
      <c r="J331" s="22" t="s">
        <v>60</v>
      </c>
      <c r="K331" s="22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6">
        <v>16.0</v>
      </c>
      <c r="B332" s="20" t="str">
        <f t="array" ref="B332">INDEX('Báo cáo 75 trang đích'!$B$2:$B$76,$A332)</f>
        <v>https://techcombank.com/thong-tin/blog/chuyen-khoan-thanh-cong-nhung-khong-nhan-duoc-tien</v>
      </c>
      <c r="C332" s="22" t="str">
        <f t="array" ref="C332">INDEX('Báo cáo 75 trang đích'!$C$2:$C$76,$A332)</f>
        <v>CASA</v>
      </c>
      <c r="D332" s="20" t="s">
        <v>838</v>
      </c>
      <c r="E332" s="22" t="s">
        <v>621</v>
      </c>
      <c r="F332" s="22" t="s">
        <v>81</v>
      </c>
      <c r="G332" s="22" t="s">
        <v>799</v>
      </c>
      <c r="H332" s="22" t="s">
        <v>59</v>
      </c>
      <c r="I332" s="22" t="s">
        <v>59</v>
      </c>
      <c r="J332" s="22" t="s">
        <v>60</v>
      </c>
      <c r="K332" s="22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6">
        <v>16.0</v>
      </c>
      <c r="B333" s="20" t="str">
        <f t="array" ref="B333">INDEX('Báo cáo 75 trang đích'!$B$2:$B$76,$A333)</f>
        <v>https://techcombank.com/thong-tin/blog/chuyen-khoan-thanh-cong-nhung-khong-nhan-duoc-tien</v>
      </c>
      <c r="C333" s="22" t="str">
        <f t="array" ref="C333">INDEX('Báo cáo 75 trang đích'!$C$2:$C$76,$A333)</f>
        <v>CASA</v>
      </c>
      <c r="D333" s="20" t="s">
        <v>841</v>
      </c>
      <c r="E333" s="22" t="s">
        <v>623</v>
      </c>
      <c r="F333" s="22" t="s">
        <v>81</v>
      </c>
      <c r="G333" s="22" t="s">
        <v>844</v>
      </c>
      <c r="H333" s="22" t="s">
        <v>59</v>
      </c>
      <c r="I333" s="22" t="s">
        <v>59</v>
      </c>
      <c r="J333" s="22" t="s">
        <v>60</v>
      </c>
      <c r="K333" s="22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6">
        <v>16.0</v>
      </c>
      <c r="B334" s="20" t="str">
        <f t="array" ref="B334">INDEX('Báo cáo 75 trang đích'!$B$2:$B$76,$A334)</f>
        <v>https://techcombank.com/thong-tin/blog/chuyen-khoan-thanh-cong-nhung-khong-nhan-duoc-tien</v>
      </c>
      <c r="C334" s="22" t="str">
        <f t="array" ref="C334">INDEX('Báo cáo 75 trang đích'!$C$2:$C$76,$A334)</f>
        <v>CASA</v>
      </c>
      <c r="D334" s="20" t="s">
        <v>849</v>
      </c>
      <c r="E334" s="22" t="s">
        <v>149</v>
      </c>
      <c r="F334" s="22" t="s">
        <v>81</v>
      </c>
      <c r="G334" s="22" t="s">
        <v>851</v>
      </c>
      <c r="H334" s="22" t="s">
        <v>59</v>
      </c>
      <c r="I334" s="22" t="s">
        <v>59</v>
      </c>
      <c r="J334" s="22" t="s">
        <v>60</v>
      </c>
      <c r="K334" s="22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6">
        <v>16.0</v>
      </c>
      <c r="B335" s="20" t="str">
        <f t="array" ref="B335">INDEX('Báo cáo 75 trang đích'!$B$2:$B$76,$A335)</f>
        <v>https://techcombank.com/thong-tin/blog/chuyen-khoan-thanh-cong-nhung-khong-nhan-duoc-tien</v>
      </c>
      <c r="C335" s="22" t="str">
        <f t="array" ref="C335">INDEX('Báo cáo 75 trang đích'!$C$2:$C$76,$A335)</f>
        <v>CASA</v>
      </c>
      <c r="D335" s="20" t="s">
        <v>853</v>
      </c>
      <c r="E335" s="22" t="s">
        <v>621</v>
      </c>
      <c r="F335" s="22" t="s">
        <v>81</v>
      </c>
      <c r="G335" s="22" t="s">
        <v>792</v>
      </c>
      <c r="H335" s="22" t="s">
        <v>59</v>
      </c>
      <c r="I335" s="22" t="s">
        <v>59</v>
      </c>
      <c r="J335" s="22" t="s">
        <v>60</v>
      </c>
      <c r="K335" s="22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6">
        <v>16.0</v>
      </c>
      <c r="B336" s="20" t="str">
        <f t="array" ref="B336">INDEX('Báo cáo 75 trang đích'!$B$2:$B$76,$A336)</f>
        <v>https://techcombank.com/thong-tin/blog/chuyen-khoan-thanh-cong-nhung-khong-nhan-duoc-tien</v>
      </c>
      <c r="C336" s="22" t="str">
        <f t="array" ref="C336">INDEX('Báo cáo 75 trang đích'!$C$2:$C$76,$A336)</f>
        <v>CASA</v>
      </c>
      <c r="D336" s="20" t="s">
        <v>859</v>
      </c>
      <c r="E336" s="22" t="s">
        <v>623</v>
      </c>
      <c r="F336" s="22" t="s">
        <v>81</v>
      </c>
      <c r="G336" s="22" t="s">
        <v>799</v>
      </c>
      <c r="H336" s="22" t="s">
        <v>59</v>
      </c>
      <c r="I336" s="22" t="s">
        <v>59</v>
      </c>
      <c r="J336" s="22" t="s">
        <v>60</v>
      </c>
      <c r="K336" s="22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6">
        <v>16.0</v>
      </c>
      <c r="B337" s="20" t="str">
        <f t="array" ref="B337">INDEX('Báo cáo 75 trang đích'!$B$2:$B$76,$A337)</f>
        <v>https://techcombank.com/thong-tin/blog/chuyen-khoan-thanh-cong-nhung-khong-nhan-duoc-tien</v>
      </c>
      <c r="C337" s="22" t="str">
        <f t="array" ref="C337">INDEX('Báo cáo 75 trang đích'!$C$2:$C$76,$A337)</f>
        <v>CASA</v>
      </c>
      <c r="D337" s="20" t="s">
        <v>863</v>
      </c>
      <c r="E337" s="22" t="s">
        <v>149</v>
      </c>
      <c r="F337" s="22" t="s">
        <v>81</v>
      </c>
      <c r="G337" s="22" t="s">
        <v>799</v>
      </c>
      <c r="H337" s="22" t="s">
        <v>59</v>
      </c>
      <c r="I337" s="22" t="s">
        <v>59</v>
      </c>
      <c r="J337" s="22" t="s">
        <v>60</v>
      </c>
      <c r="K337" s="22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6">
        <v>16.0</v>
      </c>
      <c r="B338" s="20" t="str">
        <f t="array" ref="B338">INDEX('Báo cáo 75 trang đích'!$B$2:$B$76,$A338)</f>
        <v>https://techcombank.com/thong-tin/blog/chuyen-khoan-thanh-cong-nhung-khong-nhan-duoc-tien</v>
      </c>
      <c r="C338" s="22" t="str">
        <f t="array" ref="C338">INDEX('Báo cáo 75 trang đích'!$C$2:$C$76,$A338)</f>
        <v>CASA</v>
      </c>
      <c r="D338" s="20" t="s">
        <v>503</v>
      </c>
      <c r="E338" s="22" t="s">
        <v>621</v>
      </c>
      <c r="F338" s="22" t="s">
        <v>81</v>
      </c>
      <c r="G338" s="22" t="s">
        <v>799</v>
      </c>
      <c r="H338" s="22" t="s">
        <v>59</v>
      </c>
      <c r="I338" s="22" t="s">
        <v>59</v>
      </c>
      <c r="J338" s="22" t="s">
        <v>60</v>
      </c>
      <c r="K338" s="22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6">
        <v>16.0</v>
      </c>
      <c r="B339" s="35" t="str">
        <f t="array" ref="B339">INDEX('Báo cáo 75 trang đích'!$B$2:$B$76,$A339)</f>
        <v>https://techcombank.com/thong-tin/blog/chuyen-khoan-thanh-cong-nhung-khong-nhan-duoc-tien</v>
      </c>
      <c r="C339" s="5" t="str">
        <f t="array" ref="C339">INDEX('Báo cáo 75 trang đích'!$C$2:$C$76,$A339)</f>
        <v>CASA</v>
      </c>
      <c r="D339" s="20" t="s">
        <v>701</v>
      </c>
      <c r="E339" s="22" t="s">
        <v>623</v>
      </c>
      <c r="F339" s="22" t="s">
        <v>81</v>
      </c>
      <c r="G339" s="22" t="s">
        <v>799</v>
      </c>
      <c r="H339" s="24" t="s">
        <v>59</v>
      </c>
      <c r="I339" s="24" t="s">
        <v>59</v>
      </c>
      <c r="J339" s="24" t="s">
        <v>60</v>
      </c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6">
        <v>16.0</v>
      </c>
      <c r="B340" s="35" t="str">
        <f t="array" ref="B340">INDEX('Báo cáo 75 trang đích'!$B$2:$B$76,$A340)</f>
        <v>https://techcombank.com/thong-tin/blog/chuyen-khoan-thanh-cong-nhung-khong-nhan-duoc-tien</v>
      </c>
      <c r="C340" s="5" t="str">
        <f t="array" ref="C340">INDEX('Báo cáo 75 trang đích'!$C$2:$C$76,$A340)</f>
        <v>CASA</v>
      </c>
      <c r="D340" s="20" t="s">
        <v>366</v>
      </c>
      <c r="E340" s="22" t="s">
        <v>149</v>
      </c>
      <c r="F340" s="22" t="s">
        <v>81</v>
      </c>
      <c r="G340" s="22" t="s">
        <v>792</v>
      </c>
      <c r="H340" s="24" t="s">
        <v>59</v>
      </c>
      <c r="I340" s="24" t="s">
        <v>59</v>
      </c>
      <c r="J340" s="24" t="s">
        <v>60</v>
      </c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6">
        <v>16.0</v>
      </c>
      <c r="B341" s="35" t="str">
        <f t="array" ref="B341">INDEX('Báo cáo 75 trang đích'!$B$2:$B$76,$A341)</f>
        <v>https://techcombank.com/thong-tin/blog/chuyen-khoan-thanh-cong-nhung-khong-nhan-duoc-tien</v>
      </c>
      <c r="C341" s="5" t="str">
        <f t="array" ref="C341">INDEX('Báo cáo 75 trang đích'!$C$2:$C$76,$A341)</f>
        <v>CASA</v>
      </c>
      <c r="D341" s="20" t="s">
        <v>878</v>
      </c>
      <c r="E341" s="22" t="s">
        <v>621</v>
      </c>
      <c r="F341" s="22" t="s">
        <v>81</v>
      </c>
      <c r="G341" s="22" t="s">
        <v>799</v>
      </c>
      <c r="H341" s="24" t="s">
        <v>59</v>
      </c>
      <c r="I341" s="24" t="s">
        <v>59</v>
      </c>
      <c r="J341" s="24" t="s">
        <v>60</v>
      </c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6">
        <v>16.0</v>
      </c>
      <c r="B342" s="35" t="str">
        <f t="array" ref="B342">INDEX('Báo cáo 75 trang đích'!$B$2:$B$76,$A342)</f>
        <v>https://techcombank.com/thong-tin/blog/chuyen-khoan-thanh-cong-nhung-khong-nhan-duoc-tien</v>
      </c>
      <c r="C342" s="5" t="str">
        <f t="array" ref="C342">INDEX('Báo cáo 75 trang đích'!$C$2:$C$76,$A342)</f>
        <v>CASA</v>
      </c>
      <c r="D342" s="20" t="s">
        <v>882</v>
      </c>
      <c r="E342" s="22" t="s">
        <v>623</v>
      </c>
      <c r="F342" s="22" t="s">
        <v>81</v>
      </c>
      <c r="G342" s="22" t="s">
        <v>828</v>
      </c>
      <c r="H342" s="24" t="s">
        <v>59</v>
      </c>
      <c r="I342" s="24" t="s">
        <v>59</v>
      </c>
      <c r="J342" s="24" t="s">
        <v>60</v>
      </c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6">
        <v>16.0</v>
      </c>
      <c r="B343" s="35" t="str">
        <f t="array" ref="B343">INDEX('Báo cáo 75 trang đích'!$B$2:$B$76,$A343)</f>
        <v>https://techcombank.com/thong-tin/blog/chuyen-khoan-thanh-cong-nhung-khong-nhan-duoc-tien</v>
      </c>
      <c r="C343" s="5" t="str">
        <f t="array" ref="C343">INDEX('Báo cáo 75 trang đích'!$C$2:$C$76,$A343)</f>
        <v>CASA</v>
      </c>
      <c r="D343" s="20" t="s">
        <v>885</v>
      </c>
      <c r="E343" s="22" t="s">
        <v>149</v>
      </c>
      <c r="F343" s="22" t="s">
        <v>81</v>
      </c>
      <c r="G343" s="22" t="s">
        <v>799</v>
      </c>
      <c r="H343" s="24" t="s">
        <v>59</v>
      </c>
      <c r="I343" s="24" t="s">
        <v>59</v>
      </c>
      <c r="J343" s="24" t="s">
        <v>60</v>
      </c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6">
        <v>16.0</v>
      </c>
      <c r="B344" s="35" t="str">
        <f t="array" ref="B344">INDEX('Báo cáo 75 trang đích'!$B$2:$B$76,$A344)</f>
        <v>https://techcombank.com/thong-tin/blog/chuyen-khoan-thanh-cong-nhung-khong-nhan-duoc-tien</v>
      </c>
      <c r="C344" s="5" t="str">
        <f t="array" ref="C344">INDEX('Báo cáo 75 trang đích'!$C$2:$C$76,$A344)</f>
        <v>CASA</v>
      </c>
      <c r="D344" s="20" t="s">
        <v>891</v>
      </c>
      <c r="E344" s="22" t="s">
        <v>621</v>
      </c>
      <c r="F344" s="22" t="s">
        <v>81</v>
      </c>
      <c r="G344" s="22" t="s">
        <v>799</v>
      </c>
      <c r="H344" s="24" t="s">
        <v>59</v>
      </c>
      <c r="I344" s="24" t="s">
        <v>59</v>
      </c>
      <c r="J344" s="24" t="s">
        <v>60</v>
      </c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6">
        <v>16.0</v>
      </c>
      <c r="B345" s="35" t="str">
        <f t="array" ref="B345">INDEX('Báo cáo 75 trang đích'!$B$2:$B$76,$A345)</f>
        <v>https://techcombank.com/thong-tin/blog/chuyen-khoan-thanh-cong-nhung-khong-nhan-duoc-tien</v>
      </c>
      <c r="C345" s="5" t="str">
        <f t="array" ref="C345">INDEX('Báo cáo 75 trang đích'!$C$2:$C$76,$A345)</f>
        <v>CASA</v>
      </c>
      <c r="D345" s="20" t="s">
        <v>894</v>
      </c>
      <c r="E345" s="22" t="s">
        <v>623</v>
      </c>
      <c r="F345" s="22" t="s">
        <v>81</v>
      </c>
      <c r="G345" s="22" t="s">
        <v>799</v>
      </c>
      <c r="H345" s="24" t="s">
        <v>59</v>
      </c>
      <c r="I345" s="24" t="s">
        <v>59</v>
      </c>
      <c r="J345" s="24" t="s">
        <v>60</v>
      </c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6">
        <v>16.0</v>
      </c>
      <c r="B346" s="35" t="str">
        <f t="array" ref="B346">INDEX('Báo cáo 75 trang đích'!$B$2:$B$76,$A346)</f>
        <v>https://techcombank.com/thong-tin/blog/chuyen-khoan-thanh-cong-nhung-khong-nhan-duoc-tien</v>
      </c>
      <c r="C346" s="5" t="str">
        <f t="array" ref="C346">INDEX('Báo cáo 75 trang đích'!$C$2:$C$76,$A346)</f>
        <v>CASA</v>
      </c>
      <c r="D346" s="20" t="s">
        <v>369</v>
      </c>
      <c r="E346" s="22" t="s">
        <v>149</v>
      </c>
      <c r="F346" s="22" t="s">
        <v>81</v>
      </c>
      <c r="G346" s="22" t="s">
        <v>799</v>
      </c>
      <c r="H346" s="24" t="s">
        <v>59</v>
      </c>
      <c r="I346" s="24" t="s">
        <v>59</v>
      </c>
      <c r="J346" s="24" t="s">
        <v>60</v>
      </c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6">
        <v>16.0</v>
      </c>
      <c r="B347" s="35" t="str">
        <f t="array" ref="B347">INDEX('Báo cáo 75 trang đích'!$B$2:$B$76,$A347)</f>
        <v>https://techcombank.com/thong-tin/blog/chuyen-khoan-thanh-cong-nhung-khong-nhan-duoc-tien</v>
      </c>
      <c r="C347" s="5" t="str">
        <f t="array" ref="C347">INDEX('Báo cáo 75 trang đích'!$C$2:$C$76,$A347)</f>
        <v>CASA</v>
      </c>
      <c r="D347" s="20" t="s">
        <v>901</v>
      </c>
      <c r="E347" s="22" t="s">
        <v>621</v>
      </c>
      <c r="F347" s="22" t="s">
        <v>81</v>
      </c>
      <c r="G347" s="22" t="s">
        <v>799</v>
      </c>
      <c r="H347" s="24" t="s">
        <v>59</v>
      </c>
      <c r="I347" s="24" t="s">
        <v>59</v>
      </c>
      <c r="J347" s="24" t="s">
        <v>60</v>
      </c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6">
        <v>16.0</v>
      </c>
      <c r="B348" s="35" t="str">
        <f t="array" ref="B348">INDEX('Báo cáo 75 trang đích'!$B$2:$B$76,$A348)</f>
        <v>https://techcombank.com/thong-tin/blog/chuyen-khoan-thanh-cong-nhung-khong-nhan-duoc-tien</v>
      </c>
      <c r="C348" s="5" t="str">
        <f t="array" ref="C348">INDEX('Báo cáo 75 trang đích'!$C$2:$C$76,$A348)</f>
        <v>CASA</v>
      </c>
      <c r="D348" s="20" t="s">
        <v>905</v>
      </c>
      <c r="E348" s="22" t="s">
        <v>623</v>
      </c>
      <c r="F348" s="22" t="s">
        <v>81</v>
      </c>
      <c r="G348" s="22" t="s">
        <v>799</v>
      </c>
      <c r="H348" s="24" t="s">
        <v>59</v>
      </c>
      <c r="I348" s="24" t="s">
        <v>59</v>
      </c>
      <c r="J348" s="24" t="s">
        <v>60</v>
      </c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6">
        <v>16.0</v>
      </c>
      <c r="B349" s="35" t="str">
        <f t="array" ref="B349">INDEX('Báo cáo 75 trang đích'!$B$2:$B$76,$A349)</f>
        <v>https://techcombank.com/thong-tin/blog/chuyen-khoan-thanh-cong-nhung-khong-nhan-duoc-tien</v>
      </c>
      <c r="C349" s="5" t="str">
        <f t="array" ref="C349">INDEX('Báo cáo 75 trang đích'!$C$2:$C$76,$A349)</f>
        <v>CASA</v>
      </c>
      <c r="D349" s="20" t="s">
        <v>912</v>
      </c>
      <c r="E349" s="22" t="s">
        <v>149</v>
      </c>
      <c r="F349" s="22" t="s">
        <v>81</v>
      </c>
      <c r="G349" s="22" t="s">
        <v>799</v>
      </c>
      <c r="H349" s="24" t="s">
        <v>59</v>
      </c>
      <c r="I349" s="24" t="s">
        <v>59</v>
      </c>
      <c r="J349" s="24" t="s">
        <v>60</v>
      </c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6">
        <v>16.0</v>
      </c>
      <c r="B350" s="35" t="str">
        <f t="array" ref="B350">INDEX('Báo cáo 75 trang đích'!$B$2:$B$76,$A350)</f>
        <v>https://techcombank.com/thong-tin/blog/chuyen-khoan-thanh-cong-nhung-khong-nhan-duoc-tien</v>
      </c>
      <c r="C350" s="5" t="str">
        <f t="array" ref="C350">INDEX('Báo cáo 75 trang đích'!$C$2:$C$76,$A350)</f>
        <v>CASA</v>
      </c>
      <c r="D350" s="20" t="s">
        <v>273</v>
      </c>
      <c r="E350" s="22" t="s">
        <v>621</v>
      </c>
      <c r="F350" s="22" t="s">
        <v>81</v>
      </c>
      <c r="G350" s="22" t="s">
        <v>799</v>
      </c>
      <c r="H350" s="24" t="s">
        <v>59</v>
      </c>
      <c r="I350" s="24" t="s">
        <v>59</v>
      </c>
      <c r="J350" s="24" t="s">
        <v>60</v>
      </c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6">
        <v>16.0</v>
      </c>
      <c r="B351" s="35" t="str">
        <f t="array" ref="B351">INDEX('Báo cáo 75 trang đích'!$B$2:$B$76,$A351)</f>
        <v>https://techcombank.com/thong-tin/blog/chuyen-khoan-thanh-cong-nhung-khong-nhan-duoc-tien</v>
      </c>
      <c r="C351" s="5" t="str">
        <f t="array" ref="C351">INDEX('Báo cáo 75 trang đích'!$C$2:$C$76,$A351)</f>
        <v>CASA</v>
      </c>
      <c r="D351" s="20" t="s">
        <v>920</v>
      </c>
      <c r="E351" s="22" t="s">
        <v>623</v>
      </c>
      <c r="F351" s="22" t="s">
        <v>81</v>
      </c>
      <c r="G351" s="22" t="s">
        <v>799</v>
      </c>
      <c r="H351" s="24" t="s">
        <v>59</v>
      </c>
      <c r="I351" s="24" t="s">
        <v>59</v>
      </c>
      <c r="J351" s="24" t="s">
        <v>60</v>
      </c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6">
        <v>16.0</v>
      </c>
      <c r="B352" s="35" t="str">
        <f t="array" ref="B352">INDEX('Báo cáo 75 trang đích'!$B$2:$B$76,$A352)</f>
        <v>https://techcombank.com/thong-tin/blog/chuyen-khoan-thanh-cong-nhung-khong-nhan-duoc-tien</v>
      </c>
      <c r="C352" s="5" t="str">
        <f t="array" ref="C352">INDEX('Báo cáo 75 trang đích'!$C$2:$C$76,$A352)</f>
        <v>CASA</v>
      </c>
      <c r="D352" s="20" t="s">
        <v>900</v>
      </c>
      <c r="E352" s="22" t="s">
        <v>149</v>
      </c>
      <c r="F352" s="22" t="s">
        <v>81</v>
      </c>
      <c r="G352" s="22" t="s">
        <v>799</v>
      </c>
      <c r="H352" s="24" t="s">
        <v>59</v>
      </c>
      <c r="I352" s="24" t="s">
        <v>59</v>
      </c>
      <c r="J352" s="24" t="s">
        <v>60</v>
      </c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6">
        <v>16.0</v>
      </c>
      <c r="B353" s="35" t="str">
        <f t="array" ref="B353">INDEX('Báo cáo 75 trang đích'!$B$2:$B$76,$A353)</f>
        <v>https://techcombank.com/thong-tin/blog/chuyen-khoan-thanh-cong-nhung-khong-nhan-duoc-tien</v>
      </c>
      <c r="C353" s="5" t="str">
        <f t="array" ref="C353">INDEX('Báo cáo 75 trang đích'!$C$2:$C$76,$A353)</f>
        <v>CASA</v>
      </c>
      <c r="D353" s="20" t="s">
        <v>879</v>
      </c>
      <c r="E353" s="22" t="s">
        <v>621</v>
      </c>
      <c r="F353" s="22" t="s">
        <v>81</v>
      </c>
      <c r="G353" s="22" t="s">
        <v>799</v>
      </c>
      <c r="H353" s="24" t="s">
        <v>59</v>
      </c>
      <c r="I353" s="24" t="s">
        <v>59</v>
      </c>
      <c r="J353" s="24" t="s">
        <v>60</v>
      </c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6">
        <v>16.0</v>
      </c>
      <c r="B354" s="35" t="str">
        <f t="array" ref="B354">INDEX('Báo cáo 75 trang đích'!$B$2:$B$76,$A354)</f>
        <v>https://techcombank.com/thong-tin/blog/chuyen-khoan-thanh-cong-nhung-khong-nhan-duoc-tien</v>
      </c>
      <c r="C354" s="5" t="str">
        <f t="array" ref="C354">INDEX('Báo cáo 75 trang đích'!$C$2:$C$76,$A354)</f>
        <v>CASA</v>
      </c>
      <c r="D354" s="20" t="s">
        <v>263</v>
      </c>
      <c r="E354" s="22" t="s">
        <v>623</v>
      </c>
      <c r="F354" s="22" t="s">
        <v>81</v>
      </c>
      <c r="G354" s="22" t="s">
        <v>799</v>
      </c>
      <c r="H354" s="24" t="s">
        <v>59</v>
      </c>
      <c r="I354" s="24" t="s">
        <v>59</v>
      </c>
      <c r="J354" s="24" t="s">
        <v>60</v>
      </c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6">
        <v>16.0</v>
      </c>
      <c r="B355" s="35" t="str">
        <f t="array" ref="B355">INDEX('Báo cáo 75 trang đích'!$B$2:$B$76,$A355)</f>
        <v>https://techcombank.com/thong-tin/blog/chuyen-khoan-thanh-cong-nhung-khong-nhan-duoc-tien</v>
      </c>
      <c r="C355" s="5" t="str">
        <f t="array" ref="C355">INDEX('Báo cáo 75 trang đích'!$C$2:$C$76,$A355)</f>
        <v>CASA</v>
      </c>
      <c r="D355" s="20" t="s">
        <v>238</v>
      </c>
      <c r="E355" s="22" t="s">
        <v>149</v>
      </c>
      <c r="F355" s="22" t="s">
        <v>81</v>
      </c>
      <c r="G355" s="22" t="s">
        <v>799</v>
      </c>
      <c r="H355" s="24" t="s">
        <v>59</v>
      </c>
      <c r="I355" s="24" t="s">
        <v>59</v>
      </c>
      <c r="J355" s="24" t="s">
        <v>60</v>
      </c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6">
        <v>16.0</v>
      </c>
      <c r="B356" s="35" t="str">
        <f t="array" ref="B356">INDEX('Báo cáo 75 trang đích'!$B$2:$B$76,$A356)</f>
        <v>https://techcombank.com/thong-tin/blog/chuyen-khoan-thanh-cong-nhung-khong-nhan-duoc-tien</v>
      </c>
      <c r="C356" s="5" t="str">
        <f t="array" ref="C356">INDEX('Báo cáo 75 trang đích'!$C$2:$C$76,$A356)</f>
        <v>CASA</v>
      </c>
      <c r="D356" s="20" t="s">
        <v>942</v>
      </c>
      <c r="E356" s="22" t="s">
        <v>621</v>
      </c>
      <c r="F356" s="22" t="s">
        <v>81</v>
      </c>
      <c r="G356" s="22" t="s">
        <v>799</v>
      </c>
      <c r="H356" s="24" t="s">
        <v>59</v>
      </c>
      <c r="I356" s="24" t="s">
        <v>59</v>
      </c>
      <c r="J356" s="24" t="s">
        <v>60</v>
      </c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6">
        <v>16.0</v>
      </c>
      <c r="B357" s="35" t="str">
        <f t="array" ref="B357">INDEX('Báo cáo 75 trang đích'!$B$2:$B$76,$A357)</f>
        <v>https://techcombank.com/thong-tin/blog/chuyen-khoan-thanh-cong-nhung-khong-nhan-duoc-tien</v>
      </c>
      <c r="C357" s="5" t="str">
        <f t="array" ref="C357">INDEX('Báo cáo 75 trang đích'!$C$2:$C$76,$A357)</f>
        <v>CASA</v>
      </c>
      <c r="D357" s="20" t="s">
        <v>946</v>
      </c>
      <c r="E357" s="22" t="s">
        <v>623</v>
      </c>
      <c r="F357" s="22" t="s">
        <v>81</v>
      </c>
      <c r="G357" s="22" t="s">
        <v>799</v>
      </c>
      <c r="H357" s="24" t="s">
        <v>59</v>
      </c>
      <c r="I357" s="24" t="s">
        <v>59</v>
      </c>
      <c r="J357" s="24" t="s">
        <v>60</v>
      </c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6">
        <v>16.0</v>
      </c>
      <c r="B358" s="35" t="str">
        <f t="array" ref="B358">INDEX('Báo cáo 75 trang đích'!$B$2:$B$76,$A358)</f>
        <v>https://techcombank.com/thong-tin/blog/chuyen-khoan-thanh-cong-nhung-khong-nhan-duoc-tien</v>
      </c>
      <c r="C358" s="5" t="str">
        <f t="array" ref="C358">INDEX('Báo cáo 75 trang đích'!$C$2:$C$76,$A358)</f>
        <v>CASA</v>
      </c>
      <c r="D358" s="20" t="s">
        <v>874</v>
      </c>
      <c r="E358" s="22" t="s">
        <v>149</v>
      </c>
      <c r="F358" s="22" t="s">
        <v>81</v>
      </c>
      <c r="G358" s="22" t="s">
        <v>799</v>
      </c>
      <c r="H358" s="24" t="s">
        <v>59</v>
      </c>
      <c r="I358" s="24" t="s">
        <v>59</v>
      </c>
      <c r="J358" s="24" t="s">
        <v>60</v>
      </c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6">
        <v>16.0</v>
      </c>
      <c r="B359" s="35" t="str">
        <f t="array" ref="B359">INDEX('Báo cáo 75 trang đích'!$B$2:$B$76,$A359)</f>
        <v>https://techcombank.com/thong-tin/blog/chuyen-khoan-thanh-cong-nhung-khong-nhan-duoc-tien</v>
      </c>
      <c r="C359" s="5" t="str">
        <f t="array" ref="C359">INDEX('Báo cáo 75 trang đích'!$C$2:$C$76,$A359)</f>
        <v>CASA</v>
      </c>
      <c r="D359" s="20" t="s">
        <v>270</v>
      </c>
      <c r="E359" s="22" t="s">
        <v>621</v>
      </c>
      <c r="F359" s="22" t="s">
        <v>81</v>
      </c>
      <c r="G359" s="22" t="s">
        <v>799</v>
      </c>
      <c r="H359" s="24" t="s">
        <v>59</v>
      </c>
      <c r="I359" s="24" t="s">
        <v>59</v>
      </c>
      <c r="J359" s="24" t="s">
        <v>60</v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6">
        <v>16.0</v>
      </c>
      <c r="B360" s="35" t="str">
        <f t="array" ref="B360">INDEX('Báo cáo 75 trang đích'!$B$2:$B$76,$A360)</f>
        <v>https://techcombank.com/thong-tin/blog/chuyen-khoan-thanh-cong-nhung-khong-nhan-duoc-tien</v>
      </c>
      <c r="C360" s="5" t="str">
        <f t="array" ref="C360">INDEX('Báo cáo 75 trang đích'!$C$2:$C$76,$A360)</f>
        <v>CASA</v>
      </c>
      <c r="D360" s="20" t="s">
        <v>852</v>
      </c>
      <c r="E360" s="22" t="s">
        <v>623</v>
      </c>
      <c r="F360" s="22" t="s">
        <v>81</v>
      </c>
      <c r="G360" s="22" t="s">
        <v>799</v>
      </c>
      <c r="H360" s="24" t="s">
        <v>59</v>
      </c>
      <c r="I360" s="24" t="s">
        <v>59</v>
      </c>
      <c r="J360" s="24" t="s">
        <v>60</v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6">
        <v>16.0</v>
      </c>
      <c r="B361" s="35" t="str">
        <f t="array" ref="B361">INDEX('Báo cáo 75 trang đích'!$B$2:$B$76,$A361)</f>
        <v>https://techcombank.com/thong-tin/blog/chuyen-khoan-thanh-cong-nhung-khong-nhan-duoc-tien</v>
      </c>
      <c r="C361" s="5" t="str">
        <f t="array" ref="C361">INDEX('Báo cáo 75 trang đích'!$C$2:$C$76,$A361)</f>
        <v>CASA</v>
      </c>
      <c r="D361" s="20" t="s">
        <v>886</v>
      </c>
      <c r="E361" s="22" t="s">
        <v>149</v>
      </c>
      <c r="F361" s="22" t="s">
        <v>81</v>
      </c>
      <c r="G361" s="22" t="s">
        <v>799</v>
      </c>
      <c r="H361" s="24" t="s">
        <v>59</v>
      </c>
      <c r="I361" s="24" t="s">
        <v>59</v>
      </c>
      <c r="J361" s="24" t="s">
        <v>60</v>
      </c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6">
        <v>17.0</v>
      </c>
      <c r="B362" s="35" t="str">
        <f t="array" ref="B362">INDEX('Báo cáo 75 trang đích'!$B$2:$B$76,$A362)</f>
        <v>https://techcombank.com/thong-tin/blog/bao-nhieu-tuoi-duoc-mo-tai-khoan-ngan-hang</v>
      </c>
      <c r="C362" s="5" t="str">
        <f t="array" ref="C362">INDEX('Báo cáo 75 trang đích'!$C$2:$C$76,$A362)</f>
        <v>CASA</v>
      </c>
      <c r="D362" s="20" t="s">
        <v>631</v>
      </c>
      <c r="E362" s="22" t="s">
        <v>152</v>
      </c>
      <c r="F362" s="22" t="s">
        <v>57</v>
      </c>
      <c r="G362" s="22" t="s">
        <v>970</v>
      </c>
      <c r="H362" s="24" t="s">
        <v>59</v>
      </c>
      <c r="I362" s="24" t="s">
        <v>59</v>
      </c>
      <c r="J362" s="24" t="s">
        <v>60</v>
      </c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6">
        <v>17.0</v>
      </c>
      <c r="B363" s="35" t="str">
        <f t="array" ref="B363">INDEX('Báo cáo 75 trang đích'!$B$2:$B$76,$A363)</f>
        <v>https://techcombank.com/thong-tin/blog/bao-nhieu-tuoi-duoc-mo-tai-khoan-ngan-hang</v>
      </c>
      <c r="C363" s="5" t="str">
        <f t="array" ref="C363">INDEX('Báo cáo 75 trang đích'!$C$2:$C$76,$A363)</f>
        <v>CASA</v>
      </c>
      <c r="D363" s="20" t="s">
        <v>633</v>
      </c>
      <c r="E363" s="22" t="s">
        <v>635</v>
      </c>
      <c r="F363" s="22" t="s">
        <v>57</v>
      </c>
      <c r="G363" s="22" t="s">
        <v>974</v>
      </c>
      <c r="H363" s="24" t="s">
        <v>59</v>
      </c>
      <c r="I363" s="24" t="s">
        <v>59</v>
      </c>
      <c r="J363" s="24" t="s">
        <v>60</v>
      </c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6">
        <v>17.0</v>
      </c>
      <c r="B364" s="35" t="str">
        <f t="array" ref="B364">INDEX('Báo cáo 75 trang đích'!$B$2:$B$76,$A364)</f>
        <v>https://techcombank.com/thong-tin/blog/bao-nhieu-tuoi-duoc-mo-tai-khoan-ngan-hang</v>
      </c>
      <c r="C364" s="5" t="str">
        <f t="array" ref="C364">INDEX('Báo cáo 75 trang đích'!$C$2:$C$76,$A364)</f>
        <v>CASA</v>
      </c>
      <c r="D364" s="20" t="s">
        <v>637</v>
      </c>
      <c r="E364" s="22" t="s">
        <v>152</v>
      </c>
      <c r="F364" s="22" t="s">
        <v>76</v>
      </c>
      <c r="G364" s="22" t="s">
        <v>978</v>
      </c>
      <c r="H364" s="24" t="s">
        <v>59</v>
      </c>
      <c r="I364" s="24" t="s">
        <v>59</v>
      </c>
      <c r="J364" s="24" t="s">
        <v>60</v>
      </c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6">
        <v>17.0</v>
      </c>
      <c r="B365" s="35" t="str">
        <f t="array" ref="B365">INDEX('Báo cáo 75 trang đích'!$B$2:$B$76,$A365)</f>
        <v>https://techcombank.com/thong-tin/blog/bao-nhieu-tuoi-duoc-mo-tai-khoan-ngan-hang</v>
      </c>
      <c r="C365" s="5" t="str">
        <f t="array" ref="C365">INDEX('Báo cáo 75 trang đích'!$C$2:$C$76,$A365)</f>
        <v>CASA</v>
      </c>
      <c r="D365" s="20" t="s">
        <v>982</v>
      </c>
      <c r="E365" s="22" t="s">
        <v>635</v>
      </c>
      <c r="F365" s="22" t="s">
        <v>76</v>
      </c>
      <c r="G365" s="22" t="s">
        <v>985</v>
      </c>
      <c r="H365" s="24" t="s">
        <v>59</v>
      </c>
      <c r="I365" s="24" t="s">
        <v>59</v>
      </c>
      <c r="J365" s="24" t="s">
        <v>60</v>
      </c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6">
        <v>17.0</v>
      </c>
      <c r="B366" s="35" t="str">
        <f t="array" ref="B366">INDEX('Báo cáo 75 trang đích'!$B$2:$B$76,$A366)</f>
        <v>https://techcombank.com/thong-tin/blog/bao-nhieu-tuoi-duoc-mo-tai-khoan-ngan-hang</v>
      </c>
      <c r="C366" s="5" t="str">
        <f t="array" ref="C366">INDEX('Báo cáo 75 trang đích'!$C$2:$C$76,$A366)</f>
        <v>CASA</v>
      </c>
      <c r="D366" s="20" t="s">
        <v>987</v>
      </c>
      <c r="E366" s="22" t="s">
        <v>152</v>
      </c>
      <c r="F366" s="22" t="s">
        <v>76</v>
      </c>
      <c r="G366" s="22" t="s">
        <v>990</v>
      </c>
      <c r="H366" s="24" t="s">
        <v>59</v>
      </c>
      <c r="I366" s="24" t="s">
        <v>59</v>
      </c>
      <c r="J366" s="24" t="s">
        <v>60</v>
      </c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6">
        <v>17.0</v>
      </c>
      <c r="B367" s="35" t="str">
        <f t="array" ref="B367">INDEX('Báo cáo 75 trang đích'!$B$2:$B$76,$A367)</f>
        <v>https://techcombank.com/thong-tin/blog/bao-nhieu-tuoi-duoc-mo-tai-khoan-ngan-hang</v>
      </c>
      <c r="C367" s="5" t="str">
        <f t="array" ref="C367">INDEX('Báo cáo 75 trang đích'!$C$2:$C$76,$A367)</f>
        <v>CASA</v>
      </c>
      <c r="D367" s="20" t="s">
        <v>993</v>
      </c>
      <c r="E367" s="22" t="s">
        <v>635</v>
      </c>
      <c r="F367" s="22" t="s">
        <v>81</v>
      </c>
      <c r="G367" s="22" t="s">
        <v>996</v>
      </c>
      <c r="H367" s="24" t="s">
        <v>59</v>
      </c>
      <c r="I367" s="24" t="s">
        <v>59</v>
      </c>
      <c r="J367" s="24" t="s">
        <v>60</v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6">
        <v>17.0</v>
      </c>
      <c r="B368" s="35" t="str">
        <f t="array" ref="B368">INDEX('Báo cáo 75 trang đích'!$B$2:$B$76,$A368)</f>
        <v>https://techcombank.com/thong-tin/blog/bao-nhieu-tuoi-duoc-mo-tai-khoan-ngan-hang</v>
      </c>
      <c r="C368" s="5" t="str">
        <f t="array" ref="C368">INDEX('Báo cáo 75 trang đích'!$C$2:$C$76,$A368)</f>
        <v>CASA</v>
      </c>
      <c r="D368" s="20" t="s">
        <v>999</v>
      </c>
      <c r="E368" s="22" t="s">
        <v>152</v>
      </c>
      <c r="F368" s="22" t="s">
        <v>81</v>
      </c>
      <c r="G368" s="22" t="s">
        <v>1002</v>
      </c>
      <c r="H368" s="24" t="s">
        <v>59</v>
      </c>
      <c r="I368" s="24" t="s">
        <v>59</v>
      </c>
      <c r="J368" s="24" t="s">
        <v>60</v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6">
        <v>17.0</v>
      </c>
      <c r="B369" s="35" t="str">
        <f t="array" ref="B369">INDEX('Báo cáo 75 trang đích'!$B$2:$B$76,$A369)</f>
        <v>https://techcombank.com/thong-tin/blog/bao-nhieu-tuoi-duoc-mo-tai-khoan-ngan-hang</v>
      </c>
      <c r="C369" s="5" t="str">
        <f t="array" ref="C369">INDEX('Báo cáo 75 trang đích'!$C$2:$C$76,$A369)</f>
        <v>CASA</v>
      </c>
      <c r="D369" s="20" t="s">
        <v>666</v>
      </c>
      <c r="E369" s="22" t="s">
        <v>635</v>
      </c>
      <c r="F369" s="22" t="s">
        <v>81</v>
      </c>
      <c r="G369" s="22" t="s">
        <v>1005</v>
      </c>
      <c r="H369" s="24" t="s">
        <v>59</v>
      </c>
      <c r="I369" s="24" t="s">
        <v>59</v>
      </c>
      <c r="J369" s="24" t="s">
        <v>60</v>
      </c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6">
        <v>17.0</v>
      </c>
      <c r="B370" s="35" t="str">
        <f t="array" ref="B370">INDEX('Báo cáo 75 trang đích'!$B$2:$B$76,$A370)</f>
        <v>https://techcombank.com/thong-tin/blog/bao-nhieu-tuoi-duoc-mo-tai-khoan-ngan-hang</v>
      </c>
      <c r="C370" s="5" t="str">
        <f t="array" ref="C370">INDEX('Báo cáo 75 trang đích'!$C$2:$C$76,$A370)</f>
        <v>CASA</v>
      </c>
      <c r="D370" s="20" t="s">
        <v>1009</v>
      </c>
      <c r="E370" s="22" t="s">
        <v>152</v>
      </c>
      <c r="F370" s="22" t="s">
        <v>81</v>
      </c>
      <c r="G370" s="22" t="s">
        <v>1011</v>
      </c>
      <c r="H370" s="24" t="s">
        <v>59</v>
      </c>
      <c r="I370" s="24" t="s">
        <v>59</v>
      </c>
      <c r="J370" s="24" t="s">
        <v>60</v>
      </c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6">
        <v>17.0</v>
      </c>
      <c r="B371" s="35" t="str">
        <f t="array" ref="B371">INDEX('Báo cáo 75 trang đích'!$B$2:$B$76,$A371)</f>
        <v>https://techcombank.com/thong-tin/blog/bao-nhieu-tuoi-duoc-mo-tai-khoan-ngan-hang</v>
      </c>
      <c r="C371" s="5" t="str">
        <f t="array" ref="C371">INDEX('Báo cáo 75 trang đích'!$C$2:$C$76,$A371)</f>
        <v>CASA</v>
      </c>
      <c r="D371" s="20" t="s">
        <v>1013</v>
      </c>
      <c r="E371" s="22" t="s">
        <v>635</v>
      </c>
      <c r="F371" s="22" t="s">
        <v>81</v>
      </c>
      <c r="G371" s="22" t="s">
        <v>1005</v>
      </c>
      <c r="H371" s="24" t="s">
        <v>59</v>
      </c>
      <c r="I371" s="24" t="s">
        <v>59</v>
      </c>
      <c r="J371" s="24" t="s">
        <v>60</v>
      </c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6">
        <v>17.0</v>
      </c>
      <c r="B372" s="35" t="str">
        <f t="array" ref="B372">INDEX('Báo cáo 75 trang đích'!$B$2:$B$76,$A372)</f>
        <v>https://techcombank.com/thong-tin/blog/bao-nhieu-tuoi-duoc-mo-tai-khoan-ngan-hang</v>
      </c>
      <c r="C372" s="5" t="str">
        <f t="array" ref="C372">INDEX('Báo cáo 75 trang đích'!$C$2:$C$76,$A372)</f>
        <v>CASA</v>
      </c>
      <c r="D372" s="20" t="s">
        <v>1016</v>
      </c>
      <c r="E372" s="22" t="s">
        <v>152</v>
      </c>
      <c r="F372" s="22" t="s">
        <v>81</v>
      </c>
      <c r="G372" s="22" t="s">
        <v>1011</v>
      </c>
      <c r="H372" s="24" t="s">
        <v>59</v>
      </c>
      <c r="I372" s="24" t="s">
        <v>59</v>
      </c>
      <c r="J372" s="24" t="s">
        <v>60</v>
      </c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6">
        <v>17.0</v>
      </c>
      <c r="B373" s="35" t="str">
        <f t="array" ref="B373">INDEX('Báo cáo 75 trang đích'!$B$2:$B$76,$A373)</f>
        <v>https://techcombank.com/thong-tin/blog/bao-nhieu-tuoi-duoc-mo-tai-khoan-ngan-hang</v>
      </c>
      <c r="C373" s="5" t="str">
        <f t="array" ref="C373">INDEX('Báo cáo 75 trang đích'!$C$2:$C$76,$A373)</f>
        <v>CASA</v>
      </c>
      <c r="D373" s="20" t="s">
        <v>479</v>
      </c>
      <c r="E373" s="22" t="s">
        <v>635</v>
      </c>
      <c r="F373" s="22" t="s">
        <v>81</v>
      </c>
      <c r="G373" s="22" t="s">
        <v>1005</v>
      </c>
      <c r="H373" s="24" t="s">
        <v>59</v>
      </c>
      <c r="I373" s="24" t="s">
        <v>59</v>
      </c>
      <c r="J373" s="24" t="s">
        <v>60</v>
      </c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6">
        <v>17.0</v>
      </c>
      <c r="B374" s="35" t="str">
        <f t="array" ref="B374">INDEX('Báo cáo 75 trang đích'!$B$2:$B$76,$A374)</f>
        <v>https://techcombank.com/thong-tin/blog/bao-nhieu-tuoi-duoc-mo-tai-khoan-ngan-hang</v>
      </c>
      <c r="C374" s="5" t="str">
        <f t="array" ref="C374">INDEX('Báo cáo 75 trang đích'!$C$2:$C$76,$A374)</f>
        <v>CASA</v>
      </c>
      <c r="D374" s="20" t="s">
        <v>763</v>
      </c>
      <c r="E374" s="22" t="s">
        <v>152</v>
      </c>
      <c r="F374" s="22" t="s">
        <v>81</v>
      </c>
      <c r="G374" s="22" t="s">
        <v>1011</v>
      </c>
      <c r="H374" s="24" t="s">
        <v>59</v>
      </c>
      <c r="I374" s="24" t="s">
        <v>59</v>
      </c>
      <c r="J374" s="24" t="s">
        <v>60</v>
      </c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6">
        <v>17.0</v>
      </c>
      <c r="B375" s="35" t="str">
        <f t="array" ref="B375">INDEX('Báo cáo 75 trang đích'!$B$2:$B$76,$A375)</f>
        <v>https://techcombank.com/thong-tin/blog/bao-nhieu-tuoi-duoc-mo-tai-khoan-ngan-hang</v>
      </c>
      <c r="C375" s="5" t="str">
        <f t="array" ref="C375">INDEX('Báo cáo 75 trang đích'!$C$2:$C$76,$A375)</f>
        <v>CASA</v>
      </c>
      <c r="D375" s="20" t="s">
        <v>639</v>
      </c>
      <c r="E375" s="22" t="s">
        <v>635</v>
      </c>
      <c r="F375" s="22" t="s">
        <v>81</v>
      </c>
      <c r="G375" s="22" t="s">
        <v>1011</v>
      </c>
      <c r="H375" s="24" t="s">
        <v>59</v>
      </c>
      <c r="I375" s="24" t="s">
        <v>59</v>
      </c>
      <c r="J375" s="24" t="s">
        <v>60</v>
      </c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6">
        <v>17.0</v>
      </c>
      <c r="B376" s="35" t="str">
        <f t="array" ref="B376">INDEX('Báo cáo 75 trang đích'!$B$2:$B$76,$A376)</f>
        <v>https://techcombank.com/thong-tin/blog/bao-nhieu-tuoi-duoc-mo-tai-khoan-ngan-hang</v>
      </c>
      <c r="C376" s="5" t="str">
        <f t="array" ref="C376">INDEX('Báo cáo 75 trang đích'!$C$2:$C$76,$A376)</f>
        <v>CASA</v>
      </c>
      <c r="D376" s="20" t="s">
        <v>142</v>
      </c>
      <c r="E376" s="22" t="s">
        <v>152</v>
      </c>
      <c r="F376" s="22" t="s">
        <v>81</v>
      </c>
      <c r="G376" s="22" t="s">
        <v>1028</v>
      </c>
      <c r="H376" s="24" t="s">
        <v>59</v>
      </c>
      <c r="I376" s="24" t="s">
        <v>59</v>
      </c>
      <c r="J376" s="24" t="s">
        <v>60</v>
      </c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6">
        <v>17.0</v>
      </c>
      <c r="B377" s="35" t="str">
        <f t="array" ref="B377">INDEX('Báo cáo 75 trang đích'!$B$2:$B$76,$A377)</f>
        <v>https://techcombank.com/thong-tin/blog/bao-nhieu-tuoi-duoc-mo-tai-khoan-ngan-hang</v>
      </c>
      <c r="C377" s="5" t="str">
        <f t="array" ref="C377">INDEX('Báo cáo 75 trang đích'!$C$2:$C$76,$A377)</f>
        <v>CASA</v>
      </c>
      <c r="D377" s="20" t="s">
        <v>1032</v>
      </c>
      <c r="E377" s="22" t="s">
        <v>635</v>
      </c>
      <c r="F377" s="22" t="s">
        <v>81</v>
      </c>
      <c r="G377" s="22" t="s">
        <v>1011</v>
      </c>
      <c r="H377" s="24" t="s">
        <v>59</v>
      </c>
      <c r="I377" s="24" t="s">
        <v>59</v>
      </c>
      <c r="J377" s="24" t="s">
        <v>60</v>
      </c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6">
        <v>17.0</v>
      </c>
      <c r="B378" s="35" t="str">
        <f t="array" ref="B378">INDEX('Báo cáo 75 trang đích'!$B$2:$B$76,$A378)</f>
        <v>https://techcombank.com/thong-tin/blog/bao-nhieu-tuoi-duoc-mo-tai-khoan-ngan-hang</v>
      </c>
      <c r="C378" s="5" t="str">
        <f t="array" ref="C378">INDEX('Báo cáo 75 trang đích'!$C$2:$C$76,$A378)</f>
        <v>CASA</v>
      </c>
      <c r="D378" s="20" t="s">
        <v>539</v>
      </c>
      <c r="E378" s="22" t="s">
        <v>152</v>
      </c>
      <c r="F378" s="22" t="s">
        <v>81</v>
      </c>
      <c r="G378" s="22" t="s">
        <v>1002</v>
      </c>
      <c r="H378" s="24" t="s">
        <v>59</v>
      </c>
      <c r="I378" s="24" t="s">
        <v>59</v>
      </c>
      <c r="J378" s="24" t="s">
        <v>60</v>
      </c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6">
        <v>17.0</v>
      </c>
      <c r="B379" s="35" t="str">
        <f t="array" ref="B379">INDEX('Báo cáo 75 trang đích'!$B$2:$B$76,$A379)</f>
        <v>https://techcombank.com/thong-tin/blog/bao-nhieu-tuoi-duoc-mo-tai-khoan-ngan-hang</v>
      </c>
      <c r="C379" s="5" t="str">
        <f t="array" ref="C379">INDEX('Báo cáo 75 trang đích'!$C$2:$C$76,$A379)</f>
        <v>CASA</v>
      </c>
      <c r="D379" s="20" t="s">
        <v>1037</v>
      </c>
      <c r="E379" s="22" t="s">
        <v>635</v>
      </c>
      <c r="F379" s="22" t="s">
        <v>81</v>
      </c>
      <c r="G379" s="22" t="s">
        <v>1011</v>
      </c>
      <c r="H379" s="24" t="s">
        <v>59</v>
      </c>
      <c r="I379" s="24" t="s">
        <v>59</v>
      </c>
      <c r="J379" s="24" t="s">
        <v>60</v>
      </c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6">
        <v>17.0</v>
      </c>
      <c r="B380" s="35" t="str">
        <f t="array" ref="B380">INDEX('Báo cáo 75 trang đích'!$B$2:$B$76,$A380)</f>
        <v>https://techcombank.com/thong-tin/blog/bao-nhieu-tuoi-duoc-mo-tai-khoan-ngan-hang</v>
      </c>
      <c r="C380" s="5" t="str">
        <f t="array" ref="C380">INDEX('Báo cáo 75 trang đích'!$C$2:$C$76,$A380)</f>
        <v>CASA</v>
      </c>
      <c r="D380" s="20" t="s">
        <v>198</v>
      </c>
      <c r="E380" s="22" t="s">
        <v>152</v>
      </c>
      <c r="F380" s="22" t="s">
        <v>81</v>
      </c>
      <c r="G380" s="22" t="s">
        <v>1011</v>
      </c>
      <c r="H380" s="24" t="s">
        <v>59</v>
      </c>
      <c r="I380" s="24" t="s">
        <v>59</v>
      </c>
      <c r="J380" s="24" t="s">
        <v>60</v>
      </c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6">
        <v>17.0</v>
      </c>
      <c r="B381" s="35" t="str">
        <f t="array" ref="B381">INDEX('Báo cáo 75 trang đích'!$B$2:$B$76,$A381)</f>
        <v>https://techcombank.com/thong-tin/blog/bao-nhieu-tuoi-duoc-mo-tai-khoan-ngan-hang</v>
      </c>
      <c r="C381" s="5" t="str">
        <f t="array" ref="C381">INDEX('Báo cáo 75 trang đích'!$C$2:$C$76,$A381)</f>
        <v>CASA</v>
      </c>
      <c r="D381" s="20" t="s">
        <v>1043</v>
      </c>
      <c r="E381" s="22" t="s">
        <v>635</v>
      </c>
      <c r="F381" s="22" t="s">
        <v>81</v>
      </c>
      <c r="G381" s="22" t="s">
        <v>1005</v>
      </c>
      <c r="H381" s="24" t="s">
        <v>59</v>
      </c>
      <c r="I381" s="24" t="s">
        <v>59</v>
      </c>
      <c r="J381" s="24" t="s">
        <v>60</v>
      </c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6">
        <v>17.0</v>
      </c>
      <c r="B382" s="35" t="str">
        <f t="array" ref="B382">INDEX('Báo cáo 75 trang đích'!$B$2:$B$76,$A382)</f>
        <v>https://techcombank.com/thong-tin/blog/bao-nhieu-tuoi-duoc-mo-tai-khoan-ngan-hang</v>
      </c>
      <c r="C382" s="5" t="str">
        <f t="array" ref="C382">INDEX('Báo cáo 75 trang đích'!$C$2:$C$76,$A382)</f>
        <v>CASA</v>
      </c>
      <c r="D382" s="20" t="s">
        <v>680</v>
      </c>
      <c r="E382" s="22" t="s">
        <v>152</v>
      </c>
      <c r="F382" s="22" t="s">
        <v>81</v>
      </c>
      <c r="G382" s="22" t="s">
        <v>1050</v>
      </c>
      <c r="H382" s="24" t="s">
        <v>59</v>
      </c>
      <c r="I382" s="24" t="s">
        <v>59</v>
      </c>
      <c r="J382" s="24" t="s">
        <v>60</v>
      </c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6">
        <v>17.0</v>
      </c>
      <c r="B383" s="35" t="str">
        <f t="array" ref="B383">INDEX('Báo cáo 75 trang đích'!$B$2:$B$76,$A383)</f>
        <v>https://techcombank.com/thong-tin/blog/bao-nhieu-tuoi-duoc-mo-tai-khoan-ngan-hang</v>
      </c>
      <c r="C383" s="5" t="str">
        <f t="array" ref="C383">INDEX('Báo cáo 75 trang đích'!$C$2:$C$76,$A383)</f>
        <v>CASA</v>
      </c>
      <c r="D383" s="20" t="s">
        <v>1054</v>
      </c>
      <c r="E383" s="22" t="s">
        <v>635</v>
      </c>
      <c r="F383" s="22" t="s">
        <v>81</v>
      </c>
      <c r="G383" s="22" t="s">
        <v>1011</v>
      </c>
      <c r="H383" s="24" t="s">
        <v>59</v>
      </c>
      <c r="I383" s="24" t="s">
        <v>59</v>
      </c>
      <c r="J383" s="24" t="s">
        <v>60</v>
      </c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6">
        <v>17.0</v>
      </c>
      <c r="B384" s="35" t="str">
        <f t="array" ref="B384">INDEX('Báo cáo 75 trang đích'!$B$2:$B$76,$A384)</f>
        <v>https://techcombank.com/thong-tin/blog/bao-nhieu-tuoi-duoc-mo-tai-khoan-ngan-hang</v>
      </c>
      <c r="C384" s="5" t="str">
        <f t="array" ref="C384">INDEX('Báo cáo 75 trang đích'!$C$2:$C$76,$A384)</f>
        <v>CASA</v>
      </c>
      <c r="D384" s="20" t="s">
        <v>1059</v>
      </c>
      <c r="E384" s="22" t="s">
        <v>152</v>
      </c>
      <c r="F384" s="22" t="s">
        <v>81</v>
      </c>
      <c r="G384" s="22" t="s">
        <v>1011</v>
      </c>
      <c r="H384" s="24" t="s">
        <v>59</v>
      </c>
      <c r="I384" s="24" t="s">
        <v>59</v>
      </c>
      <c r="J384" s="24" t="s">
        <v>60</v>
      </c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6">
        <v>17.0</v>
      </c>
      <c r="B385" s="35" t="str">
        <f t="array" ref="B385">INDEX('Báo cáo 75 trang đích'!$B$2:$B$76,$A385)</f>
        <v>https://techcombank.com/thong-tin/blog/bao-nhieu-tuoi-duoc-mo-tai-khoan-ngan-hang</v>
      </c>
      <c r="C385" s="5" t="str">
        <f t="array" ref="C385">INDEX('Báo cáo 75 trang đích'!$C$2:$C$76,$A385)</f>
        <v>CASA</v>
      </c>
      <c r="D385" s="20" t="s">
        <v>758</v>
      </c>
      <c r="E385" s="22" t="s">
        <v>635</v>
      </c>
      <c r="F385" s="22" t="s">
        <v>81</v>
      </c>
      <c r="G385" s="22" t="s">
        <v>1011</v>
      </c>
      <c r="H385" s="24" t="s">
        <v>59</v>
      </c>
      <c r="I385" s="24" t="s">
        <v>59</v>
      </c>
      <c r="J385" s="24" t="s">
        <v>60</v>
      </c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6">
        <v>17.0</v>
      </c>
      <c r="B386" s="35" t="str">
        <f t="array" ref="B386">INDEX('Báo cáo 75 trang đích'!$B$2:$B$76,$A386)</f>
        <v>https://techcombank.com/thong-tin/blog/bao-nhieu-tuoi-duoc-mo-tai-khoan-ngan-hang</v>
      </c>
      <c r="C386" s="5" t="str">
        <f t="array" ref="C386">INDEX('Báo cáo 75 trang đích'!$C$2:$C$76,$A386)</f>
        <v>CASA</v>
      </c>
      <c r="D386" s="20" t="s">
        <v>640</v>
      </c>
      <c r="E386" s="22" t="s">
        <v>152</v>
      </c>
      <c r="F386" s="22" t="s">
        <v>81</v>
      </c>
      <c r="G386" s="22" t="s">
        <v>1002</v>
      </c>
      <c r="H386" s="24" t="s">
        <v>59</v>
      </c>
      <c r="I386" s="24" t="s">
        <v>59</v>
      </c>
      <c r="J386" s="24" t="s">
        <v>60</v>
      </c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6">
        <v>17.0</v>
      </c>
      <c r="B387" s="35" t="str">
        <f t="array" ref="B387">INDEX('Báo cáo 75 trang đích'!$B$2:$B$76,$A387)</f>
        <v>https://techcombank.com/thong-tin/blog/bao-nhieu-tuoi-duoc-mo-tai-khoan-ngan-hang</v>
      </c>
      <c r="C387" s="5" t="str">
        <f t="array" ref="C387">INDEX('Báo cáo 75 trang đích'!$C$2:$C$76,$A387)</f>
        <v>CASA</v>
      </c>
      <c r="D387" s="20" t="s">
        <v>1071</v>
      </c>
      <c r="E387" s="22" t="s">
        <v>635</v>
      </c>
      <c r="F387" s="22" t="s">
        <v>81</v>
      </c>
      <c r="G387" s="22" t="s">
        <v>1011</v>
      </c>
      <c r="H387" s="24" t="s">
        <v>59</v>
      </c>
      <c r="I387" s="24" t="s">
        <v>59</v>
      </c>
      <c r="J387" s="24" t="s">
        <v>60</v>
      </c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6">
        <v>17.0</v>
      </c>
      <c r="B388" s="35" t="str">
        <f t="array" ref="B388">INDEX('Báo cáo 75 trang đích'!$B$2:$B$76,$A388)</f>
        <v>https://techcombank.com/thong-tin/blog/bao-nhieu-tuoi-duoc-mo-tai-khoan-ngan-hang</v>
      </c>
      <c r="C388" s="5" t="str">
        <f t="array" ref="C388">INDEX('Báo cáo 75 trang đích'!$C$2:$C$76,$A388)</f>
        <v>CASA</v>
      </c>
      <c r="D388" s="20" t="s">
        <v>1076</v>
      </c>
      <c r="E388" s="22" t="s">
        <v>152</v>
      </c>
      <c r="F388" s="22" t="s">
        <v>81</v>
      </c>
      <c r="G388" s="22" t="s">
        <v>1005</v>
      </c>
      <c r="H388" s="24" t="s">
        <v>59</v>
      </c>
      <c r="I388" s="24" t="s">
        <v>59</v>
      </c>
      <c r="J388" s="24" t="s">
        <v>60</v>
      </c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6">
        <v>17.0</v>
      </c>
      <c r="B389" s="35" t="str">
        <f t="array" ref="B389">INDEX('Báo cáo 75 trang đích'!$B$2:$B$76,$A389)</f>
        <v>https://techcombank.com/thong-tin/blog/bao-nhieu-tuoi-duoc-mo-tai-khoan-ngan-hang</v>
      </c>
      <c r="C389" s="5" t="str">
        <f t="array" ref="C389">INDEX('Báo cáo 75 trang đích'!$C$2:$C$76,$A389)</f>
        <v>CASA</v>
      </c>
      <c r="D389" s="20" t="s">
        <v>1082</v>
      </c>
      <c r="E389" s="22" t="s">
        <v>635</v>
      </c>
      <c r="F389" s="22" t="s">
        <v>81</v>
      </c>
      <c r="G389" s="22" t="s">
        <v>1084</v>
      </c>
      <c r="H389" s="24" t="s">
        <v>59</v>
      </c>
      <c r="I389" s="24" t="s">
        <v>59</v>
      </c>
      <c r="J389" s="24" t="s">
        <v>60</v>
      </c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6">
        <v>18.0</v>
      </c>
      <c r="B390" s="35" t="str">
        <f t="array" ref="B390">INDEX('Báo cáo 75 trang đích'!$B$2:$B$76,$A390)</f>
        <v>https://techcombank.com/thong-tin/blog/mo-tai-khoan-ngan-hang-duoi-18-tuoi</v>
      </c>
      <c r="C390" s="5" t="str">
        <f t="array" ref="C390">INDEX('Báo cáo 75 trang đích'!$C$2:$C$76,$A390)</f>
        <v>CASA</v>
      </c>
      <c r="D390" s="20" t="s">
        <v>640</v>
      </c>
      <c r="E390" s="22" t="s">
        <v>156</v>
      </c>
      <c r="F390" s="22" t="s">
        <v>57</v>
      </c>
      <c r="G390" s="22" t="s">
        <v>1086</v>
      </c>
      <c r="H390" s="24" t="s">
        <v>59</v>
      </c>
      <c r="I390" s="24" t="s">
        <v>59</v>
      </c>
      <c r="J390" s="24" t="s">
        <v>60</v>
      </c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6">
        <v>18.0</v>
      </c>
      <c r="B391" s="35" t="str">
        <f t="array" ref="B391">INDEX('Báo cáo 75 trang đích'!$B$2:$B$76,$A391)</f>
        <v>https://techcombank.com/thong-tin/blog/mo-tai-khoan-ngan-hang-duoi-18-tuoi</v>
      </c>
      <c r="C391" s="5" t="str">
        <f t="array" ref="C391">INDEX('Báo cáo 75 trang đích'!$C$2:$C$76,$A391)</f>
        <v>CASA</v>
      </c>
      <c r="D391" s="20" t="s">
        <v>539</v>
      </c>
      <c r="E391" s="22" t="s">
        <v>644</v>
      </c>
      <c r="F391" s="22" t="s">
        <v>57</v>
      </c>
      <c r="G391" s="22" t="s">
        <v>1092</v>
      </c>
      <c r="H391" s="24" t="s">
        <v>59</v>
      </c>
      <c r="I391" s="24" t="s">
        <v>59</v>
      </c>
      <c r="J391" s="24" t="s">
        <v>60</v>
      </c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6">
        <v>18.0</v>
      </c>
      <c r="B392" s="35" t="str">
        <f t="array" ref="B392">INDEX('Báo cáo 75 trang đích'!$B$2:$B$76,$A392)</f>
        <v>https://techcombank.com/thong-tin/blog/mo-tai-khoan-ngan-hang-duoi-18-tuoi</v>
      </c>
      <c r="C392" s="5" t="str">
        <f t="array" ref="C392">INDEX('Báo cáo 75 trang đích'!$C$2:$C$76,$A392)</f>
        <v>CASA</v>
      </c>
      <c r="D392" s="20" t="s">
        <v>566</v>
      </c>
      <c r="E392" s="22" t="s">
        <v>156</v>
      </c>
      <c r="F392" s="22" t="s">
        <v>76</v>
      </c>
      <c r="G392" s="22" t="s">
        <v>1096</v>
      </c>
      <c r="H392" s="24" t="s">
        <v>59</v>
      </c>
      <c r="I392" s="24" t="s">
        <v>59</v>
      </c>
      <c r="J392" s="24" t="s">
        <v>60</v>
      </c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6">
        <v>18.0</v>
      </c>
      <c r="B393" s="35" t="str">
        <f t="array" ref="B393">INDEX('Báo cáo 75 trang đích'!$B$2:$B$76,$A393)</f>
        <v>https://techcombank.com/thong-tin/blog/mo-tai-khoan-ngan-hang-duoi-18-tuoi</v>
      </c>
      <c r="C393" s="5" t="str">
        <f t="array" ref="C393">INDEX('Báo cáo 75 trang đích'!$C$2:$C$76,$A393)</f>
        <v>CASA</v>
      </c>
      <c r="D393" s="20" t="s">
        <v>1098</v>
      </c>
      <c r="E393" s="22" t="s">
        <v>644</v>
      </c>
      <c r="F393" s="22" t="s">
        <v>76</v>
      </c>
      <c r="G393" s="22" t="s">
        <v>1100</v>
      </c>
      <c r="H393" s="24" t="s">
        <v>59</v>
      </c>
      <c r="I393" s="24" t="s">
        <v>59</v>
      </c>
      <c r="J393" s="24" t="s">
        <v>60</v>
      </c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6">
        <v>18.0</v>
      </c>
      <c r="B394" s="35" t="str">
        <f t="array" ref="B394">INDEX('Báo cáo 75 trang đích'!$B$2:$B$76,$A394)</f>
        <v>https://techcombank.com/thong-tin/blog/mo-tai-khoan-ngan-hang-duoi-18-tuoi</v>
      </c>
      <c r="C394" s="5" t="str">
        <f t="array" ref="C394">INDEX('Báo cáo 75 trang đích'!$C$2:$C$76,$A394)</f>
        <v>CASA</v>
      </c>
      <c r="D394" s="20" t="s">
        <v>1105</v>
      </c>
      <c r="E394" s="22" t="s">
        <v>156</v>
      </c>
      <c r="F394" s="22" t="s">
        <v>76</v>
      </c>
      <c r="G394" s="22" t="s">
        <v>1107</v>
      </c>
      <c r="H394" s="24" t="s">
        <v>59</v>
      </c>
      <c r="I394" s="24" t="s">
        <v>59</v>
      </c>
      <c r="J394" s="24" t="s">
        <v>60</v>
      </c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6">
        <v>18.0</v>
      </c>
      <c r="B395" s="35" t="str">
        <f t="array" ref="B395">INDEX('Báo cáo 75 trang đích'!$B$2:$B$76,$A395)</f>
        <v>https://techcombank.com/thong-tin/blog/mo-tai-khoan-ngan-hang-duoi-18-tuoi</v>
      </c>
      <c r="C395" s="5" t="str">
        <f t="array" ref="C395">INDEX('Báo cáo 75 trang đích'!$C$2:$C$76,$A395)</f>
        <v>CASA</v>
      </c>
      <c r="D395" s="20" t="s">
        <v>993</v>
      </c>
      <c r="E395" s="22" t="s">
        <v>644</v>
      </c>
      <c r="F395" s="22" t="s">
        <v>81</v>
      </c>
      <c r="G395" s="22" t="s">
        <v>996</v>
      </c>
      <c r="H395" s="24" t="s">
        <v>59</v>
      </c>
      <c r="I395" s="24" t="s">
        <v>59</v>
      </c>
      <c r="J395" s="24" t="s">
        <v>60</v>
      </c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6">
        <v>18.0</v>
      </c>
      <c r="B396" s="35" t="str">
        <f t="array" ref="B396">INDEX('Báo cáo 75 trang đích'!$B$2:$B$76,$A396)</f>
        <v>https://techcombank.com/thong-tin/blog/mo-tai-khoan-ngan-hang-duoi-18-tuoi</v>
      </c>
      <c r="C396" s="5" t="str">
        <f t="array" ref="C396">INDEX('Báo cáo 75 trang đích'!$C$2:$C$76,$A396)</f>
        <v>CASA</v>
      </c>
      <c r="D396" s="20" t="s">
        <v>999</v>
      </c>
      <c r="E396" s="22" t="s">
        <v>156</v>
      </c>
      <c r="F396" s="22" t="s">
        <v>81</v>
      </c>
      <c r="G396" s="22" t="s">
        <v>1112</v>
      </c>
      <c r="H396" s="24" t="s">
        <v>59</v>
      </c>
      <c r="I396" s="24" t="s">
        <v>59</v>
      </c>
      <c r="J396" s="24" t="s">
        <v>60</v>
      </c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6">
        <v>18.0</v>
      </c>
      <c r="B397" s="35" t="str">
        <f t="array" ref="B397">INDEX('Báo cáo 75 trang đích'!$B$2:$B$76,$A397)</f>
        <v>https://techcombank.com/thong-tin/blog/mo-tai-khoan-ngan-hang-duoi-18-tuoi</v>
      </c>
      <c r="C397" s="5" t="str">
        <f t="array" ref="C397">INDEX('Báo cáo 75 trang đích'!$C$2:$C$76,$A397)</f>
        <v>CASA</v>
      </c>
      <c r="D397" s="20" t="s">
        <v>1116</v>
      </c>
      <c r="E397" s="22" t="s">
        <v>644</v>
      </c>
      <c r="F397" s="22" t="s">
        <v>81</v>
      </c>
      <c r="G397" s="22" t="s">
        <v>1119</v>
      </c>
      <c r="H397" s="24" t="s">
        <v>59</v>
      </c>
      <c r="I397" s="24" t="s">
        <v>59</v>
      </c>
      <c r="J397" s="24" t="s">
        <v>60</v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6">
        <v>18.0</v>
      </c>
      <c r="B398" s="35" t="str">
        <f t="array" ref="B398">INDEX('Báo cáo 75 trang đích'!$B$2:$B$76,$A398)</f>
        <v>https://techcombank.com/thong-tin/blog/mo-tai-khoan-ngan-hang-duoi-18-tuoi</v>
      </c>
      <c r="C398" s="5" t="str">
        <f t="array" ref="C398">INDEX('Báo cáo 75 trang đích'!$C$2:$C$76,$A398)</f>
        <v>CASA</v>
      </c>
      <c r="D398" s="20" t="s">
        <v>1121</v>
      </c>
      <c r="E398" s="22" t="s">
        <v>156</v>
      </c>
      <c r="F398" s="22" t="s">
        <v>81</v>
      </c>
      <c r="G398" s="22" t="s">
        <v>1119</v>
      </c>
      <c r="H398" s="24" t="s">
        <v>59</v>
      </c>
      <c r="I398" s="24" t="s">
        <v>59</v>
      </c>
      <c r="J398" s="24" t="s">
        <v>60</v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6">
        <v>18.0</v>
      </c>
      <c r="B399" s="35" t="str">
        <f t="array" ref="B399">INDEX('Báo cáo 75 trang đích'!$B$2:$B$76,$A399)</f>
        <v>https://techcombank.com/thong-tin/blog/mo-tai-khoan-ngan-hang-duoi-18-tuoi</v>
      </c>
      <c r="C399" s="5" t="str">
        <f t="array" ref="C399">INDEX('Báo cáo 75 trang đích'!$C$2:$C$76,$A399)</f>
        <v>CASA</v>
      </c>
      <c r="D399" s="20" t="s">
        <v>1126</v>
      </c>
      <c r="E399" s="22" t="s">
        <v>644</v>
      </c>
      <c r="F399" s="22" t="s">
        <v>81</v>
      </c>
      <c r="G399" s="22" t="s">
        <v>1119</v>
      </c>
      <c r="H399" s="24" t="s">
        <v>59</v>
      </c>
      <c r="I399" s="24" t="s">
        <v>59</v>
      </c>
      <c r="J399" s="24" t="s">
        <v>60</v>
      </c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6">
        <v>18.0</v>
      </c>
      <c r="B400" s="35" t="str">
        <f t="array" ref="B400">INDEX('Báo cáo 75 trang đích'!$B$2:$B$76,$A400)</f>
        <v>https://techcombank.com/thong-tin/blog/mo-tai-khoan-ngan-hang-duoi-18-tuoi</v>
      </c>
      <c r="C400" s="5" t="str">
        <f t="array" ref="C400">INDEX('Báo cáo 75 trang đích'!$C$2:$C$76,$A400)</f>
        <v>CASA</v>
      </c>
      <c r="D400" s="20" t="s">
        <v>631</v>
      </c>
      <c r="E400" s="22" t="s">
        <v>156</v>
      </c>
      <c r="F400" s="22" t="s">
        <v>81</v>
      </c>
      <c r="G400" s="22" t="s">
        <v>1002</v>
      </c>
      <c r="H400" s="24" t="s">
        <v>59</v>
      </c>
      <c r="I400" s="24" t="s">
        <v>59</v>
      </c>
      <c r="J400" s="24" t="s">
        <v>60</v>
      </c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6">
        <v>18.0</v>
      </c>
      <c r="B401" s="35" t="str">
        <f t="array" ref="B401">INDEX('Báo cáo 75 trang đích'!$B$2:$B$76,$A401)</f>
        <v>https://techcombank.com/thong-tin/blog/mo-tai-khoan-ngan-hang-duoi-18-tuoi</v>
      </c>
      <c r="C401" s="5" t="str">
        <f t="array" ref="C401">INDEX('Báo cáo 75 trang đích'!$C$2:$C$76,$A401)</f>
        <v>CASA</v>
      </c>
      <c r="D401" s="20" t="s">
        <v>1132</v>
      </c>
      <c r="E401" s="22" t="s">
        <v>644</v>
      </c>
      <c r="F401" s="22" t="s">
        <v>81</v>
      </c>
      <c r="G401" s="22" t="s">
        <v>1119</v>
      </c>
      <c r="H401" s="24" t="s">
        <v>59</v>
      </c>
      <c r="I401" s="24" t="s">
        <v>59</v>
      </c>
      <c r="J401" s="24" t="s">
        <v>60</v>
      </c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6">
        <v>18.0</v>
      </c>
      <c r="B402" s="35" t="str">
        <f t="array" ref="B402">INDEX('Báo cáo 75 trang đích'!$B$2:$B$76,$A402)</f>
        <v>https://techcombank.com/thong-tin/blog/mo-tai-khoan-ngan-hang-duoi-18-tuoi</v>
      </c>
      <c r="C402" s="5" t="str">
        <f t="array" ref="C402">INDEX('Báo cáo 75 trang đích'!$C$2:$C$76,$A402)</f>
        <v>CASA</v>
      </c>
      <c r="D402" s="20" t="s">
        <v>633</v>
      </c>
      <c r="E402" s="22" t="s">
        <v>156</v>
      </c>
      <c r="F402" s="22" t="s">
        <v>81</v>
      </c>
      <c r="G402" s="22" t="s">
        <v>1084</v>
      </c>
      <c r="H402" s="24" t="s">
        <v>59</v>
      </c>
      <c r="I402" s="24" t="s">
        <v>59</v>
      </c>
      <c r="J402" s="24" t="s">
        <v>60</v>
      </c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6">
        <v>18.0</v>
      </c>
      <c r="B403" s="35" t="str">
        <f t="array" ref="B403">INDEX('Báo cáo 75 trang đích'!$B$2:$B$76,$A403)</f>
        <v>https://techcombank.com/thong-tin/blog/mo-tai-khoan-ngan-hang-duoi-18-tuoi</v>
      </c>
      <c r="C403" s="5" t="str">
        <f t="array" ref="C403">INDEX('Báo cáo 75 trang đích'!$C$2:$C$76,$A403)</f>
        <v>CASA</v>
      </c>
      <c r="D403" s="20" t="s">
        <v>1139</v>
      </c>
      <c r="E403" s="22" t="s">
        <v>644</v>
      </c>
      <c r="F403" s="22" t="s">
        <v>81</v>
      </c>
      <c r="G403" s="22" t="s">
        <v>1119</v>
      </c>
      <c r="H403" s="24" t="s">
        <v>59</v>
      </c>
      <c r="I403" s="24" t="s">
        <v>59</v>
      </c>
      <c r="J403" s="24" t="s">
        <v>60</v>
      </c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6">
        <v>18.0</v>
      </c>
      <c r="B404" s="35" t="str">
        <f t="array" ref="B404">INDEX('Báo cáo 75 trang đích'!$B$2:$B$76,$A404)</f>
        <v>https://techcombank.com/thong-tin/blog/mo-tai-khoan-ngan-hang-duoi-18-tuoi</v>
      </c>
      <c r="C404" s="5" t="str">
        <f t="array" ref="C404">INDEX('Báo cáo 75 trang đích'!$C$2:$C$76,$A404)</f>
        <v>CASA</v>
      </c>
      <c r="D404" s="20" t="s">
        <v>1082</v>
      </c>
      <c r="E404" s="22" t="s">
        <v>156</v>
      </c>
      <c r="F404" s="22" t="s">
        <v>81</v>
      </c>
      <c r="G404" s="22" t="s">
        <v>1084</v>
      </c>
      <c r="H404" s="24" t="s">
        <v>59</v>
      </c>
      <c r="I404" s="24" t="s">
        <v>59</v>
      </c>
      <c r="J404" s="24" t="s">
        <v>60</v>
      </c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6">
        <v>19.0</v>
      </c>
      <c r="B405" s="35" t="str">
        <f t="array" ref="B405">INDEX('Báo cáo 75 trang đích'!$B$2:$B$76,$A405)</f>
        <v>https://techcombank.com/thong-tin/blog/nap-tien-vao-tai-khoan-ngan-hang</v>
      </c>
      <c r="C405" s="5" t="str">
        <f t="array" ref="C405">INDEX('Báo cáo 75 trang đích'!$C$2:$C$76,$A405)</f>
        <v>CASA</v>
      </c>
      <c r="D405" s="20" t="s">
        <v>476</v>
      </c>
      <c r="E405" s="22" t="s">
        <v>159</v>
      </c>
      <c r="F405" s="22" t="s">
        <v>57</v>
      </c>
      <c r="G405" s="22" t="s">
        <v>1147</v>
      </c>
      <c r="H405" s="24" t="s">
        <v>59</v>
      </c>
      <c r="I405" s="24" t="s">
        <v>59</v>
      </c>
      <c r="J405" s="24" t="s">
        <v>60</v>
      </c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6">
        <v>19.0</v>
      </c>
      <c r="B406" s="35" t="str">
        <f t="array" ref="B406">INDEX('Báo cáo 75 trang đích'!$B$2:$B$76,$A406)</f>
        <v>https://techcombank.com/thong-tin/blog/nap-tien-vao-tai-khoan-ngan-hang</v>
      </c>
      <c r="C406" s="5" t="str">
        <f t="array" ref="C406">INDEX('Báo cáo 75 trang đích'!$C$2:$C$76,$A406)</f>
        <v>CASA</v>
      </c>
      <c r="D406" s="20" t="s">
        <v>648</v>
      </c>
      <c r="E406" s="22" t="s">
        <v>651</v>
      </c>
      <c r="F406" s="22" t="s">
        <v>57</v>
      </c>
      <c r="G406" s="22" t="s">
        <v>1150</v>
      </c>
      <c r="H406" s="24" t="s">
        <v>59</v>
      </c>
      <c r="I406" s="24" t="s">
        <v>59</v>
      </c>
      <c r="J406" s="24" t="s">
        <v>60</v>
      </c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6">
        <v>19.0</v>
      </c>
      <c r="B407" s="35" t="str">
        <f t="array" ref="B407">INDEX('Báo cáo 75 trang đích'!$B$2:$B$76,$A407)</f>
        <v>https://techcombank.com/thong-tin/blog/nap-tien-vao-tai-khoan-ngan-hang</v>
      </c>
      <c r="C407" s="5" t="str">
        <f t="array" ref="C407">INDEX('Báo cáo 75 trang đích'!$C$2:$C$76,$A407)</f>
        <v>CASA</v>
      </c>
      <c r="D407" s="20" t="s">
        <v>542</v>
      </c>
      <c r="E407" s="22" t="s">
        <v>159</v>
      </c>
      <c r="F407" s="22" t="s">
        <v>76</v>
      </c>
      <c r="G407" s="22" t="s">
        <v>1156</v>
      </c>
      <c r="H407" s="24" t="s">
        <v>59</v>
      </c>
      <c r="I407" s="24" t="s">
        <v>59</v>
      </c>
      <c r="J407" s="24" t="s">
        <v>60</v>
      </c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6">
        <v>19.0</v>
      </c>
      <c r="B408" s="35" t="str">
        <f t="array" ref="B408">INDEX('Báo cáo 75 trang đích'!$B$2:$B$76,$A408)</f>
        <v>https://techcombank.com/thong-tin/blog/nap-tien-vao-tai-khoan-ngan-hang</v>
      </c>
      <c r="C408" s="5" t="str">
        <f t="array" ref="C408">INDEX('Báo cáo 75 trang đích'!$C$2:$C$76,$A408)</f>
        <v>CASA</v>
      </c>
      <c r="D408" s="20" t="s">
        <v>353</v>
      </c>
      <c r="E408" s="22" t="s">
        <v>651</v>
      </c>
      <c r="F408" s="22" t="s">
        <v>76</v>
      </c>
      <c r="G408" s="22" t="s">
        <v>473</v>
      </c>
      <c r="H408" s="24" t="s">
        <v>59</v>
      </c>
      <c r="I408" s="24" t="s">
        <v>59</v>
      </c>
      <c r="J408" s="24" t="s">
        <v>60</v>
      </c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6">
        <v>19.0</v>
      </c>
      <c r="B409" s="35" t="str">
        <f t="array" ref="B409">INDEX('Báo cáo 75 trang đích'!$B$2:$B$76,$A409)</f>
        <v>https://techcombank.com/thong-tin/blog/nap-tien-vao-tai-khoan-ngan-hang</v>
      </c>
      <c r="C409" s="5" t="str">
        <f t="array" ref="C409">INDEX('Báo cáo 75 trang đích'!$C$2:$C$76,$A409)</f>
        <v>CASA</v>
      </c>
      <c r="D409" s="20" t="s">
        <v>655</v>
      </c>
      <c r="E409" s="22" t="s">
        <v>159</v>
      </c>
      <c r="F409" s="22" t="s">
        <v>76</v>
      </c>
      <c r="G409" s="22" t="s">
        <v>1162</v>
      </c>
      <c r="H409" s="24" t="s">
        <v>59</v>
      </c>
      <c r="I409" s="24" t="s">
        <v>59</v>
      </c>
      <c r="J409" s="24" t="s">
        <v>60</v>
      </c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6">
        <v>19.0</v>
      </c>
      <c r="B410" s="35" t="str">
        <f t="array" ref="B410">INDEX('Báo cáo 75 trang đích'!$B$2:$B$76,$A410)</f>
        <v>https://techcombank.com/thong-tin/blog/nap-tien-vao-tai-khoan-ngan-hang</v>
      </c>
      <c r="C410" s="5" t="str">
        <f t="array" ref="C410">INDEX('Báo cáo 75 trang đích'!$C$2:$C$76,$A410)</f>
        <v>CASA</v>
      </c>
      <c r="D410" s="20" t="s">
        <v>1165</v>
      </c>
      <c r="E410" s="22" t="s">
        <v>651</v>
      </c>
      <c r="F410" s="22" t="s">
        <v>81</v>
      </c>
      <c r="G410" s="22" t="s">
        <v>1167</v>
      </c>
      <c r="H410" s="24" t="s">
        <v>59</v>
      </c>
      <c r="I410" s="24" t="s">
        <v>59</v>
      </c>
      <c r="J410" s="24" t="s">
        <v>60</v>
      </c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6">
        <v>19.0</v>
      </c>
      <c r="B411" s="35" t="str">
        <f t="array" ref="B411">INDEX('Báo cáo 75 trang đích'!$B$2:$B$76,$A411)</f>
        <v>https://techcombank.com/thong-tin/blog/nap-tien-vao-tai-khoan-ngan-hang</v>
      </c>
      <c r="C411" s="5" t="str">
        <f t="array" ref="C411">INDEX('Báo cáo 75 trang đích'!$C$2:$C$76,$A411)</f>
        <v>CASA</v>
      </c>
      <c r="D411" s="20" t="s">
        <v>345</v>
      </c>
      <c r="E411" s="22" t="s">
        <v>159</v>
      </c>
      <c r="F411" s="22" t="s">
        <v>81</v>
      </c>
      <c r="G411" s="22" t="s">
        <v>1173</v>
      </c>
      <c r="H411" s="24" t="s">
        <v>59</v>
      </c>
      <c r="I411" s="24" t="s">
        <v>59</v>
      </c>
      <c r="J411" s="24" t="s">
        <v>60</v>
      </c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6">
        <v>19.0</v>
      </c>
      <c r="B412" s="35" t="str">
        <f t="array" ref="B412">INDEX('Báo cáo 75 trang đích'!$B$2:$B$76,$A412)</f>
        <v>https://techcombank.com/thong-tin/blog/nap-tien-vao-tai-khoan-ngan-hang</v>
      </c>
      <c r="C412" s="5" t="str">
        <f t="array" ref="C412">INDEX('Báo cáo 75 trang đích'!$C$2:$C$76,$A412)</f>
        <v>CASA</v>
      </c>
      <c r="D412" s="20" t="s">
        <v>1009</v>
      </c>
      <c r="E412" s="22" t="s">
        <v>651</v>
      </c>
      <c r="F412" s="22" t="s">
        <v>81</v>
      </c>
      <c r="G412" s="22" t="s">
        <v>1167</v>
      </c>
      <c r="H412" s="24" t="s">
        <v>59</v>
      </c>
      <c r="I412" s="24" t="s">
        <v>59</v>
      </c>
      <c r="J412" s="24" t="s">
        <v>60</v>
      </c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6">
        <v>19.0</v>
      </c>
      <c r="B413" s="35" t="str">
        <f t="array" ref="B413">INDEX('Báo cáo 75 trang đích'!$B$2:$B$76,$A413)</f>
        <v>https://techcombank.com/thong-tin/blog/nap-tien-vao-tai-khoan-ngan-hang</v>
      </c>
      <c r="C413" s="5" t="str">
        <f t="array" ref="C413">INDEX('Báo cáo 75 trang đích'!$C$2:$C$76,$A413)</f>
        <v>CASA</v>
      </c>
      <c r="D413" s="20" t="s">
        <v>688</v>
      </c>
      <c r="E413" s="22" t="s">
        <v>159</v>
      </c>
      <c r="F413" s="22" t="s">
        <v>81</v>
      </c>
      <c r="G413" s="22" t="s">
        <v>1167</v>
      </c>
      <c r="H413" s="24" t="s">
        <v>59</v>
      </c>
      <c r="I413" s="24" t="s">
        <v>59</v>
      </c>
      <c r="J413" s="24" t="s">
        <v>60</v>
      </c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6">
        <v>19.0</v>
      </c>
      <c r="B414" s="35" t="str">
        <f t="array" ref="B414">INDEX('Báo cáo 75 trang đích'!$B$2:$B$76,$A414)</f>
        <v>https://techcombank.com/thong-tin/blog/nap-tien-vao-tai-khoan-ngan-hang</v>
      </c>
      <c r="C414" s="5" t="str">
        <f t="array" ref="C414">INDEX('Báo cáo 75 trang đích'!$C$2:$C$76,$A414)</f>
        <v>CASA</v>
      </c>
      <c r="D414" s="20" t="s">
        <v>637</v>
      </c>
      <c r="E414" s="22" t="s">
        <v>651</v>
      </c>
      <c r="F414" s="22" t="s">
        <v>81</v>
      </c>
      <c r="G414" s="22" t="s">
        <v>1167</v>
      </c>
      <c r="H414" s="24" t="s">
        <v>59</v>
      </c>
      <c r="I414" s="24" t="s">
        <v>59</v>
      </c>
      <c r="J414" s="24" t="s">
        <v>60</v>
      </c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6">
        <v>19.0</v>
      </c>
      <c r="B415" s="35" t="str">
        <f t="array" ref="B415">INDEX('Báo cáo 75 trang đích'!$B$2:$B$76,$A415)</f>
        <v>https://techcombank.com/thong-tin/blog/nap-tien-vao-tai-khoan-ngan-hang</v>
      </c>
      <c r="C415" s="5" t="str">
        <f t="array" ref="C415">INDEX('Báo cáo 75 trang đích'!$C$2:$C$76,$A415)</f>
        <v>CASA</v>
      </c>
      <c r="D415" s="20" t="s">
        <v>1184</v>
      </c>
      <c r="E415" s="22" t="s">
        <v>159</v>
      </c>
      <c r="F415" s="22" t="s">
        <v>81</v>
      </c>
      <c r="G415" s="22" t="s">
        <v>1167</v>
      </c>
      <c r="H415" s="24" t="s">
        <v>59</v>
      </c>
      <c r="I415" s="24" t="s">
        <v>59</v>
      </c>
      <c r="J415" s="24" t="s">
        <v>60</v>
      </c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6">
        <v>19.0</v>
      </c>
      <c r="B416" s="35" t="str">
        <f t="array" ref="B416">INDEX('Báo cáo 75 trang đích'!$B$2:$B$76,$A416)</f>
        <v>https://techcombank.com/thong-tin/blog/nap-tien-vao-tai-khoan-ngan-hang</v>
      </c>
      <c r="C416" s="5" t="str">
        <f t="array" ref="C416">INDEX('Báo cáo 75 trang đích'!$C$2:$C$76,$A416)</f>
        <v>CASA</v>
      </c>
      <c r="D416" s="20" t="s">
        <v>1016</v>
      </c>
      <c r="E416" s="22" t="s">
        <v>651</v>
      </c>
      <c r="F416" s="22" t="s">
        <v>81</v>
      </c>
      <c r="G416" s="22" t="s">
        <v>1188</v>
      </c>
      <c r="H416" s="24" t="s">
        <v>59</v>
      </c>
      <c r="I416" s="24" t="s">
        <v>59</v>
      </c>
      <c r="J416" s="24" t="s">
        <v>60</v>
      </c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6">
        <v>19.0</v>
      </c>
      <c r="B417" s="35" t="str">
        <f t="array" ref="B417">INDEX('Báo cáo 75 trang đích'!$B$2:$B$76,$A417)</f>
        <v>https://techcombank.com/thong-tin/blog/nap-tien-vao-tai-khoan-ngan-hang</v>
      </c>
      <c r="C417" s="5" t="str">
        <f t="array" ref="C417">INDEX('Báo cáo 75 trang đích'!$C$2:$C$76,$A417)</f>
        <v>CASA</v>
      </c>
      <c r="D417" s="20" t="s">
        <v>693</v>
      </c>
      <c r="E417" s="22" t="s">
        <v>159</v>
      </c>
      <c r="F417" s="22" t="s">
        <v>81</v>
      </c>
      <c r="G417" s="22" t="s">
        <v>1167</v>
      </c>
      <c r="H417" s="24" t="s">
        <v>59</v>
      </c>
      <c r="I417" s="24" t="s">
        <v>59</v>
      </c>
      <c r="J417" s="24" t="s">
        <v>60</v>
      </c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6">
        <v>19.0</v>
      </c>
      <c r="B418" s="35" t="str">
        <f t="array" ref="B418">INDEX('Báo cáo 75 trang đích'!$B$2:$B$76,$A418)</f>
        <v>https://techcombank.com/thong-tin/blog/nap-tien-vao-tai-khoan-ngan-hang</v>
      </c>
      <c r="C418" s="5" t="str">
        <f t="array" ref="C418">INDEX('Báo cáo 75 trang đích'!$C$2:$C$76,$A418)</f>
        <v>CASA</v>
      </c>
      <c r="D418" s="20" t="s">
        <v>987</v>
      </c>
      <c r="E418" s="22" t="s">
        <v>651</v>
      </c>
      <c r="F418" s="22" t="s">
        <v>81</v>
      </c>
      <c r="G418" s="22" t="s">
        <v>1167</v>
      </c>
      <c r="H418" s="24" t="s">
        <v>59</v>
      </c>
      <c r="I418" s="24" t="s">
        <v>59</v>
      </c>
      <c r="J418" s="24" t="s">
        <v>60</v>
      </c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6">
        <v>19.0</v>
      </c>
      <c r="B419" s="35" t="str">
        <f t="array" ref="B419">INDEX('Báo cáo 75 trang đích'!$B$2:$B$76,$A419)</f>
        <v>https://techcombank.com/thong-tin/blog/nap-tien-vao-tai-khoan-ngan-hang</v>
      </c>
      <c r="C419" s="5" t="str">
        <f t="array" ref="C419">INDEX('Báo cáo 75 trang đích'!$C$2:$C$76,$A419)</f>
        <v>CASA</v>
      </c>
      <c r="D419" s="20" t="s">
        <v>402</v>
      </c>
      <c r="E419" s="22" t="s">
        <v>159</v>
      </c>
      <c r="F419" s="22" t="s">
        <v>81</v>
      </c>
      <c r="G419" s="22" t="s">
        <v>1188</v>
      </c>
      <c r="H419" s="24" t="s">
        <v>59</v>
      </c>
      <c r="I419" s="24" t="s">
        <v>59</v>
      </c>
      <c r="J419" s="24" t="s">
        <v>60</v>
      </c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6">
        <v>19.0</v>
      </c>
      <c r="B420" s="35" t="str">
        <f t="array" ref="B420">INDEX('Báo cáo 75 trang đích'!$B$2:$B$76,$A420)</f>
        <v>https://techcombank.com/thong-tin/blog/nap-tien-vao-tai-khoan-ngan-hang</v>
      </c>
      <c r="C420" s="5" t="str">
        <f t="array" ref="C420">INDEX('Báo cáo 75 trang đích'!$C$2:$C$76,$A420)</f>
        <v>CASA</v>
      </c>
      <c r="D420" s="20" t="s">
        <v>215</v>
      </c>
      <c r="E420" s="22" t="s">
        <v>651</v>
      </c>
      <c r="F420" s="22" t="s">
        <v>81</v>
      </c>
      <c r="G420" s="22" t="s">
        <v>1167</v>
      </c>
      <c r="H420" s="24" t="s">
        <v>59</v>
      </c>
      <c r="I420" s="24" t="s">
        <v>59</v>
      </c>
      <c r="J420" s="24" t="s">
        <v>60</v>
      </c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6">
        <v>19.0</v>
      </c>
      <c r="B421" s="35" t="str">
        <f t="array" ref="B421">INDEX('Báo cáo 75 trang đích'!$B$2:$B$76,$A421)</f>
        <v>https://techcombank.com/thong-tin/blog/nap-tien-vao-tai-khoan-ngan-hang</v>
      </c>
      <c r="C421" s="5" t="str">
        <f t="array" ref="C421">INDEX('Báo cáo 75 trang đích'!$C$2:$C$76,$A421)</f>
        <v>CASA</v>
      </c>
      <c r="D421" s="20" t="s">
        <v>404</v>
      </c>
      <c r="E421" s="22" t="s">
        <v>159</v>
      </c>
      <c r="F421" s="22" t="s">
        <v>81</v>
      </c>
      <c r="G421" s="22" t="s">
        <v>1188</v>
      </c>
      <c r="H421" s="24" t="s">
        <v>59</v>
      </c>
      <c r="I421" s="24" t="s">
        <v>59</v>
      </c>
      <c r="J421" s="24" t="s">
        <v>60</v>
      </c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6">
        <v>19.0</v>
      </c>
      <c r="B422" s="35" t="str">
        <f t="array" ref="B422">INDEX('Báo cáo 75 trang đích'!$B$2:$B$76,$A422)</f>
        <v>https://techcombank.com/thong-tin/blog/nap-tien-vao-tai-khoan-ngan-hang</v>
      </c>
      <c r="C422" s="5" t="str">
        <f t="array" ref="C422">INDEX('Báo cáo 75 trang đích'!$C$2:$C$76,$A422)</f>
        <v>CASA</v>
      </c>
      <c r="D422" s="20" t="s">
        <v>1208</v>
      </c>
      <c r="E422" s="22" t="s">
        <v>651</v>
      </c>
      <c r="F422" s="22" t="s">
        <v>81</v>
      </c>
      <c r="G422" s="22" t="s">
        <v>1167</v>
      </c>
      <c r="H422" s="24" t="s">
        <v>59</v>
      </c>
      <c r="I422" s="24" t="s">
        <v>59</v>
      </c>
      <c r="J422" s="24" t="s">
        <v>60</v>
      </c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6">
        <v>19.0</v>
      </c>
      <c r="B423" s="35" t="str">
        <f t="array" ref="B423">INDEX('Báo cáo 75 trang đích'!$B$2:$B$76,$A423)</f>
        <v>https://techcombank.com/thong-tin/blog/nap-tien-vao-tai-khoan-ngan-hang</v>
      </c>
      <c r="C423" s="5" t="str">
        <f t="array" ref="C423">INDEX('Báo cáo 75 trang đích'!$C$2:$C$76,$A423)</f>
        <v>CASA</v>
      </c>
      <c r="D423" s="20" t="s">
        <v>166</v>
      </c>
      <c r="E423" s="22" t="s">
        <v>159</v>
      </c>
      <c r="F423" s="22" t="s">
        <v>81</v>
      </c>
      <c r="G423" s="22" t="s">
        <v>1167</v>
      </c>
      <c r="H423" s="24" t="s">
        <v>59</v>
      </c>
      <c r="I423" s="24" t="s">
        <v>59</v>
      </c>
      <c r="J423" s="24" t="s">
        <v>60</v>
      </c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6">
        <v>19.0</v>
      </c>
      <c r="B424" s="35" t="str">
        <f t="array" ref="B424">INDEX('Báo cáo 75 trang đích'!$B$2:$B$76,$A424)</f>
        <v>https://techcombank.com/thong-tin/blog/nap-tien-vao-tai-khoan-ngan-hang</v>
      </c>
      <c r="C424" s="5" t="str">
        <f t="array" ref="C424">INDEX('Báo cáo 75 trang đích'!$C$2:$C$76,$A424)</f>
        <v>CASA</v>
      </c>
      <c r="D424" s="20" t="s">
        <v>697</v>
      </c>
      <c r="E424" s="22" t="s">
        <v>651</v>
      </c>
      <c r="F424" s="22" t="s">
        <v>81</v>
      </c>
      <c r="G424" s="22" t="s">
        <v>1167</v>
      </c>
      <c r="H424" s="24" t="s">
        <v>59</v>
      </c>
      <c r="I424" s="24" t="s">
        <v>59</v>
      </c>
      <c r="J424" s="24" t="s">
        <v>60</v>
      </c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6">
        <v>19.0</v>
      </c>
      <c r="B425" s="35" t="str">
        <f t="array" ref="B425">INDEX('Báo cáo 75 trang đích'!$B$2:$B$76,$A425)</f>
        <v>https://techcombank.com/thong-tin/blog/nap-tien-vao-tai-khoan-ngan-hang</v>
      </c>
      <c r="C425" s="5" t="str">
        <f t="array" ref="C425">INDEX('Báo cáo 75 trang đích'!$C$2:$C$76,$A425)</f>
        <v>CASA</v>
      </c>
      <c r="D425" s="20" t="s">
        <v>1221</v>
      </c>
      <c r="E425" s="22" t="s">
        <v>159</v>
      </c>
      <c r="F425" s="22" t="s">
        <v>81</v>
      </c>
      <c r="G425" s="22" t="s">
        <v>1167</v>
      </c>
      <c r="H425" s="24" t="s">
        <v>59</v>
      </c>
      <c r="I425" s="24" t="s">
        <v>59</v>
      </c>
      <c r="J425" s="24" t="s">
        <v>60</v>
      </c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6">
        <v>19.0</v>
      </c>
      <c r="B426" s="35" t="str">
        <f t="array" ref="B426">INDEX('Báo cáo 75 trang đích'!$B$2:$B$76,$A426)</f>
        <v>https://techcombank.com/thong-tin/blog/nap-tien-vao-tai-khoan-ngan-hang</v>
      </c>
      <c r="C426" s="5" t="str">
        <f t="array" ref="C426">INDEX('Báo cáo 75 trang đích'!$C$2:$C$76,$A426)</f>
        <v>CASA</v>
      </c>
      <c r="D426" s="20" t="s">
        <v>982</v>
      </c>
      <c r="E426" s="22" t="s">
        <v>651</v>
      </c>
      <c r="F426" s="22" t="s">
        <v>81</v>
      </c>
      <c r="G426" s="22" t="s">
        <v>1167</v>
      </c>
      <c r="H426" s="24" t="s">
        <v>59</v>
      </c>
      <c r="I426" s="24" t="s">
        <v>59</v>
      </c>
      <c r="J426" s="24" t="s">
        <v>60</v>
      </c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6">
        <v>19.0</v>
      </c>
      <c r="B427" s="35" t="str">
        <f t="array" ref="B427">INDEX('Báo cáo 75 trang đích'!$B$2:$B$76,$A427)</f>
        <v>https://techcombank.com/thong-tin/blog/nap-tien-vao-tai-khoan-ngan-hang</v>
      </c>
      <c r="C427" s="5" t="str">
        <f t="array" ref="C427">INDEX('Báo cáo 75 trang đích'!$C$2:$C$76,$A427)</f>
        <v>CASA</v>
      </c>
      <c r="D427" s="20" t="s">
        <v>690</v>
      </c>
      <c r="E427" s="22" t="s">
        <v>159</v>
      </c>
      <c r="F427" s="22" t="s">
        <v>81</v>
      </c>
      <c r="G427" s="22" t="s">
        <v>1167</v>
      </c>
      <c r="H427" s="24" t="s">
        <v>59</v>
      </c>
      <c r="I427" s="24" t="s">
        <v>59</v>
      </c>
      <c r="J427" s="24" t="s">
        <v>60</v>
      </c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6">
        <v>19.0</v>
      </c>
      <c r="B428" s="35" t="str">
        <f t="array" ref="B428">INDEX('Báo cáo 75 trang đích'!$B$2:$B$76,$A428)</f>
        <v>https://techcombank.com/thong-tin/blog/nap-tien-vao-tai-khoan-ngan-hang</v>
      </c>
      <c r="C428" s="5" t="str">
        <f t="array" ref="C428">INDEX('Báo cáo 75 trang đích'!$C$2:$C$76,$A428)</f>
        <v>CASA</v>
      </c>
      <c r="D428" s="20" t="s">
        <v>1232</v>
      </c>
      <c r="E428" s="22" t="s">
        <v>651</v>
      </c>
      <c r="F428" s="22" t="s">
        <v>81</v>
      </c>
      <c r="G428" s="22" t="s">
        <v>1167</v>
      </c>
      <c r="H428" s="24" t="s">
        <v>59</v>
      </c>
      <c r="I428" s="24" t="s">
        <v>59</v>
      </c>
      <c r="J428" s="24" t="s">
        <v>60</v>
      </c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6">
        <v>19.0</v>
      </c>
      <c r="B429" s="35" t="str">
        <f t="array" ref="B429">INDEX('Báo cáo 75 trang đích'!$B$2:$B$76,$A429)</f>
        <v>https://techcombank.com/thong-tin/blog/nap-tien-vao-tai-khoan-ngan-hang</v>
      </c>
      <c r="C429" s="5" t="str">
        <f t="array" ref="C429">INDEX('Báo cáo 75 trang đích'!$C$2:$C$76,$A429)</f>
        <v>CASA</v>
      </c>
      <c r="D429" s="20" t="s">
        <v>1236</v>
      </c>
      <c r="E429" s="22" t="s">
        <v>159</v>
      </c>
      <c r="F429" s="22" t="s">
        <v>81</v>
      </c>
      <c r="G429" s="22" t="s">
        <v>1167</v>
      </c>
      <c r="H429" s="24" t="s">
        <v>59</v>
      </c>
      <c r="I429" s="24" t="s">
        <v>59</v>
      </c>
      <c r="J429" s="24" t="s">
        <v>60</v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6">
        <v>19.0</v>
      </c>
      <c r="B430" s="35" t="str">
        <f t="array" ref="B430">INDEX('Báo cáo 75 trang đích'!$B$2:$B$76,$A430)</f>
        <v>https://techcombank.com/thong-tin/blog/nap-tien-vao-tai-khoan-ngan-hang</v>
      </c>
      <c r="C430" s="5" t="str">
        <f t="array" ref="C430">INDEX('Báo cáo 75 trang đích'!$C$2:$C$76,$A430)</f>
        <v>CASA</v>
      </c>
      <c r="D430" s="20" t="s">
        <v>505</v>
      </c>
      <c r="E430" s="22" t="s">
        <v>651</v>
      </c>
      <c r="F430" s="22" t="s">
        <v>81</v>
      </c>
      <c r="G430" s="22" t="s">
        <v>1167</v>
      </c>
      <c r="H430" s="24" t="s">
        <v>59</v>
      </c>
      <c r="I430" s="24" t="s">
        <v>59</v>
      </c>
      <c r="J430" s="24" t="s">
        <v>60</v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6">
        <v>19.0</v>
      </c>
      <c r="B431" s="35" t="str">
        <f t="array" ref="B431">INDEX('Báo cáo 75 trang đích'!$B$2:$B$76,$A431)</f>
        <v>https://techcombank.com/thong-tin/blog/nap-tien-vao-tai-khoan-ngan-hang</v>
      </c>
      <c r="C431" s="5" t="str">
        <f t="array" ref="C431">INDEX('Báo cáo 75 trang đích'!$C$2:$C$76,$A431)</f>
        <v>CASA</v>
      </c>
      <c r="D431" s="20" t="s">
        <v>1245</v>
      </c>
      <c r="E431" s="22" t="s">
        <v>159</v>
      </c>
      <c r="F431" s="22" t="s">
        <v>81</v>
      </c>
      <c r="G431" s="22" t="s">
        <v>1167</v>
      </c>
      <c r="H431" s="24" t="s">
        <v>59</v>
      </c>
      <c r="I431" s="24" t="s">
        <v>59</v>
      </c>
      <c r="J431" s="24" t="s">
        <v>60</v>
      </c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6">
        <v>19.0</v>
      </c>
      <c r="B432" s="35" t="str">
        <f t="array" ref="B432">INDEX('Báo cáo 75 trang đích'!$B$2:$B$76,$A432)</f>
        <v>https://techcombank.com/thong-tin/blog/nap-tien-vao-tai-khoan-ngan-hang</v>
      </c>
      <c r="C432" s="5" t="str">
        <f t="array" ref="C432">INDEX('Báo cáo 75 trang đích'!$C$2:$C$76,$A432)</f>
        <v>CASA</v>
      </c>
      <c r="D432" s="20" t="s">
        <v>487</v>
      </c>
      <c r="E432" s="22" t="s">
        <v>651</v>
      </c>
      <c r="F432" s="22" t="s">
        <v>81</v>
      </c>
      <c r="G432" s="22" t="s">
        <v>1167</v>
      </c>
      <c r="H432" s="24" t="s">
        <v>59</v>
      </c>
      <c r="I432" s="24" t="s">
        <v>59</v>
      </c>
      <c r="J432" s="24" t="s">
        <v>60</v>
      </c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6">
        <v>19.0</v>
      </c>
      <c r="B433" s="35" t="str">
        <f t="array" ref="B433">INDEX('Báo cáo 75 trang đích'!$B$2:$B$76,$A433)</f>
        <v>https://techcombank.com/thong-tin/blog/nap-tien-vao-tai-khoan-ngan-hang</v>
      </c>
      <c r="C433" s="5" t="str">
        <f t="array" ref="C433">INDEX('Báo cáo 75 trang đích'!$C$2:$C$76,$A433)</f>
        <v>CASA</v>
      </c>
      <c r="D433" s="20" t="s">
        <v>1252</v>
      </c>
      <c r="E433" s="22" t="s">
        <v>159</v>
      </c>
      <c r="F433" s="22" t="s">
        <v>81</v>
      </c>
      <c r="G433" s="22" t="s">
        <v>1188</v>
      </c>
      <c r="H433" s="24" t="s">
        <v>59</v>
      </c>
      <c r="I433" s="24" t="s">
        <v>59</v>
      </c>
      <c r="J433" s="24" t="s">
        <v>60</v>
      </c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6">
        <v>19.0</v>
      </c>
      <c r="B434" s="35" t="str">
        <f t="array" ref="B434">INDEX('Báo cáo 75 trang đích'!$B$2:$B$76,$A434)</f>
        <v>https://techcombank.com/thong-tin/blog/nap-tien-vao-tai-khoan-ngan-hang</v>
      </c>
      <c r="C434" s="5" t="str">
        <f t="array" ref="C434">INDEX('Báo cáo 75 trang đích'!$C$2:$C$76,$A434)</f>
        <v>CASA</v>
      </c>
      <c r="D434" s="20" t="s">
        <v>1255</v>
      </c>
      <c r="E434" s="22" t="s">
        <v>651</v>
      </c>
      <c r="F434" s="22" t="s">
        <v>81</v>
      </c>
      <c r="G434" s="22" t="s">
        <v>1167</v>
      </c>
      <c r="H434" s="24" t="s">
        <v>59</v>
      </c>
      <c r="I434" s="24" t="s">
        <v>59</v>
      </c>
      <c r="J434" s="24" t="s">
        <v>60</v>
      </c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6">
        <v>19.0</v>
      </c>
      <c r="B435" s="35" t="str">
        <f t="array" ref="B435">INDEX('Báo cáo 75 trang đích'!$B$2:$B$76,$A435)</f>
        <v>https://techcombank.com/thong-tin/blog/nap-tien-vao-tai-khoan-ngan-hang</v>
      </c>
      <c r="C435" s="5" t="str">
        <f t="array" ref="C435">INDEX('Báo cáo 75 trang đích'!$C$2:$C$76,$A435)</f>
        <v>CASA</v>
      </c>
      <c r="D435" s="20" t="s">
        <v>493</v>
      </c>
      <c r="E435" s="22" t="s">
        <v>159</v>
      </c>
      <c r="F435" s="22" t="s">
        <v>81</v>
      </c>
      <c r="G435" s="22" t="s">
        <v>1167</v>
      </c>
      <c r="H435" s="24" t="s">
        <v>59</v>
      </c>
      <c r="I435" s="24" t="s">
        <v>59</v>
      </c>
      <c r="J435" s="24" t="s">
        <v>60</v>
      </c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6">
        <v>19.0</v>
      </c>
      <c r="B436" s="35" t="str">
        <f t="array" ref="B436">INDEX('Báo cáo 75 trang đích'!$B$2:$B$76,$A436)</f>
        <v>https://techcombank.com/thong-tin/blog/nap-tien-vao-tai-khoan-ngan-hang</v>
      </c>
      <c r="C436" s="5" t="str">
        <f t="array" ref="C436">INDEX('Báo cáo 75 trang đích'!$C$2:$C$76,$A436)</f>
        <v>CASA</v>
      </c>
      <c r="D436" s="20" t="s">
        <v>740</v>
      </c>
      <c r="E436" s="22" t="s">
        <v>651</v>
      </c>
      <c r="F436" s="22" t="s">
        <v>81</v>
      </c>
      <c r="G436" s="22" t="s">
        <v>1167</v>
      </c>
      <c r="H436" s="24" t="s">
        <v>59</v>
      </c>
      <c r="I436" s="24" t="s">
        <v>59</v>
      </c>
      <c r="J436" s="24" t="s">
        <v>60</v>
      </c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6">
        <v>20.0</v>
      </c>
      <c r="B437" s="35" t="str">
        <f t="array" ref="B437">INDEX('Báo cáo 75 trang đích'!$B$2:$B$76,$A437)</f>
        <v>https://techcombank.com/thong-tin/blog/cach-sao-ke-tai-khoan-ngan-hang</v>
      </c>
      <c r="C437" s="5" t="str">
        <f t="array" ref="C437">INDEX('Báo cáo 75 trang đích'!$C$2:$C$76,$A437)</f>
        <v>CASA</v>
      </c>
      <c r="D437" s="20" t="s">
        <v>447</v>
      </c>
      <c r="E437" s="22" t="s">
        <v>163</v>
      </c>
      <c r="F437" s="22" t="s">
        <v>57</v>
      </c>
      <c r="G437" s="22" t="s">
        <v>1266</v>
      </c>
      <c r="H437" s="24" t="s">
        <v>59</v>
      </c>
      <c r="I437" s="24" t="s">
        <v>59</v>
      </c>
      <c r="J437" s="24" t="s">
        <v>60</v>
      </c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6">
        <v>20.0</v>
      </c>
      <c r="B438" s="35" t="str">
        <f t="array" ref="B438">INDEX('Báo cáo 75 trang đích'!$B$2:$B$76,$A438)</f>
        <v>https://techcombank.com/thong-tin/blog/cach-sao-ke-tai-khoan-ngan-hang</v>
      </c>
      <c r="C438" s="5" t="str">
        <f t="array" ref="C438">INDEX('Báo cáo 75 trang đích'!$C$2:$C$76,$A438)</f>
        <v>CASA</v>
      </c>
      <c r="D438" s="20" t="s">
        <v>365</v>
      </c>
      <c r="E438" s="22" t="s">
        <v>659</v>
      </c>
      <c r="F438" s="22" t="s">
        <v>76</v>
      </c>
      <c r="G438" s="22" t="s">
        <v>1267</v>
      </c>
      <c r="H438" s="24" t="s">
        <v>59</v>
      </c>
      <c r="I438" s="24" t="s">
        <v>59</v>
      </c>
      <c r="J438" s="24" t="s">
        <v>60</v>
      </c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6">
        <v>20.0</v>
      </c>
      <c r="B439" s="35" t="str">
        <f t="array" ref="B439">INDEX('Báo cáo 75 trang đích'!$B$2:$B$76,$A439)</f>
        <v>https://techcombank.com/thong-tin/blog/cach-sao-ke-tai-khoan-ngan-hang</v>
      </c>
      <c r="C439" s="5" t="str">
        <f t="array" ref="C439">INDEX('Báo cáo 75 trang đích'!$C$2:$C$76,$A439)</f>
        <v>CASA</v>
      </c>
      <c r="D439" s="20" t="s">
        <v>458</v>
      </c>
      <c r="E439" s="22" t="s">
        <v>163</v>
      </c>
      <c r="F439" s="22" t="s">
        <v>76</v>
      </c>
      <c r="G439" s="22" t="s">
        <v>1268</v>
      </c>
      <c r="H439" s="24" t="s">
        <v>59</v>
      </c>
      <c r="I439" s="24" t="s">
        <v>59</v>
      </c>
      <c r="J439" s="24" t="s">
        <v>60</v>
      </c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6">
        <v>20.0</v>
      </c>
      <c r="B440" s="35" t="str">
        <f t="array" ref="B440">INDEX('Báo cáo 75 trang đích'!$B$2:$B$76,$A440)</f>
        <v>https://techcombank.com/thong-tin/blog/cach-sao-ke-tai-khoan-ngan-hang</v>
      </c>
      <c r="C440" s="5" t="str">
        <f t="array" ref="C440">INDEX('Báo cáo 75 trang đích'!$C$2:$C$76,$A440)</f>
        <v>CASA</v>
      </c>
      <c r="D440" s="20" t="s">
        <v>123</v>
      </c>
      <c r="E440" s="22" t="s">
        <v>659</v>
      </c>
      <c r="F440" s="22" t="s">
        <v>76</v>
      </c>
      <c r="G440" s="22" t="s">
        <v>1269</v>
      </c>
      <c r="H440" s="24" t="s">
        <v>59</v>
      </c>
      <c r="I440" s="24" t="s">
        <v>59</v>
      </c>
      <c r="J440" s="24" t="s">
        <v>60</v>
      </c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6">
        <v>20.0</v>
      </c>
      <c r="B441" s="35" t="str">
        <f t="array" ref="B441">INDEX('Báo cáo 75 trang đích'!$B$2:$B$76,$A441)</f>
        <v>https://techcombank.com/thong-tin/blog/cach-sao-ke-tai-khoan-ngan-hang</v>
      </c>
      <c r="C441" s="5" t="str">
        <f t="array" ref="C441">INDEX('Báo cáo 75 trang đích'!$C$2:$C$76,$A441)</f>
        <v>CASA</v>
      </c>
      <c r="D441" s="20" t="s">
        <v>1270</v>
      </c>
      <c r="E441" s="22" t="s">
        <v>163</v>
      </c>
      <c r="F441" s="22" t="s">
        <v>76</v>
      </c>
      <c r="G441" s="22" t="s">
        <v>1271</v>
      </c>
      <c r="H441" s="24" t="s">
        <v>59</v>
      </c>
      <c r="I441" s="24" t="s">
        <v>59</v>
      </c>
      <c r="J441" s="24" t="s">
        <v>60</v>
      </c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6">
        <v>20.0</v>
      </c>
      <c r="B442" s="35" t="str">
        <f t="array" ref="B442">INDEX('Báo cáo 75 trang đích'!$B$2:$B$76,$A442)</f>
        <v>https://techcombank.com/thong-tin/blog/cach-sao-ke-tai-khoan-ngan-hang</v>
      </c>
      <c r="C442" s="5" t="str">
        <f t="array" ref="C442">INDEX('Báo cáo 75 trang đích'!$C$2:$C$76,$A442)</f>
        <v>CASA</v>
      </c>
      <c r="D442" s="20" t="s">
        <v>1272</v>
      </c>
      <c r="E442" s="22" t="s">
        <v>659</v>
      </c>
      <c r="F442" s="22" t="s">
        <v>81</v>
      </c>
      <c r="G442" s="22" t="s">
        <v>1273</v>
      </c>
      <c r="H442" s="24" t="s">
        <v>59</v>
      </c>
      <c r="I442" s="24" t="s">
        <v>59</v>
      </c>
      <c r="J442" s="24" t="s">
        <v>60</v>
      </c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6">
        <v>20.0</v>
      </c>
      <c r="B443" s="35" t="str">
        <f t="array" ref="B443">INDEX('Báo cáo 75 trang đích'!$B$2:$B$76,$A443)</f>
        <v>https://techcombank.com/thong-tin/blog/cach-sao-ke-tai-khoan-ngan-hang</v>
      </c>
      <c r="C443" s="5" t="str">
        <f t="array" ref="C443">INDEX('Báo cáo 75 trang đích'!$C$2:$C$76,$A443)</f>
        <v>CASA</v>
      </c>
      <c r="D443" s="20" t="s">
        <v>1274</v>
      </c>
      <c r="E443" s="22" t="s">
        <v>163</v>
      </c>
      <c r="F443" s="22" t="s">
        <v>81</v>
      </c>
      <c r="G443" s="22" t="s">
        <v>1273</v>
      </c>
      <c r="H443" s="24" t="s">
        <v>59</v>
      </c>
      <c r="I443" s="24" t="s">
        <v>59</v>
      </c>
      <c r="J443" s="24" t="s">
        <v>60</v>
      </c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6">
        <v>20.0</v>
      </c>
      <c r="B444" s="35" t="str">
        <f t="array" ref="B444">INDEX('Báo cáo 75 trang đích'!$B$2:$B$76,$A444)</f>
        <v>https://techcombank.com/thong-tin/blog/cach-sao-ke-tai-khoan-ngan-hang</v>
      </c>
      <c r="C444" s="5" t="str">
        <f t="array" ref="C444">INDEX('Báo cáo 75 trang đích'!$C$2:$C$76,$A444)</f>
        <v>CASA</v>
      </c>
      <c r="D444" s="20" t="s">
        <v>1275</v>
      </c>
      <c r="E444" s="22" t="s">
        <v>659</v>
      </c>
      <c r="F444" s="22" t="s">
        <v>81</v>
      </c>
      <c r="G444" s="22" t="s">
        <v>1273</v>
      </c>
      <c r="H444" s="24" t="s">
        <v>59</v>
      </c>
      <c r="I444" s="24" t="s">
        <v>59</v>
      </c>
      <c r="J444" s="24" t="s">
        <v>60</v>
      </c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6">
        <v>20.0</v>
      </c>
      <c r="B445" s="35" t="str">
        <f t="array" ref="B445">INDEX('Báo cáo 75 trang đích'!$B$2:$B$76,$A445)</f>
        <v>https://techcombank.com/thong-tin/blog/cach-sao-ke-tai-khoan-ngan-hang</v>
      </c>
      <c r="C445" s="5" t="str">
        <f t="array" ref="C445">INDEX('Báo cáo 75 trang đích'!$C$2:$C$76,$A445)</f>
        <v>CASA</v>
      </c>
      <c r="D445" s="20" t="s">
        <v>1144</v>
      </c>
      <c r="E445" s="22" t="s">
        <v>163</v>
      </c>
      <c r="F445" s="22" t="s">
        <v>81</v>
      </c>
      <c r="G445" s="22" t="s">
        <v>1273</v>
      </c>
      <c r="H445" s="24" t="s">
        <v>59</v>
      </c>
      <c r="I445" s="24" t="s">
        <v>59</v>
      </c>
      <c r="J445" s="24" t="s">
        <v>60</v>
      </c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6">
        <v>20.0</v>
      </c>
      <c r="B446" s="35" t="str">
        <f t="array" ref="B446">INDEX('Báo cáo 75 trang đích'!$B$2:$B$76,$A446)</f>
        <v>https://techcombank.com/thong-tin/blog/cach-sao-ke-tai-khoan-ngan-hang</v>
      </c>
      <c r="C446" s="5" t="str">
        <f t="array" ref="C446">INDEX('Báo cáo 75 trang đích'!$C$2:$C$76,$A446)</f>
        <v>CASA</v>
      </c>
      <c r="D446" s="20" t="s">
        <v>1121</v>
      </c>
      <c r="E446" s="22" t="s">
        <v>659</v>
      </c>
      <c r="F446" s="22" t="s">
        <v>81</v>
      </c>
      <c r="G446" s="22" t="s">
        <v>1273</v>
      </c>
      <c r="H446" s="24" t="s">
        <v>59</v>
      </c>
      <c r="I446" s="24" t="s">
        <v>59</v>
      </c>
      <c r="J446" s="24" t="s">
        <v>60</v>
      </c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6">
        <v>20.0</v>
      </c>
      <c r="B447" s="35" t="str">
        <f t="array" ref="B447">INDEX('Báo cáo 75 trang đích'!$B$2:$B$76,$A447)</f>
        <v>https://techcombank.com/thong-tin/blog/cach-sao-ke-tai-khoan-ngan-hang</v>
      </c>
      <c r="C447" s="5" t="str">
        <f t="array" ref="C447">INDEX('Báo cáo 75 trang đích'!$C$2:$C$76,$A447)</f>
        <v>CASA</v>
      </c>
      <c r="D447" s="20" t="s">
        <v>712</v>
      </c>
      <c r="E447" s="22" t="s">
        <v>163</v>
      </c>
      <c r="F447" s="22" t="s">
        <v>81</v>
      </c>
      <c r="G447" s="22" t="s">
        <v>1273</v>
      </c>
      <c r="H447" s="24" t="s">
        <v>59</v>
      </c>
      <c r="I447" s="24" t="s">
        <v>59</v>
      </c>
      <c r="J447" s="24" t="s">
        <v>60</v>
      </c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6">
        <v>20.0</v>
      </c>
      <c r="B448" s="35" t="str">
        <f t="array" ref="B448">INDEX('Báo cáo 75 trang đích'!$B$2:$B$76,$A448)</f>
        <v>https://techcombank.com/thong-tin/blog/cach-sao-ke-tai-khoan-ngan-hang</v>
      </c>
      <c r="C448" s="5" t="str">
        <f t="array" ref="C448">INDEX('Báo cáo 75 trang đích'!$C$2:$C$76,$A448)</f>
        <v>CASA</v>
      </c>
      <c r="D448" s="20" t="s">
        <v>1276</v>
      </c>
      <c r="E448" s="22" t="s">
        <v>659</v>
      </c>
      <c r="F448" s="22" t="s">
        <v>81</v>
      </c>
      <c r="G448" s="22" t="s">
        <v>1273</v>
      </c>
      <c r="H448" s="24" t="s">
        <v>59</v>
      </c>
      <c r="I448" s="24" t="s">
        <v>59</v>
      </c>
      <c r="J448" s="24" t="s">
        <v>60</v>
      </c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6">
        <v>20.0</v>
      </c>
      <c r="B449" s="35" t="str">
        <f t="array" ref="B449">INDEX('Báo cáo 75 trang đích'!$B$2:$B$76,$A449)</f>
        <v>https://techcombank.com/thong-tin/blog/cach-sao-ke-tai-khoan-ngan-hang</v>
      </c>
      <c r="C449" s="5" t="str">
        <f t="array" ref="C449">INDEX('Báo cáo 75 trang đích'!$C$2:$C$76,$A449)</f>
        <v>CASA</v>
      </c>
      <c r="D449" s="20" t="s">
        <v>1277</v>
      </c>
      <c r="E449" s="22" t="s">
        <v>163</v>
      </c>
      <c r="F449" s="22" t="s">
        <v>81</v>
      </c>
      <c r="G449" s="22" t="s">
        <v>1273</v>
      </c>
      <c r="H449" s="24" t="s">
        <v>59</v>
      </c>
      <c r="I449" s="24" t="s">
        <v>59</v>
      </c>
      <c r="J449" s="24" t="s">
        <v>60</v>
      </c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6">
        <v>20.0</v>
      </c>
      <c r="B450" s="35" t="str">
        <f t="array" ref="B450">INDEX('Báo cáo 75 trang đích'!$B$2:$B$76,$A450)</f>
        <v>https://techcombank.com/thong-tin/blog/cach-sao-ke-tai-khoan-ngan-hang</v>
      </c>
      <c r="C450" s="5" t="str">
        <f t="array" ref="C450">INDEX('Báo cáo 75 trang đích'!$C$2:$C$76,$A450)</f>
        <v>CASA</v>
      </c>
      <c r="D450" s="20" t="s">
        <v>1278</v>
      </c>
      <c r="E450" s="22" t="s">
        <v>659</v>
      </c>
      <c r="F450" s="22" t="s">
        <v>81</v>
      </c>
      <c r="G450" s="22" t="s">
        <v>1273</v>
      </c>
      <c r="H450" s="24" t="s">
        <v>59</v>
      </c>
      <c r="I450" s="24" t="s">
        <v>59</v>
      </c>
      <c r="J450" s="24" t="s">
        <v>60</v>
      </c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6">
        <v>20.0</v>
      </c>
      <c r="B451" s="35" t="str">
        <f t="array" ref="B451">INDEX('Báo cáo 75 trang đích'!$B$2:$B$76,$A451)</f>
        <v>https://techcombank.com/thong-tin/blog/cach-sao-ke-tai-khoan-ngan-hang</v>
      </c>
      <c r="C451" s="5" t="str">
        <f t="array" ref="C451">INDEX('Báo cáo 75 trang đích'!$C$2:$C$76,$A451)</f>
        <v>CASA</v>
      </c>
      <c r="D451" s="20" t="s">
        <v>1279</v>
      </c>
      <c r="E451" s="22" t="s">
        <v>163</v>
      </c>
      <c r="F451" s="22" t="s">
        <v>81</v>
      </c>
      <c r="G451" s="22" t="s">
        <v>1273</v>
      </c>
      <c r="H451" s="24" t="s">
        <v>59</v>
      </c>
      <c r="I451" s="24" t="s">
        <v>59</v>
      </c>
      <c r="J451" s="24" t="s">
        <v>60</v>
      </c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6">
        <v>20.0</v>
      </c>
      <c r="B452" s="35" t="str">
        <f t="array" ref="B452">INDEX('Báo cáo 75 trang đích'!$B$2:$B$76,$A452)</f>
        <v>https://techcombank.com/thong-tin/blog/cach-sao-ke-tai-khoan-ngan-hang</v>
      </c>
      <c r="C452" s="5" t="str">
        <f t="array" ref="C452">INDEX('Báo cáo 75 trang đích'!$C$2:$C$76,$A452)</f>
        <v>CASA</v>
      </c>
      <c r="D452" s="20" t="s">
        <v>1280</v>
      </c>
      <c r="E452" s="22" t="s">
        <v>659</v>
      </c>
      <c r="F452" s="22" t="s">
        <v>81</v>
      </c>
      <c r="G452" s="22" t="s">
        <v>1273</v>
      </c>
      <c r="H452" s="24" t="s">
        <v>59</v>
      </c>
      <c r="I452" s="24" t="s">
        <v>59</v>
      </c>
      <c r="J452" s="24" t="s">
        <v>60</v>
      </c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6">
        <v>20.0</v>
      </c>
      <c r="B453" s="35" t="str">
        <f t="array" ref="B453">INDEX('Báo cáo 75 trang đích'!$B$2:$B$76,$A453)</f>
        <v>https://techcombank.com/thong-tin/blog/cach-sao-ke-tai-khoan-ngan-hang</v>
      </c>
      <c r="C453" s="5" t="str">
        <f t="array" ref="C453">INDEX('Báo cáo 75 trang đích'!$C$2:$C$76,$A453)</f>
        <v>CASA</v>
      </c>
      <c r="D453" s="20" t="s">
        <v>771</v>
      </c>
      <c r="E453" s="22" t="s">
        <v>163</v>
      </c>
      <c r="F453" s="22" t="s">
        <v>81</v>
      </c>
      <c r="G453" s="22" t="s">
        <v>1273</v>
      </c>
      <c r="H453" s="24" t="s">
        <v>59</v>
      </c>
      <c r="I453" s="24" t="s">
        <v>59</v>
      </c>
      <c r="J453" s="24" t="s">
        <v>60</v>
      </c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6">
        <v>20.0</v>
      </c>
      <c r="B454" s="35" t="str">
        <f t="array" ref="B454">INDEX('Báo cáo 75 trang đích'!$B$2:$B$76,$A454)</f>
        <v>https://techcombank.com/thong-tin/blog/cach-sao-ke-tai-khoan-ngan-hang</v>
      </c>
      <c r="C454" s="5" t="str">
        <f t="array" ref="C454">INDEX('Báo cáo 75 trang đích'!$C$2:$C$76,$A454)</f>
        <v>CASA</v>
      </c>
      <c r="D454" s="20" t="s">
        <v>1281</v>
      </c>
      <c r="E454" s="22" t="s">
        <v>659</v>
      </c>
      <c r="F454" s="22" t="s">
        <v>81</v>
      </c>
      <c r="G454" s="22" t="s">
        <v>1273</v>
      </c>
      <c r="H454" s="24" t="s">
        <v>59</v>
      </c>
      <c r="I454" s="24" t="s">
        <v>59</v>
      </c>
      <c r="J454" s="24" t="s">
        <v>60</v>
      </c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6">
        <v>20.0</v>
      </c>
      <c r="B455" s="35" t="str">
        <f t="array" ref="B455">INDEX('Báo cáo 75 trang đích'!$B$2:$B$76,$A455)</f>
        <v>https://techcombank.com/thong-tin/blog/cach-sao-ke-tai-khoan-ngan-hang</v>
      </c>
      <c r="C455" s="5" t="str">
        <f t="array" ref="C455">INDEX('Báo cáo 75 trang đích'!$C$2:$C$76,$A455)</f>
        <v>CASA</v>
      </c>
      <c r="D455" s="20" t="s">
        <v>817</v>
      </c>
      <c r="E455" s="22" t="s">
        <v>163</v>
      </c>
      <c r="F455" s="22" t="s">
        <v>81</v>
      </c>
      <c r="G455" s="22" t="s">
        <v>1282</v>
      </c>
      <c r="H455" s="24" t="s">
        <v>59</v>
      </c>
      <c r="I455" s="24" t="s">
        <v>59</v>
      </c>
      <c r="J455" s="24" t="s">
        <v>60</v>
      </c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6">
        <v>20.0</v>
      </c>
      <c r="B456" s="35" t="str">
        <f t="array" ref="B456">INDEX('Báo cáo 75 trang đích'!$B$2:$B$76,$A456)</f>
        <v>https://techcombank.com/thong-tin/blog/cach-sao-ke-tai-khoan-ngan-hang</v>
      </c>
      <c r="C456" s="5" t="str">
        <f t="array" ref="C456">INDEX('Báo cáo 75 trang đích'!$C$2:$C$76,$A456)</f>
        <v>CASA</v>
      </c>
      <c r="D456" s="20" t="s">
        <v>779</v>
      </c>
      <c r="E456" s="22" t="s">
        <v>659</v>
      </c>
      <c r="F456" s="22" t="s">
        <v>81</v>
      </c>
      <c r="G456" s="22" t="s">
        <v>1273</v>
      </c>
      <c r="H456" s="24" t="s">
        <v>59</v>
      </c>
      <c r="I456" s="24" t="s">
        <v>59</v>
      </c>
      <c r="J456" s="24" t="s">
        <v>60</v>
      </c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6">
        <v>20.0</v>
      </c>
      <c r="B457" s="35" t="str">
        <f t="array" ref="B457">INDEX('Báo cáo 75 trang đích'!$B$2:$B$76,$A457)</f>
        <v>https://techcombank.com/thong-tin/blog/cach-sao-ke-tai-khoan-ngan-hang</v>
      </c>
      <c r="C457" s="5" t="str">
        <f t="array" ref="C457">INDEX('Báo cáo 75 trang đích'!$C$2:$C$76,$A457)</f>
        <v>CASA</v>
      </c>
      <c r="D457" s="20" t="s">
        <v>1283</v>
      </c>
      <c r="E457" s="22" t="s">
        <v>163</v>
      </c>
      <c r="F457" s="22" t="s">
        <v>81</v>
      </c>
      <c r="G457" s="22" t="s">
        <v>1273</v>
      </c>
      <c r="H457" s="24" t="s">
        <v>59</v>
      </c>
      <c r="I457" s="24" t="s">
        <v>59</v>
      </c>
      <c r="J457" s="24" t="s">
        <v>60</v>
      </c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6">
        <v>20.0</v>
      </c>
      <c r="B458" s="35" t="str">
        <f t="array" ref="B458">INDEX('Báo cáo 75 trang đích'!$B$2:$B$76,$A458)</f>
        <v>https://techcombank.com/thong-tin/blog/cach-sao-ke-tai-khoan-ngan-hang</v>
      </c>
      <c r="C458" s="5" t="str">
        <f t="array" ref="C458">INDEX('Báo cáo 75 trang đích'!$C$2:$C$76,$A458)</f>
        <v>CASA</v>
      </c>
      <c r="D458" s="20" t="s">
        <v>344</v>
      </c>
      <c r="E458" s="22" t="s">
        <v>659</v>
      </c>
      <c r="F458" s="22" t="s">
        <v>81</v>
      </c>
      <c r="G458" s="22" t="s">
        <v>1273</v>
      </c>
      <c r="H458" s="24" t="s">
        <v>59</v>
      </c>
      <c r="I458" s="24" t="s">
        <v>59</v>
      </c>
      <c r="J458" s="24" t="s">
        <v>60</v>
      </c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6">
        <v>20.0</v>
      </c>
      <c r="B459" s="35" t="str">
        <f t="array" ref="B459">INDEX('Báo cáo 75 trang đích'!$B$2:$B$76,$A459)</f>
        <v>https://techcombank.com/thong-tin/blog/cach-sao-ke-tai-khoan-ngan-hang</v>
      </c>
      <c r="C459" s="5" t="str">
        <f t="array" ref="C459">INDEX('Báo cáo 75 trang đích'!$C$2:$C$76,$A459)</f>
        <v>CASA</v>
      </c>
      <c r="D459" s="20" t="s">
        <v>755</v>
      </c>
      <c r="E459" s="22" t="s">
        <v>163</v>
      </c>
      <c r="F459" s="22" t="s">
        <v>81</v>
      </c>
      <c r="G459" s="22" t="s">
        <v>1284</v>
      </c>
      <c r="H459" s="24" t="s">
        <v>59</v>
      </c>
      <c r="I459" s="24" t="s">
        <v>59</v>
      </c>
      <c r="J459" s="24" t="s">
        <v>60</v>
      </c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6">
        <v>20.0</v>
      </c>
      <c r="B460" s="35" t="str">
        <f t="array" ref="B460">INDEX('Báo cáo 75 trang đích'!$B$2:$B$76,$A460)</f>
        <v>https://techcombank.com/thong-tin/blog/cach-sao-ke-tai-khoan-ngan-hang</v>
      </c>
      <c r="C460" s="5" t="str">
        <f t="array" ref="C460">INDEX('Báo cáo 75 trang đích'!$C$2:$C$76,$A460)</f>
        <v>CASA</v>
      </c>
      <c r="D460" s="20" t="s">
        <v>640</v>
      </c>
      <c r="E460" s="22" t="s">
        <v>659</v>
      </c>
      <c r="F460" s="22" t="s">
        <v>81</v>
      </c>
      <c r="G460" s="22" t="s">
        <v>1273</v>
      </c>
      <c r="H460" s="24" t="s">
        <v>59</v>
      </c>
      <c r="I460" s="24" t="s">
        <v>59</v>
      </c>
      <c r="J460" s="24" t="s">
        <v>60</v>
      </c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6">
        <v>20.0</v>
      </c>
      <c r="B461" s="35" t="str">
        <f t="array" ref="B461">INDEX('Báo cáo 75 trang đích'!$B$2:$B$76,$A461)</f>
        <v>https://techcombank.com/thong-tin/blog/cach-sao-ke-tai-khoan-ngan-hang</v>
      </c>
      <c r="C461" s="5" t="str">
        <f t="array" ref="C461">INDEX('Báo cáo 75 trang đích'!$C$2:$C$76,$A461)</f>
        <v>CASA</v>
      </c>
      <c r="D461" s="20" t="s">
        <v>768</v>
      </c>
      <c r="E461" s="22" t="s">
        <v>163</v>
      </c>
      <c r="F461" s="22" t="s">
        <v>81</v>
      </c>
      <c r="G461" s="22" t="s">
        <v>1273</v>
      </c>
      <c r="H461" s="24" t="s">
        <v>59</v>
      </c>
      <c r="I461" s="24" t="s">
        <v>59</v>
      </c>
      <c r="J461" s="24" t="s">
        <v>60</v>
      </c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6">
        <v>20.0</v>
      </c>
      <c r="B462" s="35" t="str">
        <f t="array" ref="B462">INDEX('Báo cáo 75 trang đích'!$B$2:$B$76,$A462)</f>
        <v>https://techcombank.com/thong-tin/blog/cach-sao-ke-tai-khoan-ngan-hang</v>
      </c>
      <c r="C462" s="5" t="str">
        <f t="array" ref="C462">INDEX('Báo cáo 75 trang đích'!$C$2:$C$76,$A462)</f>
        <v>CASA</v>
      </c>
      <c r="D462" s="20" t="s">
        <v>1285</v>
      </c>
      <c r="E462" s="22" t="s">
        <v>659</v>
      </c>
      <c r="F462" s="22" t="s">
        <v>81</v>
      </c>
      <c r="G462" s="22" t="s">
        <v>1273</v>
      </c>
      <c r="H462" s="24" t="s">
        <v>59</v>
      </c>
      <c r="I462" s="24" t="s">
        <v>59</v>
      </c>
      <c r="J462" s="24" t="s">
        <v>60</v>
      </c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6">
        <v>20.0</v>
      </c>
      <c r="B463" s="35" t="str">
        <f t="array" ref="B463">INDEX('Báo cáo 75 trang đích'!$B$2:$B$76,$A463)</f>
        <v>https://techcombank.com/thong-tin/blog/cach-sao-ke-tai-khoan-ngan-hang</v>
      </c>
      <c r="C463" s="5" t="str">
        <f t="array" ref="C463">INDEX('Báo cáo 75 trang đích'!$C$2:$C$76,$A463)</f>
        <v>CASA</v>
      </c>
      <c r="D463" s="20" t="s">
        <v>1187</v>
      </c>
      <c r="E463" s="22" t="s">
        <v>163</v>
      </c>
      <c r="F463" s="22" t="s">
        <v>81</v>
      </c>
      <c r="G463" s="22" t="s">
        <v>1284</v>
      </c>
      <c r="H463" s="24" t="s">
        <v>59</v>
      </c>
      <c r="I463" s="24" t="s">
        <v>59</v>
      </c>
      <c r="J463" s="24" t="s">
        <v>60</v>
      </c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6">
        <v>20.0</v>
      </c>
      <c r="B464" s="35" t="str">
        <f t="array" ref="B464">INDEX('Báo cáo 75 trang đích'!$B$2:$B$76,$A464)</f>
        <v>https://techcombank.com/thong-tin/blog/cach-sao-ke-tai-khoan-ngan-hang</v>
      </c>
      <c r="C464" s="5" t="str">
        <f t="array" ref="C464">INDEX('Báo cáo 75 trang đích'!$C$2:$C$76,$A464)</f>
        <v>CASA</v>
      </c>
      <c r="D464" s="20" t="s">
        <v>1286</v>
      </c>
      <c r="E464" s="22" t="s">
        <v>659</v>
      </c>
      <c r="F464" s="22" t="s">
        <v>81</v>
      </c>
      <c r="G464" s="22" t="s">
        <v>1273</v>
      </c>
      <c r="H464" s="24" t="s">
        <v>59</v>
      </c>
      <c r="I464" s="24" t="s">
        <v>59</v>
      </c>
      <c r="J464" s="24" t="s">
        <v>60</v>
      </c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6">
        <v>20.0</v>
      </c>
      <c r="B465" s="35" t="str">
        <f t="array" ref="B465">INDEX('Báo cáo 75 trang đích'!$B$2:$B$76,$A465)</f>
        <v>https://techcombank.com/thong-tin/blog/cach-sao-ke-tai-khoan-ngan-hang</v>
      </c>
      <c r="C465" s="5" t="str">
        <f t="array" ref="C465">INDEX('Báo cáo 75 trang đích'!$C$2:$C$76,$A465)</f>
        <v>CASA</v>
      </c>
      <c r="D465" s="20" t="s">
        <v>760</v>
      </c>
      <c r="E465" s="22" t="s">
        <v>163</v>
      </c>
      <c r="F465" s="22" t="s">
        <v>81</v>
      </c>
      <c r="G465" s="22" t="s">
        <v>1284</v>
      </c>
      <c r="H465" s="24" t="s">
        <v>59</v>
      </c>
      <c r="I465" s="24" t="s">
        <v>59</v>
      </c>
      <c r="J465" s="24" t="s">
        <v>60</v>
      </c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6">
        <v>20.0</v>
      </c>
      <c r="B466" s="35" t="str">
        <f t="array" ref="B466">INDEX('Báo cáo 75 trang đích'!$B$2:$B$76,$A466)</f>
        <v>https://techcombank.com/thong-tin/blog/cach-sao-ke-tai-khoan-ngan-hang</v>
      </c>
      <c r="C466" s="5" t="str">
        <f t="array" ref="C466">INDEX('Báo cáo 75 trang đích'!$C$2:$C$76,$A466)</f>
        <v>CASA</v>
      </c>
      <c r="D466" s="20" t="s">
        <v>1287</v>
      </c>
      <c r="E466" s="22" t="s">
        <v>659</v>
      </c>
      <c r="F466" s="22" t="s">
        <v>81</v>
      </c>
      <c r="G466" s="22" t="s">
        <v>1273</v>
      </c>
      <c r="H466" s="24" t="s">
        <v>59</v>
      </c>
      <c r="I466" s="24" t="s">
        <v>59</v>
      </c>
      <c r="J466" s="24" t="s">
        <v>60</v>
      </c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6">
        <v>20.0</v>
      </c>
      <c r="B467" s="35" t="str">
        <f t="array" ref="B467">INDEX('Báo cáo 75 trang đích'!$B$2:$B$76,$A467)</f>
        <v>https://techcombank.com/thong-tin/blog/cach-sao-ke-tai-khoan-ngan-hang</v>
      </c>
      <c r="C467" s="5" t="str">
        <f t="array" ref="C467">INDEX('Báo cáo 75 trang đích'!$C$2:$C$76,$A467)</f>
        <v>CASA</v>
      </c>
      <c r="D467" s="20" t="s">
        <v>1288</v>
      </c>
      <c r="E467" s="22" t="s">
        <v>163</v>
      </c>
      <c r="F467" s="22" t="s">
        <v>81</v>
      </c>
      <c r="G467" s="22" t="s">
        <v>1273</v>
      </c>
      <c r="H467" s="24" t="s">
        <v>59</v>
      </c>
      <c r="I467" s="24" t="s">
        <v>59</v>
      </c>
      <c r="J467" s="24" t="s">
        <v>60</v>
      </c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6">
        <v>20.0</v>
      </c>
      <c r="B468" s="35" t="str">
        <f t="array" ref="B468">INDEX('Báo cáo 75 trang đích'!$B$2:$B$76,$A468)</f>
        <v>https://techcombank.com/thong-tin/blog/cach-sao-ke-tai-khoan-ngan-hang</v>
      </c>
      <c r="C468" s="5" t="str">
        <f t="array" ref="C468">INDEX('Báo cáo 75 trang đích'!$C$2:$C$76,$A468)</f>
        <v>CASA</v>
      </c>
      <c r="D468" s="20" t="s">
        <v>1289</v>
      </c>
      <c r="E468" s="22" t="s">
        <v>659</v>
      </c>
      <c r="F468" s="22" t="s">
        <v>81</v>
      </c>
      <c r="G468" s="22" t="s">
        <v>1273</v>
      </c>
      <c r="H468" s="24" t="s">
        <v>59</v>
      </c>
      <c r="I468" s="24" t="s">
        <v>59</v>
      </c>
      <c r="J468" s="24" t="s">
        <v>60</v>
      </c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6">
        <v>20.0</v>
      </c>
      <c r="B469" s="35" t="str">
        <f t="array" ref="B469">INDEX('Báo cáo 75 trang đích'!$B$2:$B$76,$A469)</f>
        <v>https://techcombank.com/thong-tin/blog/cach-sao-ke-tai-khoan-ngan-hang</v>
      </c>
      <c r="C469" s="5" t="str">
        <f t="array" ref="C469">INDEX('Báo cáo 75 trang đích'!$C$2:$C$76,$A469)</f>
        <v>CASA</v>
      </c>
      <c r="D469" s="20" t="s">
        <v>1290</v>
      </c>
      <c r="E469" s="22" t="s">
        <v>163</v>
      </c>
      <c r="F469" s="22" t="s">
        <v>81</v>
      </c>
      <c r="G469" s="22" t="s">
        <v>1273</v>
      </c>
      <c r="H469" s="24" t="s">
        <v>59</v>
      </c>
      <c r="I469" s="24" t="s">
        <v>59</v>
      </c>
      <c r="J469" s="24" t="s">
        <v>60</v>
      </c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6">
        <v>20.0</v>
      </c>
      <c r="B470" s="35" t="str">
        <f t="array" ref="B470">INDEX('Báo cáo 75 trang đích'!$B$2:$B$76,$A470)</f>
        <v>https://techcombank.com/thong-tin/blog/cach-sao-ke-tai-khoan-ngan-hang</v>
      </c>
      <c r="C470" s="5" t="str">
        <f t="array" ref="C470">INDEX('Báo cáo 75 trang đích'!$C$2:$C$76,$A470)</f>
        <v>CASA</v>
      </c>
      <c r="D470" s="20" t="s">
        <v>461</v>
      </c>
      <c r="E470" s="22" t="s">
        <v>659</v>
      </c>
      <c r="F470" s="22" t="s">
        <v>81</v>
      </c>
      <c r="G470" s="22" t="s">
        <v>1273</v>
      </c>
      <c r="H470" s="24" t="s">
        <v>59</v>
      </c>
      <c r="I470" s="24" t="s">
        <v>59</v>
      </c>
      <c r="J470" s="24" t="s">
        <v>60</v>
      </c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6">
        <v>20.0</v>
      </c>
      <c r="B471" s="35" t="str">
        <f t="array" ref="B471">INDEX('Báo cáo 75 trang đích'!$B$2:$B$76,$A471)</f>
        <v>https://techcombank.com/thong-tin/blog/cach-sao-ke-tai-khoan-ngan-hang</v>
      </c>
      <c r="C471" s="5" t="str">
        <f t="array" ref="C471">INDEX('Báo cáo 75 trang đích'!$C$2:$C$76,$A471)</f>
        <v>CASA</v>
      </c>
      <c r="D471" s="20" t="s">
        <v>119</v>
      </c>
      <c r="E471" s="22" t="s">
        <v>163</v>
      </c>
      <c r="F471" s="22" t="s">
        <v>81</v>
      </c>
      <c r="G471" s="22" t="s">
        <v>1291</v>
      </c>
      <c r="H471" s="24" t="s">
        <v>59</v>
      </c>
      <c r="I471" s="24" t="s">
        <v>59</v>
      </c>
      <c r="J471" s="24" t="s">
        <v>60</v>
      </c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6">
        <v>20.0</v>
      </c>
      <c r="B472" s="35" t="str">
        <f t="array" ref="B472">INDEX('Báo cáo 75 trang đích'!$B$2:$B$76,$A472)</f>
        <v>https://techcombank.com/thong-tin/blog/cach-sao-ke-tai-khoan-ngan-hang</v>
      </c>
      <c r="C472" s="5" t="str">
        <f t="array" ref="C472">INDEX('Báo cáo 75 trang đích'!$C$2:$C$76,$A472)</f>
        <v>CASA</v>
      </c>
      <c r="D472" s="20" t="s">
        <v>1292</v>
      </c>
      <c r="E472" s="22" t="s">
        <v>659</v>
      </c>
      <c r="F472" s="22" t="s">
        <v>81</v>
      </c>
      <c r="G472" s="22" t="s">
        <v>1284</v>
      </c>
      <c r="H472" s="24" t="s">
        <v>59</v>
      </c>
      <c r="I472" s="24" t="s">
        <v>59</v>
      </c>
      <c r="J472" s="24" t="s">
        <v>60</v>
      </c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6">
        <v>20.0</v>
      </c>
      <c r="B473" s="35" t="str">
        <f t="array" ref="B473">INDEX('Báo cáo 75 trang đích'!$B$2:$B$76,$A473)</f>
        <v>https://techcombank.com/thong-tin/blog/cach-sao-ke-tai-khoan-ngan-hang</v>
      </c>
      <c r="C473" s="5" t="str">
        <f t="array" ref="C473">INDEX('Báo cáo 75 trang đích'!$C$2:$C$76,$A473)</f>
        <v>CASA</v>
      </c>
      <c r="D473" s="20" t="s">
        <v>1293</v>
      </c>
      <c r="E473" s="22" t="s">
        <v>163</v>
      </c>
      <c r="F473" s="22" t="s">
        <v>81</v>
      </c>
      <c r="G473" s="22" t="s">
        <v>1273</v>
      </c>
      <c r="H473" s="24" t="s">
        <v>59</v>
      </c>
      <c r="I473" s="24" t="s">
        <v>59</v>
      </c>
      <c r="J473" s="24" t="s">
        <v>60</v>
      </c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6">
        <v>20.0</v>
      </c>
      <c r="B474" s="35" t="str">
        <f t="array" ref="B474">INDEX('Báo cáo 75 trang đích'!$B$2:$B$76,$A474)</f>
        <v>https://techcombank.com/thong-tin/blog/cach-sao-ke-tai-khoan-ngan-hang</v>
      </c>
      <c r="C474" s="5" t="str">
        <f t="array" ref="C474">INDEX('Báo cáo 75 trang đích'!$C$2:$C$76,$A474)</f>
        <v>CASA</v>
      </c>
      <c r="D474" s="20" t="s">
        <v>1294</v>
      </c>
      <c r="E474" s="22" t="s">
        <v>659</v>
      </c>
      <c r="F474" s="22" t="s">
        <v>81</v>
      </c>
      <c r="G474" s="22" t="s">
        <v>1273</v>
      </c>
      <c r="H474" s="24" t="s">
        <v>59</v>
      </c>
      <c r="I474" s="24" t="s">
        <v>59</v>
      </c>
      <c r="J474" s="24" t="s">
        <v>60</v>
      </c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6">
        <v>20.0</v>
      </c>
      <c r="B475" s="35" t="str">
        <f t="array" ref="B475">INDEX('Báo cáo 75 trang đích'!$B$2:$B$76,$A475)</f>
        <v>https://techcombank.com/thong-tin/blog/cach-sao-ke-tai-khoan-ngan-hang</v>
      </c>
      <c r="C475" s="5" t="str">
        <f t="array" ref="C475">INDEX('Báo cáo 75 trang đích'!$C$2:$C$76,$A475)</f>
        <v>CASA</v>
      </c>
      <c r="D475" s="20" t="s">
        <v>931</v>
      </c>
      <c r="E475" s="22" t="s">
        <v>163</v>
      </c>
      <c r="F475" s="22" t="s">
        <v>81</v>
      </c>
      <c r="G475" s="22" t="s">
        <v>1273</v>
      </c>
      <c r="H475" s="24" t="s">
        <v>59</v>
      </c>
      <c r="I475" s="24" t="s">
        <v>59</v>
      </c>
      <c r="J475" s="24" t="s">
        <v>60</v>
      </c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6">
        <v>20.0</v>
      </c>
      <c r="B476" s="35" t="str">
        <f t="array" ref="B476">INDEX('Báo cáo 75 trang đích'!$B$2:$B$76,$A476)</f>
        <v>https://techcombank.com/thong-tin/blog/cach-sao-ke-tai-khoan-ngan-hang</v>
      </c>
      <c r="C476" s="5" t="str">
        <f t="array" ref="C476">INDEX('Báo cáo 75 trang đích'!$C$2:$C$76,$A476)</f>
        <v>CASA</v>
      </c>
      <c r="D476" s="20" t="s">
        <v>898</v>
      </c>
      <c r="E476" s="22" t="s">
        <v>659</v>
      </c>
      <c r="F476" s="22" t="s">
        <v>81</v>
      </c>
      <c r="G476" s="22" t="s">
        <v>1273</v>
      </c>
      <c r="H476" s="24" t="s">
        <v>59</v>
      </c>
      <c r="I476" s="24" t="s">
        <v>59</v>
      </c>
      <c r="J476" s="24" t="s">
        <v>60</v>
      </c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6">
        <v>20.0</v>
      </c>
      <c r="B477" s="35" t="str">
        <f t="array" ref="B477">INDEX('Báo cáo 75 trang đích'!$B$2:$B$76,$A477)</f>
        <v>https://techcombank.com/thong-tin/blog/cach-sao-ke-tai-khoan-ngan-hang</v>
      </c>
      <c r="C477" s="5" t="str">
        <f t="array" ref="C477">INDEX('Báo cáo 75 trang đích'!$C$2:$C$76,$A477)</f>
        <v>CASA</v>
      </c>
      <c r="D477" s="20" t="s">
        <v>1295</v>
      </c>
      <c r="E477" s="22" t="s">
        <v>163</v>
      </c>
      <c r="F477" s="22" t="s">
        <v>81</v>
      </c>
      <c r="G477" s="22" t="s">
        <v>1273</v>
      </c>
      <c r="H477" s="24" t="s">
        <v>59</v>
      </c>
      <c r="I477" s="24" t="s">
        <v>59</v>
      </c>
      <c r="J477" s="24" t="s">
        <v>60</v>
      </c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6">
        <v>20.0</v>
      </c>
      <c r="B478" s="35" t="str">
        <f t="array" ref="B478">INDEX('Báo cáo 75 trang đích'!$B$2:$B$76,$A478)</f>
        <v>https://techcombank.com/thong-tin/blog/cach-sao-ke-tai-khoan-ngan-hang</v>
      </c>
      <c r="C478" s="5" t="str">
        <f t="array" ref="C478">INDEX('Báo cáo 75 trang đích'!$C$2:$C$76,$A478)</f>
        <v>CASA</v>
      </c>
      <c r="D478" s="20" t="s">
        <v>1296</v>
      </c>
      <c r="E478" s="22" t="s">
        <v>659</v>
      </c>
      <c r="F478" s="22" t="s">
        <v>81</v>
      </c>
      <c r="G478" s="22" t="s">
        <v>1273</v>
      </c>
      <c r="H478" s="24" t="s">
        <v>59</v>
      </c>
      <c r="I478" s="24" t="s">
        <v>59</v>
      </c>
      <c r="J478" s="24" t="s">
        <v>60</v>
      </c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6">
        <v>20.0</v>
      </c>
      <c r="B479" s="35" t="str">
        <f t="array" ref="B479">INDEX('Báo cáo 75 trang đích'!$B$2:$B$76,$A479)</f>
        <v>https://techcombank.com/thong-tin/blog/cach-sao-ke-tai-khoan-ngan-hang</v>
      </c>
      <c r="C479" s="5" t="str">
        <f t="array" ref="C479">INDEX('Báo cáo 75 trang đích'!$C$2:$C$76,$A479)</f>
        <v>CASA</v>
      </c>
      <c r="D479" s="20" t="s">
        <v>1297</v>
      </c>
      <c r="E479" s="22" t="s">
        <v>163</v>
      </c>
      <c r="F479" s="22" t="s">
        <v>81</v>
      </c>
      <c r="G479" s="22" t="s">
        <v>1273</v>
      </c>
      <c r="H479" s="24" t="s">
        <v>59</v>
      </c>
      <c r="I479" s="24" t="s">
        <v>59</v>
      </c>
      <c r="J479" s="24" t="s">
        <v>60</v>
      </c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6">
        <v>21.0</v>
      </c>
      <c r="B480" s="35" t="str">
        <f t="array" ref="B480">INDEX('Báo cáo 75 trang đích'!$B$2:$B$76,$A480)</f>
        <v>https://techcombank.com/thong-tin/blog/day-so-phat-tai-phat-loc</v>
      </c>
      <c r="C480" s="5" t="str">
        <f t="array" ref="C480">INDEX('Báo cáo 75 trang đích'!$C$2:$C$76,$A480)</f>
        <v>CASA</v>
      </c>
      <c r="D480" s="20" t="s">
        <v>522</v>
      </c>
      <c r="E480" s="22" t="s">
        <v>165</v>
      </c>
      <c r="F480" s="22" t="s">
        <v>57</v>
      </c>
      <c r="G480" s="22" t="s">
        <v>1298</v>
      </c>
      <c r="H480" s="24" t="s">
        <v>59</v>
      </c>
      <c r="I480" s="24" t="s">
        <v>59</v>
      </c>
      <c r="J480" s="24" t="s">
        <v>60</v>
      </c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6">
        <v>21.0</v>
      </c>
      <c r="B481" s="35" t="str">
        <f t="array" ref="B481">INDEX('Báo cáo 75 trang đích'!$B$2:$B$76,$A481)</f>
        <v>https://techcombank.com/thong-tin/blog/day-so-phat-tai-phat-loc</v>
      </c>
      <c r="C481" s="5" t="str">
        <f t="array" ref="C481">INDEX('Báo cáo 75 trang đích'!$C$2:$C$76,$A481)</f>
        <v>CASA</v>
      </c>
      <c r="D481" s="20" t="s">
        <v>491</v>
      </c>
      <c r="E481" s="22" t="s">
        <v>663</v>
      </c>
      <c r="F481" s="22" t="s">
        <v>57</v>
      </c>
      <c r="G481" s="22" t="s">
        <v>1299</v>
      </c>
      <c r="H481" s="24" t="s">
        <v>59</v>
      </c>
      <c r="I481" s="24" t="s">
        <v>59</v>
      </c>
      <c r="J481" s="24" t="s">
        <v>60</v>
      </c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6">
        <v>21.0</v>
      </c>
      <c r="B482" s="35" t="str">
        <f t="array" ref="B482">INDEX('Báo cáo 75 trang đích'!$B$2:$B$76,$A482)</f>
        <v>https://techcombank.com/thong-tin/blog/day-so-phat-tai-phat-loc</v>
      </c>
      <c r="C482" s="5" t="str">
        <f t="array" ref="C482">INDEX('Báo cáo 75 trang đích'!$C$2:$C$76,$A482)</f>
        <v>CASA</v>
      </c>
      <c r="D482" s="20" t="s">
        <v>484</v>
      </c>
      <c r="E482" s="22" t="s">
        <v>165</v>
      </c>
      <c r="F482" s="22" t="s">
        <v>57</v>
      </c>
      <c r="G482" s="22" t="s">
        <v>1300</v>
      </c>
      <c r="H482" s="24" t="s">
        <v>59</v>
      </c>
      <c r="I482" s="24" t="s">
        <v>59</v>
      </c>
      <c r="J482" s="24" t="s">
        <v>60</v>
      </c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6">
        <v>21.0</v>
      </c>
      <c r="B483" s="35" t="str">
        <f t="array" ref="B483">INDEX('Báo cáo 75 trang đích'!$B$2:$B$76,$A483)</f>
        <v>https://techcombank.com/thong-tin/blog/day-so-phat-tai-phat-loc</v>
      </c>
      <c r="C483" s="5" t="str">
        <f t="array" ref="C483">INDEX('Báo cáo 75 trang đích'!$C$2:$C$76,$A483)</f>
        <v>CASA</v>
      </c>
      <c r="D483" s="20" t="s">
        <v>479</v>
      </c>
      <c r="E483" s="22" t="s">
        <v>663</v>
      </c>
      <c r="F483" s="22" t="s">
        <v>57</v>
      </c>
      <c r="G483" s="22" t="s">
        <v>1301</v>
      </c>
      <c r="H483" s="24" t="s">
        <v>59</v>
      </c>
      <c r="I483" s="24" t="s">
        <v>59</v>
      </c>
      <c r="J483" s="24" t="s">
        <v>60</v>
      </c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6">
        <v>21.0</v>
      </c>
      <c r="B484" s="35" t="str">
        <f t="array" ref="B484">INDEX('Báo cáo 75 trang đích'!$B$2:$B$76,$A484)</f>
        <v>https://techcombank.com/thong-tin/blog/day-so-phat-tai-phat-loc</v>
      </c>
      <c r="C484" s="5" t="str">
        <f t="array" ref="C484">INDEX('Báo cáo 75 trang đích'!$C$2:$C$76,$A484)</f>
        <v>CASA</v>
      </c>
      <c r="D484" s="20" t="s">
        <v>666</v>
      </c>
      <c r="E484" s="22" t="s">
        <v>165</v>
      </c>
      <c r="F484" s="22" t="s">
        <v>76</v>
      </c>
      <c r="G484" s="22" t="s">
        <v>1302</v>
      </c>
      <c r="H484" s="24" t="s">
        <v>59</v>
      </c>
      <c r="I484" s="24" t="s">
        <v>59</v>
      </c>
      <c r="J484" s="24" t="s">
        <v>60</v>
      </c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6">
        <v>21.0</v>
      </c>
      <c r="B485" s="35" t="str">
        <f t="array" ref="B485">INDEX('Báo cáo 75 trang đích'!$B$2:$B$76,$A485)</f>
        <v>https://techcombank.com/thong-tin/blog/day-so-phat-tai-phat-loc</v>
      </c>
      <c r="C485" s="5" t="str">
        <f t="array" ref="C485">INDEX('Báo cáo 75 trang đích'!$C$2:$C$76,$A485)</f>
        <v>CASA</v>
      </c>
      <c r="D485" s="20" t="s">
        <v>474</v>
      </c>
      <c r="E485" s="22" t="s">
        <v>663</v>
      </c>
      <c r="F485" s="22" t="s">
        <v>81</v>
      </c>
      <c r="G485" s="22" t="s">
        <v>1303</v>
      </c>
      <c r="H485" s="24" t="s">
        <v>59</v>
      </c>
      <c r="I485" s="24" t="s">
        <v>59</v>
      </c>
      <c r="J485" s="24" t="s">
        <v>60</v>
      </c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6">
        <v>21.0</v>
      </c>
      <c r="B486" s="35" t="str">
        <f t="array" ref="B486">INDEX('Báo cáo 75 trang đích'!$B$2:$B$76,$A486)</f>
        <v>https://techcombank.com/thong-tin/blog/day-so-phat-tai-phat-loc</v>
      </c>
      <c r="C486" s="5" t="str">
        <f t="array" ref="C486">INDEX('Báo cáo 75 trang đích'!$C$2:$C$76,$A486)</f>
        <v>CASA</v>
      </c>
      <c r="D486" s="20" t="s">
        <v>1304</v>
      </c>
      <c r="E486" s="22" t="s">
        <v>165</v>
      </c>
      <c r="F486" s="22" t="s">
        <v>81</v>
      </c>
      <c r="G486" s="22" t="s">
        <v>1305</v>
      </c>
      <c r="H486" s="24" t="s">
        <v>59</v>
      </c>
      <c r="I486" s="24" t="s">
        <v>59</v>
      </c>
      <c r="J486" s="24" t="s">
        <v>60</v>
      </c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6">
        <v>21.0</v>
      </c>
      <c r="B487" s="35" t="str">
        <f t="array" ref="B487">INDEX('Báo cáo 75 trang đích'!$B$2:$B$76,$A487)</f>
        <v>https://techcombank.com/thong-tin/blog/day-so-phat-tai-phat-loc</v>
      </c>
      <c r="C487" s="5" t="str">
        <f t="array" ref="C487">INDEX('Báo cáo 75 trang đích'!$C$2:$C$76,$A487)</f>
        <v>CASA</v>
      </c>
      <c r="D487" s="20" t="s">
        <v>1306</v>
      </c>
      <c r="E487" s="22" t="s">
        <v>663</v>
      </c>
      <c r="F487" s="22" t="s">
        <v>81</v>
      </c>
      <c r="G487" s="22" t="s">
        <v>1305</v>
      </c>
      <c r="H487" s="24" t="s">
        <v>59</v>
      </c>
      <c r="I487" s="24" t="s">
        <v>59</v>
      </c>
      <c r="J487" s="24" t="s">
        <v>60</v>
      </c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6">
        <v>21.0</v>
      </c>
      <c r="B488" s="35" t="str">
        <f t="array" ref="B488">INDEX('Báo cáo 75 trang đích'!$B$2:$B$76,$A488)</f>
        <v>https://techcombank.com/thong-tin/blog/day-so-phat-tai-phat-loc</v>
      </c>
      <c r="C488" s="5" t="str">
        <f t="array" ref="C488">INDEX('Báo cáo 75 trang đích'!$C$2:$C$76,$A488)</f>
        <v>CASA</v>
      </c>
      <c r="D488" s="20" t="s">
        <v>480</v>
      </c>
      <c r="E488" s="22" t="s">
        <v>165</v>
      </c>
      <c r="F488" s="22" t="s">
        <v>81</v>
      </c>
      <c r="G488" s="22" t="s">
        <v>1307</v>
      </c>
      <c r="H488" s="24" t="s">
        <v>59</v>
      </c>
      <c r="I488" s="24" t="s">
        <v>59</v>
      </c>
      <c r="J488" s="24" t="s">
        <v>60</v>
      </c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6">
        <v>21.0</v>
      </c>
      <c r="B489" s="35" t="str">
        <f t="array" ref="B489">INDEX('Báo cáo 75 trang đích'!$B$2:$B$76,$A489)</f>
        <v>https://techcombank.com/thong-tin/blog/day-so-phat-tai-phat-loc</v>
      </c>
      <c r="C489" s="5" t="str">
        <f t="array" ref="C489">INDEX('Báo cáo 75 trang đích'!$C$2:$C$76,$A489)</f>
        <v>CASA</v>
      </c>
      <c r="D489" s="20" t="s">
        <v>481</v>
      </c>
      <c r="E489" s="22" t="s">
        <v>663</v>
      </c>
      <c r="F489" s="22" t="s">
        <v>81</v>
      </c>
      <c r="G489" s="22" t="s">
        <v>1308</v>
      </c>
      <c r="H489" s="24" t="s">
        <v>59</v>
      </c>
      <c r="I489" s="24" t="s">
        <v>59</v>
      </c>
      <c r="J489" s="24" t="s">
        <v>60</v>
      </c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6">
        <v>21.0</v>
      </c>
      <c r="B490" s="35" t="str">
        <f t="array" ref="B490">INDEX('Báo cáo 75 trang đích'!$B$2:$B$76,$A490)</f>
        <v>https://techcombank.com/thong-tin/blog/day-so-phat-tai-phat-loc</v>
      </c>
      <c r="C490" s="5" t="str">
        <f t="array" ref="C490">INDEX('Báo cáo 75 trang đích'!$C$2:$C$76,$A490)</f>
        <v>CASA</v>
      </c>
      <c r="D490" s="20" t="s">
        <v>482</v>
      </c>
      <c r="E490" s="22" t="s">
        <v>165</v>
      </c>
      <c r="F490" s="22" t="s">
        <v>81</v>
      </c>
      <c r="G490" s="22" t="s">
        <v>1309</v>
      </c>
      <c r="H490" s="24" t="s">
        <v>59</v>
      </c>
      <c r="I490" s="24" t="s">
        <v>59</v>
      </c>
      <c r="J490" s="24" t="s">
        <v>60</v>
      </c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6">
        <v>21.0</v>
      </c>
      <c r="B491" s="35" t="str">
        <f t="array" ref="B491">INDEX('Báo cáo 75 trang đích'!$B$2:$B$76,$A491)</f>
        <v>https://techcombank.com/thong-tin/blog/day-so-phat-tai-phat-loc</v>
      </c>
      <c r="C491" s="5" t="str">
        <f t="array" ref="C491">INDEX('Báo cáo 75 trang đích'!$C$2:$C$76,$A491)</f>
        <v>CASA</v>
      </c>
      <c r="D491" s="20" t="s">
        <v>492</v>
      </c>
      <c r="E491" s="22" t="s">
        <v>663</v>
      </c>
      <c r="F491" s="22" t="s">
        <v>81</v>
      </c>
      <c r="G491" s="22" t="s">
        <v>1308</v>
      </c>
      <c r="H491" s="24" t="s">
        <v>59</v>
      </c>
      <c r="I491" s="24" t="s">
        <v>59</v>
      </c>
      <c r="J491" s="24" t="s">
        <v>60</v>
      </c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6">
        <v>22.0</v>
      </c>
      <c r="B492" s="35" t="str">
        <f t="array" ref="B492">INDEX('Báo cáo 75 trang đích'!$B$2:$B$76,$A492)</f>
        <v>https://techcombank.com/thong-tin/blog/kiem-tra-thue-thu-nhap-ca-nhan</v>
      </c>
      <c r="C492" s="5" t="str">
        <f t="array" ref="C492">INDEX('Báo cáo 75 trang đích'!$C$2:$C$76,$A492)</f>
        <v>CASA</v>
      </c>
      <c r="D492" s="20" t="s">
        <v>109</v>
      </c>
      <c r="E492" s="22" t="s">
        <v>171</v>
      </c>
      <c r="F492" s="22" t="s">
        <v>57</v>
      </c>
      <c r="G492" s="22" t="s">
        <v>1310</v>
      </c>
      <c r="H492" s="24" t="s">
        <v>59</v>
      </c>
      <c r="I492" s="24" t="s">
        <v>59</v>
      </c>
      <c r="J492" s="24" t="s">
        <v>60</v>
      </c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6">
        <v>22.0</v>
      </c>
      <c r="B493" s="35" t="str">
        <f t="array" ref="B493">INDEX('Báo cáo 75 trang đích'!$B$2:$B$76,$A493)</f>
        <v>https://techcombank.com/thong-tin/blog/kiem-tra-thue-thu-nhap-ca-nhan</v>
      </c>
      <c r="C493" s="5" t="str">
        <f t="array" ref="C493">INDEX('Báo cáo 75 trang đích'!$C$2:$C$76,$A493)</f>
        <v>CASA</v>
      </c>
      <c r="D493" s="20" t="s">
        <v>441</v>
      </c>
      <c r="E493" s="22" t="s">
        <v>670</v>
      </c>
      <c r="F493" s="22" t="s">
        <v>57</v>
      </c>
      <c r="G493" s="22" t="s">
        <v>1311</v>
      </c>
      <c r="H493" s="24" t="s">
        <v>59</v>
      </c>
      <c r="I493" s="24" t="s">
        <v>59</v>
      </c>
      <c r="J493" s="24" t="s">
        <v>60</v>
      </c>
      <c r="K493" s="22" t="s">
        <v>137</v>
      </c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6">
        <v>22.0</v>
      </c>
      <c r="B494" s="35" t="str">
        <f t="array" ref="B494">INDEX('Báo cáo 75 trang đích'!$B$2:$B$76,$A494)</f>
        <v>https://techcombank.com/thong-tin/blog/kiem-tra-thue-thu-nhap-ca-nhan</v>
      </c>
      <c r="C494" s="5" t="str">
        <f t="array" ref="C494">INDEX('Báo cáo 75 trang đích'!$C$2:$C$76,$A494)</f>
        <v>CASA</v>
      </c>
      <c r="D494" s="20" t="s">
        <v>86</v>
      </c>
      <c r="E494" s="22" t="s">
        <v>672</v>
      </c>
      <c r="F494" s="22" t="s">
        <v>76</v>
      </c>
      <c r="G494" s="22" t="s">
        <v>1312</v>
      </c>
      <c r="H494" s="24" t="s">
        <v>59</v>
      </c>
      <c r="I494" s="24" t="s">
        <v>59</v>
      </c>
      <c r="J494" s="24" t="s">
        <v>60</v>
      </c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6">
        <v>22.0</v>
      </c>
      <c r="B495" s="35" t="str">
        <f t="array" ref="B495">INDEX('Báo cáo 75 trang đích'!$B$2:$B$76,$A495)</f>
        <v>https://techcombank.com/thong-tin/blog/kiem-tra-thue-thu-nhap-ca-nhan</v>
      </c>
      <c r="C495" s="5" t="str">
        <f t="array" ref="C495">INDEX('Báo cáo 75 trang đích'!$C$2:$C$76,$A495)</f>
        <v>CASA</v>
      </c>
      <c r="D495" s="20" t="s">
        <v>111</v>
      </c>
      <c r="E495" s="22" t="s">
        <v>171</v>
      </c>
      <c r="F495" s="22" t="s">
        <v>76</v>
      </c>
      <c r="G495" s="22" t="s">
        <v>1313</v>
      </c>
      <c r="H495" s="24" t="s">
        <v>59</v>
      </c>
      <c r="I495" s="24" t="s">
        <v>59</v>
      </c>
      <c r="J495" s="24" t="s">
        <v>60</v>
      </c>
      <c r="K495" s="22" t="s">
        <v>137</v>
      </c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6">
        <v>22.0</v>
      </c>
      <c r="B496" s="35" t="str">
        <f t="array" ref="B496">INDEX('Báo cáo 75 trang đích'!$B$2:$B$76,$A496)</f>
        <v>https://techcombank.com/thong-tin/blog/kiem-tra-thue-thu-nhap-ca-nhan</v>
      </c>
      <c r="C496" s="5" t="str">
        <f t="array" ref="C496">INDEX('Báo cáo 75 trang đích'!$C$2:$C$76,$A496)</f>
        <v>CASA</v>
      </c>
      <c r="D496" s="20" t="s">
        <v>95</v>
      </c>
      <c r="E496" s="22" t="s">
        <v>670</v>
      </c>
      <c r="F496" s="22" t="s">
        <v>76</v>
      </c>
      <c r="G496" s="22" t="s">
        <v>1314</v>
      </c>
      <c r="H496" s="24" t="s">
        <v>59</v>
      </c>
      <c r="I496" s="24" t="s">
        <v>59</v>
      </c>
      <c r="J496" s="24" t="s">
        <v>60</v>
      </c>
      <c r="K496" s="22" t="s">
        <v>137</v>
      </c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6">
        <v>22.0</v>
      </c>
      <c r="B497" s="35" t="str">
        <f t="array" ref="B497">INDEX('Báo cáo 75 trang đích'!$B$2:$B$76,$A497)</f>
        <v>https://techcombank.com/thong-tin/blog/kiem-tra-thue-thu-nhap-ca-nhan</v>
      </c>
      <c r="C497" s="5" t="str">
        <f t="array" ref="C497">INDEX('Báo cáo 75 trang đích'!$C$2:$C$76,$A497)</f>
        <v>CASA</v>
      </c>
      <c r="D497" s="20" t="s">
        <v>247</v>
      </c>
      <c r="E497" s="22" t="s">
        <v>672</v>
      </c>
      <c r="F497" s="22" t="s">
        <v>81</v>
      </c>
      <c r="G497" s="22" t="s">
        <v>452</v>
      </c>
      <c r="H497" s="24" t="s">
        <v>59</v>
      </c>
      <c r="I497" s="24" t="s">
        <v>59</v>
      </c>
      <c r="J497" s="24" t="s">
        <v>60</v>
      </c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6">
        <v>22.0</v>
      </c>
      <c r="B498" s="35" t="str">
        <f t="array" ref="B498">INDEX('Báo cáo 75 trang đích'!$B$2:$B$76,$A498)</f>
        <v>https://techcombank.com/thong-tin/blog/kiem-tra-thue-thu-nhap-ca-nhan</v>
      </c>
      <c r="C498" s="5" t="str">
        <f t="array" ref="C498">INDEX('Báo cáo 75 trang đích'!$C$2:$C$76,$A498)</f>
        <v>CASA</v>
      </c>
      <c r="D498" s="20" t="s">
        <v>99</v>
      </c>
      <c r="E498" s="22" t="s">
        <v>171</v>
      </c>
      <c r="F498" s="22" t="s">
        <v>81</v>
      </c>
      <c r="G498" s="22" t="s">
        <v>299</v>
      </c>
      <c r="H498" s="24" t="s">
        <v>59</v>
      </c>
      <c r="I498" s="24" t="s">
        <v>59</v>
      </c>
      <c r="J498" s="24" t="s">
        <v>60</v>
      </c>
      <c r="K498" s="22" t="s">
        <v>97</v>
      </c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6">
        <v>22.0</v>
      </c>
      <c r="B499" s="35" t="str">
        <f t="array" ref="B499">INDEX('Báo cáo 75 trang đích'!$B$2:$B$76,$A499)</f>
        <v>https://techcombank.com/thong-tin/blog/kiem-tra-thue-thu-nhap-ca-nhan</v>
      </c>
      <c r="C499" s="5" t="str">
        <f t="array" ref="C499">INDEX('Báo cáo 75 trang đích'!$C$2:$C$76,$A499)</f>
        <v>CASA</v>
      </c>
      <c r="D499" s="20" t="s">
        <v>102</v>
      </c>
      <c r="E499" s="22" t="s">
        <v>670</v>
      </c>
      <c r="F499" s="22" t="s">
        <v>81</v>
      </c>
      <c r="G499" s="22" t="s">
        <v>1315</v>
      </c>
      <c r="H499" s="24" t="s">
        <v>59</v>
      </c>
      <c r="I499" s="24" t="s">
        <v>59</v>
      </c>
      <c r="J499" s="24" t="s">
        <v>60</v>
      </c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6">
        <v>22.0</v>
      </c>
      <c r="B500" s="35" t="str">
        <f t="array" ref="B500">INDEX('Báo cáo 75 trang đích'!$B$2:$B$76,$A500)</f>
        <v>https://techcombank.com/thong-tin/blog/kiem-tra-thue-thu-nhap-ca-nhan</v>
      </c>
      <c r="C500" s="5" t="str">
        <f t="array" ref="C500">INDEX('Báo cáo 75 trang đích'!$C$2:$C$76,$A500)</f>
        <v>CASA</v>
      </c>
      <c r="D500" s="20" t="s">
        <v>106</v>
      </c>
      <c r="E500" s="22" t="s">
        <v>672</v>
      </c>
      <c r="F500" s="22" t="s">
        <v>81</v>
      </c>
      <c r="G500" s="22" t="s">
        <v>103</v>
      </c>
      <c r="H500" s="24" t="s">
        <v>59</v>
      </c>
      <c r="I500" s="24" t="s">
        <v>59</v>
      </c>
      <c r="J500" s="24" t="s">
        <v>60</v>
      </c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6">
        <v>22.0</v>
      </c>
      <c r="B501" s="35" t="str">
        <f t="array" ref="B501">INDEX('Báo cáo 75 trang đích'!$B$2:$B$76,$A501)</f>
        <v>https://techcombank.com/thong-tin/blog/kiem-tra-thue-thu-nhap-ca-nhan</v>
      </c>
      <c r="C501" s="5" t="str">
        <f t="array" ref="C501">INDEX('Báo cáo 75 trang đích'!$C$2:$C$76,$A501)</f>
        <v>CASA</v>
      </c>
      <c r="D501" s="20" t="s">
        <v>250</v>
      </c>
      <c r="E501" s="22" t="s">
        <v>171</v>
      </c>
      <c r="F501" s="22" t="s">
        <v>81</v>
      </c>
      <c r="G501" s="22" t="s">
        <v>452</v>
      </c>
      <c r="H501" s="24" t="s">
        <v>59</v>
      </c>
      <c r="I501" s="24" t="s">
        <v>59</v>
      </c>
      <c r="J501" s="24" t="s">
        <v>60</v>
      </c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6">
        <v>22.0</v>
      </c>
      <c r="B502" s="35" t="str">
        <f t="array" ref="B502">INDEX('Báo cáo 75 trang đích'!$B$2:$B$76,$A502)</f>
        <v>https://techcombank.com/thong-tin/blog/kiem-tra-thue-thu-nhap-ca-nhan</v>
      </c>
      <c r="C502" s="5" t="str">
        <f t="array" ref="C502">INDEX('Báo cáo 75 trang đích'!$C$2:$C$76,$A502)</f>
        <v>CASA</v>
      </c>
      <c r="D502" s="20" t="s">
        <v>114</v>
      </c>
      <c r="E502" s="22" t="s">
        <v>670</v>
      </c>
      <c r="F502" s="22" t="s">
        <v>81</v>
      </c>
      <c r="G502" s="22" t="s">
        <v>103</v>
      </c>
      <c r="H502" s="24" t="s">
        <v>59</v>
      </c>
      <c r="I502" s="24" t="s">
        <v>59</v>
      </c>
      <c r="J502" s="24" t="s">
        <v>60</v>
      </c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6">
        <v>22.0</v>
      </c>
      <c r="B503" s="35" t="str">
        <f t="array" ref="B503">INDEX('Báo cáo 75 trang đích'!$B$2:$B$76,$A503)</f>
        <v>https://techcombank.com/thong-tin/blog/kiem-tra-thue-thu-nhap-ca-nhan</v>
      </c>
      <c r="C503" s="5" t="str">
        <f t="array" ref="C503">INDEX('Báo cáo 75 trang đích'!$C$2:$C$76,$A503)</f>
        <v>CASA</v>
      </c>
      <c r="D503" s="20" t="s">
        <v>153</v>
      </c>
      <c r="E503" s="22" t="s">
        <v>672</v>
      </c>
      <c r="F503" s="22" t="s">
        <v>81</v>
      </c>
      <c r="G503" s="22" t="s">
        <v>452</v>
      </c>
      <c r="H503" s="24" t="s">
        <v>59</v>
      </c>
      <c r="I503" s="24" t="s">
        <v>59</v>
      </c>
      <c r="J503" s="24" t="s">
        <v>60</v>
      </c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6">
        <v>22.0</v>
      </c>
      <c r="B504" s="35" t="str">
        <f t="array" ref="B504">INDEX('Báo cáo 75 trang đích'!$B$2:$B$76,$A504)</f>
        <v>https://techcombank.com/thong-tin/blog/kiem-tra-thue-thu-nhap-ca-nhan</v>
      </c>
      <c r="C504" s="5" t="str">
        <f t="array" ref="C504">INDEX('Báo cáo 75 trang đích'!$C$2:$C$76,$A504)</f>
        <v>CASA</v>
      </c>
      <c r="D504" s="20" t="s">
        <v>85</v>
      </c>
      <c r="E504" s="22" t="s">
        <v>171</v>
      </c>
      <c r="F504" s="22" t="s">
        <v>81</v>
      </c>
      <c r="G504" s="22" t="s">
        <v>299</v>
      </c>
      <c r="H504" s="24" t="s">
        <v>59</v>
      </c>
      <c r="I504" s="24" t="s">
        <v>59</v>
      </c>
      <c r="J504" s="24" t="s">
        <v>60</v>
      </c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6">
        <v>22.0</v>
      </c>
      <c r="B505" s="35" t="str">
        <f t="array" ref="B505">INDEX('Báo cáo 75 trang đích'!$B$2:$B$76,$A505)</f>
        <v>https://techcombank.com/thong-tin/blog/kiem-tra-thue-thu-nhap-ca-nhan</v>
      </c>
      <c r="C505" s="5" t="str">
        <f t="array" ref="C505">INDEX('Báo cáo 75 trang đích'!$C$2:$C$76,$A505)</f>
        <v>CASA</v>
      </c>
      <c r="D505" s="20" t="s">
        <v>123</v>
      </c>
      <c r="E505" s="22" t="s">
        <v>670</v>
      </c>
      <c r="F505" s="22" t="s">
        <v>81</v>
      </c>
      <c r="G505" s="22" t="s">
        <v>103</v>
      </c>
      <c r="H505" s="24" t="s">
        <v>59</v>
      </c>
      <c r="I505" s="24" t="s">
        <v>59</v>
      </c>
      <c r="J505" s="24" t="s">
        <v>60</v>
      </c>
      <c r="K505" s="22" t="s">
        <v>97</v>
      </c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6">
        <v>22.0</v>
      </c>
      <c r="B506" s="35" t="str">
        <f t="array" ref="B506">INDEX('Báo cáo 75 trang đích'!$B$2:$B$76,$A506)</f>
        <v>https://techcombank.com/thong-tin/blog/kiem-tra-thue-thu-nhap-ca-nhan</v>
      </c>
      <c r="C506" s="5" t="str">
        <f t="array" ref="C506">INDEX('Báo cáo 75 trang đích'!$C$2:$C$76,$A506)</f>
        <v>CASA</v>
      </c>
      <c r="D506" s="20" t="s">
        <v>116</v>
      </c>
      <c r="E506" s="22" t="s">
        <v>672</v>
      </c>
      <c r="F506" s="22" t="s">
        <v>81</v>
      </c>
      <c r="G506" s="22" t="s">
        <v>1316</v>
      </c>
      <c r="H506" s="24" t="s">
        <v>59</v>
      </c>
      <c r="I506" s="24" t="s">
        <v>59</v>
      </c>
      <c r="J506" s="24" t="s">
        <v>60</v>
      </c>
      <c r="K506" s="22" t="s">
        <v>97</v>
      </c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6">
        <v>22.0</v>
      </c>
      <c r="B507" s="35" t="str">
        <f t="array" ref="B507">INDEX('Báo cáo 75 trang đích'!$B$2:$B$76,$A507)</f>
        <v>https://techcombank.com/thong-tin/blog/kiem-tra-thue-thu-nhap-ca-nhan</v>
      </c>
      <c r="C507" s="5" t="str">
        <f t="array" ref="C507">INDEX('Báo cáo 75 trang đích'!$C$2:$C$76,$A507)</f>
        <v>CASA</v>
      </c>
      <c r="D507" s="20" t="s">
        <v>164</v>
      </c>
      <c r="E507" s="22" t="s">
        <v>171</v>
      </c>
      <c r="F507" s="22" t="s">
        <v>81</v>
      </c>
      <c r="G507" s="22" t="s">
        <v>1316</v>
      </c>
      <c r="H507" s="24" t="s">
        <v>59</v>
      </c>
      <c r="I507" s="24" t="s">
        <v>59</v>
      </c>
      <c r="J507" s="24" t="s">
        <v>60</v>
      </c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6">
        <v>22.0</v>
      </c>
      <c r="B508" s="35" t="str">
        <f t="array" ref="B508">INDEX('Báo cáo 75 trang đích'!$B$2:$B$76,$A508)</f>
        <v>https://techcombank.com/thong-tin/blog/kiem-tra-thue-thu-nhap-ca-nhan</v>
      </c>
      <c r="C508" s="5" t="str">
        <f t="array" ref="C508">INDEX('Báo cáo 75 trang đích'!$C$2:$C$76,$A508)</f>
        <v>CASA</v>
      </c>
      <c r="D508" s="20" t="s">
        <v>56</v>
      </c>
      <c r="E508" s="22" t="s">
        <v>670</v>
      </c>
      <c r="F508" s="22" t="s">
        <v>81</v>
      </c>
      <c r="G508" s="22" t="s">
        <v>103</v>
      </c>
      <c r="H508" s="24" t="s">
        <v>59</v>
      </c>
      <c r="I508" s="24" t="s">
        <v>59</v>
      </c>
      <c r="J508" s="24" t="s">
        <v>60</v>
      </c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6">
        <v>22.0</v>
      </c>
      <c r="B509" s="35" t="str">
        <f t="array" ref="B509">INDEX('Báo cáo 75 trang đích'!$B$2:$B$76,$A509)</f>
        <v>https://techcombank.com/thong-tin/blog/kiem-tra-thue-thu-nhap-ca-nhan</v>
      </c>
      <c r="C509" s="5" t="str">
        <f t="array" ref="C509">INDEX('Báo cáo 75 trang đích'!$C$2:$C$76,$A509)</f>
        <v>CASA</v>
      </c>
      <c r="D509" s="20" t="s">
        <v>67</v>
      </c>
      <c r="E509" s="22" t="s">
        <v>672</v>
      </c>
      <c r="F509" s="22" t="s">
        <v>81</v>
      </c>
      <c r="G509" s="22" t="s">
        <v>103</v>
      </c>
      <c r="H509" s="24" t="s">
        <v>59</v>
      </c>
      <c r="I509" s="24" t="s">
        <v>59</v>
      </c>
      <c r="J509" s="24" t="s">
        <v>60</v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6">
        <v>23.0</v>
      </c>
      <c r="B510" s="35" t="str">
        <f t="array" ref="B510">INDEX('Báo cáo 75 trang đích'!$B$2:$B$76,$A510)</f>
        <v>https://techcombank.com/thong-tin/blog/ten-dang-nhap-tai-khoan-ngan-hang-la-gi</v>
      </c>
      <c r="C510" s="5" t="str">
        <f t="array" ref="C510">INDEX('Báo cáo 75 trang đích'!$C$2:$C$76,$A510)</f>
        <v>CASA</v>
      </c>
      <c r="D510" s="20" t="s">
        <v>516</v>
      </c>
      <c r="E510" s="22" t="s">
        <v>182</v>
      </c>
      <c r="F510" s="22" t="s">
        <v>57</v>
      </c>
      <c r="G510" s="22" t="s">
        <v>1317</v>
      </c>
      <c r="H510" s="24" t="s">
        <v>59</v>
      </c>
      <c r="I510" s="24" t="s">
        <v>59</v>
      </c>
      <c r="J510" s="24" t="s">
        <v>60</v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6">
        <v>23.0</v>
      </c>
      <c r="B511" s="35" t="str">
        <f t="array" ref="B511">INDEX('Báo cáo 75 trang đích'!$B$2:$B$76,$A511)</f>
        <v>https://techcombank.com/thong-tin/blog/ten-dang-nhap-tai-khoan-ngan-hang-la-gi</v>
      </c>
      <c r="C511" s="5" t="str">
        <f t="array" ref="C511">INDEX('Báo cáo 75 trang đích'!$C$2:$C$76,$A511)</f>
        <v>CASA</v>
      </c>
      <c r="D511" s="20" t="s">
        <v>676</v>
      </c>
      <c r="E511" s="22" t="s">
        <v>678</v>
      </c>
      <c r="F511" s="22" t="s">
        <v>57</v>
      </c>
      <c r="G511" s="22" t="s">
        <v>1318</v>
      </c>
      <c r="H511" s="24" t="s">
        <v>59</v>
      </c>
      <c r="I511" s="24" t="s">
        <v>59</v>
      </c>
      <c r="J511" s="24" t="s">
        <v>60</v>
      </c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6">
        <v>23.0</v>
      </c>
      <c r="B512" s="35" t="str">
        <f t="array" ref="B512">INDEX('Báo cáo 75 trang đích'!$B$2:$B$76,$A512)</f>
        <v>https://techcombank.com/thong-tin/blog/ten-dang-nhap-tai-khoan-ngan-hang-la-gi</v>
      </c>
      <c r="C512" s="5" t="str">
        <f t="array" ref="C512">INDEX('Báo cáo 75 trang đích'!$C$2:$C$76,$A512)</f>
        <v>CASA</v>
      </c>
      <c r="D512" s="20" t="s">
        <v>573</v>
      </c>
      <c r="E512" s="22" t="s">
        <v>182</v>
      </c>
      <c r="F512" s="22" t="s">
        <v>57</v>
      </c>
      <c r="G512" s="22" t="s">
        <v>1319</v>
      </c>
      <c r="H512" s="24" t="s">
        <v>59</v>
      </c>
      <c r="I512" s="24" t="s">
        <v>59</v>
      </c>
      <c r="J512" s="24" t="s">
        <v>60</v>
      </c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6">
        <v>23.0</v>
      </c>
      <c r="B513" s="35" t="str">
        <f t="array" ref="B513">INDEX('Báo cáo 75 trang đích'!$B$2:$B$76,$A513)</f>
        <v>https://techcombank.com/thong-tin/blog/ten-dang-nhap-tai-khoan-ngan-hang-la-gi</v>
      </c>
      <c r="C513" s="5" t="str">
        <f t="array" ref="C513">INDEX('Báo cáo 75 trang đích'!$C$2:$C$76,$A513)</f>
        <v>CASA</v>
      </c>
      <c r="D513" s="20" t="s">
        <v>681</v>
      </c>
      <c r="E513" s="22" t="s">
        <v>678</v>
      </c>
      <c r="F513" s="22" t="s">
        <v>76</v>
      </c>
      <c r="G513" s="22" t="s">
        <v>1320</v>
      </c>
      <c r="H513" s="24" t="s">
        <v>59</v>
      </c>
      <c r="I513" s="24" t="s">
        <v>59</v>
      </c>
      <c r="J513" s="24" t="s">
        <v>60</v>
      </c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6">
        <v>23.0</v>
      </c>
      <c r="B514" s="35" t="str">
        <f t="array" ref="B514">INDEX('Báo cáo 75 trang đích'!$B$2:$B$76,$A514)</f>
        <v>https://techcombank.com/thong-tin/blog/ten-dang-nhap-tai-khoan-ngan-hang-la-gi</v>
      </c>
      <c r="C514" s="5" t="str">
        <f t="array" ref="C514">INDEX('Báo cáo 75 trang đích'!$C$2:$C$76,$A514)</f>
        <v>CASA</v>
      </c>
      <c r="D514" s="20" t="s">
        <v>416</v>
      </c>
      <c r="E514" s="22" t="s">
        <v>182</v>
      </c>
      <c r="F514" s="22" t="s">
        <v>76</v>
      </c>
      <c r="G514" s="22" t="s">
        <v>1321</v>
      </c>
      <c r="H514" s="24" t="s">
        <v>59</v>
      </c>
      <c r="I514" s="24" t="s">
        <v>59</v>
      </c>
      <c r="J514" s="24" t="s">
        <v>60</v>
      </c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6">
        <v>23.0</v>
      </c>
      <c r="B515" s="35" t="str">
        <f t="array" ref="B515">INDEX('Báo cáo 75 trang đích'!$B$2:$B$76,$A515)</f>
        <v>https://techcombank.com/thong-tin/blog/ten-dang-nhap-tai-khoan-ngan-hang-la-gi</v>
      </c>
      <c r="C515" s="5" t="str">
        <f t="array" ref="C515">INDEX('Báo cáo 75 trang đích'!$C$2:$C$76,$A515)</f>
        <v>CASA</v>
      </c>
      <c r="D515" s="20" t="s">
        <v>300</v>
      </c>
      <c r="E515" s="22" t="s">
        <v>678</v>
      </c>
      <c r="F515" s="22" t="s">
        <v>81</v>
      </c>
      <c r="G515" s="22" t="s">
        <v>1322</v>
      </c>
      <c r="H515" s="24" t="s">
        <v>59</v>
      </c>
      <c r="I515" s="24" t="s">
        <v>59</v>
      </c>
      <c r="J515" s="24" t="s">
        <v>60</v>
      </c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6">
        <v>23.0</v>
      </c>
      <c r="B516" s="35" t="str">
        <f t="array" ref="B516">INDEX('Báo cáo 75 trang đích'!$B$2:$B$76,$A516)</f>
        <v>https://techcombank.com/thong-tin/blog/ten-dang-nhap-tai-khoan-ngan-hang-la-gi</v>
      </c>
      <c r="C516" s="5" t="str">
        <f t="array" ref="C516">INDEX('Báo cáo 75 trang đích'!$C$2:$C$76,$A516)</f>
        <v>CASA</v>
      </c>
      <c r="D516" s="20" t="s">
        <v>464</v>
      </c>
      <c r="E516" s="22" t="s">
        <v>182</v>
      </c>
      <c r="F516" s="22" t="s">
        <v>81</v>
      </c>
      <c r="G516" s="22" t="s">
        <v>1322</v>
      </c>
      <c r="H516" s="24" t="s">
        <v>59</v>
      </c>
      <c r="I516" s="24" t="s">
        <v>59</v>
      </c>
      <c r="J516" s="24" t="s">
        <v>60</v>
      </c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6">
        <v>23.0</v>
      </c>
      <c r="B517" s="35" t="str">
        <f t="array" ref="B517">INDEX('Báo cáo 75 trang đích'!$B$2:$B$76,$A517)</f>
        <v>https://techcombank.com/thong-tin/blog/ten-dang-nhap-tai-khoan-ngan-hang-la-gi</v>
      </c>
      <c r="C517" s="5" t="str">
        <f t="array" ref="C517">INDEX('Báo cáo 75 trang đích'!$C$2:$C$76,$A517)</f>
        <v>CASA</v>
      </c>
      <c r="D517" s="20" t="s">
        <v>472</v>
      </c>
      <c r="E517" s="22" t="s">
        <v>678</v>
      </c>
      <c r="F517" s="22" t="s">
        <v>81</v>
      </c>
      <c r="G517" s="22" t="s">
        <v>1323</v>
      </c>
      <c r="H517" s="24" t="s">
        <v>59</v>
      </c>
      <c r="I517" s="24" t="s">
        <v>59</v>
      </c>
      <c r="J517" s="24" t="s">
        <v>60</v>
      </c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6">
        <v>23.0</v>
      </c>
      <c r="B518" s="35" t="str">
        <f t="array" ref="B518">INDEX('Báo cáo 75 trang đích'!$B$2:$B$76,$A518)</f>
        <v>https://techcombank.com/thong-tin/blog/ten-dang-nhap-tai-khoan-ngan-hang-la-gi</v>
      </c>
      <c r="C518" s="5" t="str">
        <f t="array" ref="C518">INDEX('Báo cáo 75 trang đích'!$C$2:$C$76,$A518)</f>
        <v>CASA</v>
      </c>
      <c r="D518" s="20" t="s">
        <v>1324</v>
      </c>
      <c r="E518" s="22" t="s">
        <v>182</v>
      </c>
      <c r="F518" s="22" t="s">
        <v>81</v>
      </c>
      <c r="G518" s="22" t="s">
        <v>1322</v>
      </c>
      <c r="H518" s="24" t="s">
        <v>59</v>
      </c>
      <c r="I518" s="24" t="s">
        <v>59</v>
      </c>
      <c r="J518" s="24" t="s">
        <v>60</v>
      </c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6">
        <v>23.0</v>
      </c>
      <c r="B519" s="35" t="str">
        <f t="array" ref="B519">INDEX('Báo cáo 75 trang đích'!$B$2:$B$76,$A519)</f>
        <v>https://techcombank.com/thong-tin/blog/ten-dang-nhap-tai-khoan-ngan-hang-la-gi</v>
      </c>
      <c r="C519" s="5" t="str">
        <f t="array" ref="C519">INDEX('Báo cáo 75 trang đích'!$C$2:$C$76,$A519)</f>
        <v>CASA</v>
      </c>
      <c r="D519" s="20" t="s">
        <v>637</v>
      </c>
      <c r="E519" s="22" t="s">
        <v>678</v>
      </c>
      <c r="F519" s="22" t="s">
        <v>81</v>
      </c>
      <c r="G519" s="22" t="s">
        <v>1322</v>
      </c>
      <c r="H519" s="24" t="s">
        <v>59</v>
      </c>
      <c r="I519" s="24" t="s">
        <v>59</v>
      </c>
      <c r="J519" s="24" t="s">
        <v>60</v>
      </c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6">
        <v>23.0</v>
      </c>
      <c r="B520" s="35" t="str">
        <f t="array" ref="B520">INDEX('Báo cáo 75 trang đích'!$B$2:$B$76,$A520)</f>
        <v>https://techcombank.com/thong-tin/blog/ten-dang-nhap-tai-khoan-ngan-hang-la-gi</v>
      </c>
      <c r="C520" s="5" t="str">
        <f t="array" ref="C520">INDEX('Báo cáo 75 trang đích'!$C$2:$C$76,$A520)</f>
        <v>CASA</v>
      </c>
      <c r="D520" s="20" t="s">
        <v>1325</v>
      </c>
      <c r="E520" s="22" t="s">
        <v>182</v>
      </c>
      <c r="F520" s="22" t="s">
        <v>81</v>
      </c>
      <c r="G520" s="22" t="s">
        <v>1326</v>
      </c>
      <c r="H520" s="24" t="s">
        <v>59</v>
      </c>
      <c r="I520" s="24" t="s">
        <v>59</v>
      </c>
      <c r="J520" s="24" t="s">
        <v>60</v>
      </c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6">
        <v>23.0</v>
      </c>
      <c r="B521" s="35" t="str">
        <f t="array" ref="B521">INDEX('Báo cáo 75 trang đích'!$B$2:$B$76,$A521)</f>
        <v>https://techcombank.com/thong-tin/blog/ten-dang-nhap-tai-khoan-ngan-hang-la-gi</v>
      </c>
      <c r="C521" s="5" t="str">
        <f t="array" ref="C521">INDEX('Báo cáo 75 trang đích'!$C$2:$C$76,$A521)</f>
        <v>CASA</v>
      </c>
      <c r="D521" s="20" t="s">
        <v>478</v>
      </c>
      <c r="E521" s="22" t="s">
        <v>678</v>
      </c>
      <c r="F521" s="22" t="s">
        <v>81</v>
      </c>
      <c r="G521" s="22" t="s">
        <v>1327</v>
      </c>
      <c r="H521" s="24" t="s">
        <v>59</v>
      </c>
      <c r="I521" s="24" t="s">
        <v>59</v>
      </c>
      <c r="J521" s="24" t="s">
        <v>60</v>
      </c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6">
        <v>23.0</v>
      </c>
      <c r="B522" s="35" t="str">
        <f t="array" ref="B522">INDEX('Báo cáo 75 trang đích'!$B$2:$B$76,$A522)</f>
        <v>https://techcombank.com/thong-tin/blog/ten-dang-nhap-tai-khoan-ngan-hang-la-gi</v>
      </c>
      <c r="C522" s="5" t="str">
        <f t="array" ref="C522">INDEX('Báo cáo 75 trang đích'!$C$2:$C$76,$A522)</f>
        <v>CASA</v>
      </c>
      <c r="D522" s="20" t="s">
        <v>1019</v>
      </c>
      <c r="E522" s="22" t="s">
        <v>182</v>
      </c>
      <c r="F522" s="22" t="s">
        <v>81</v>
      </c>
      <c r="G522" s="22" t="s">
        <v>1327</v>
      </c>
      <c r="H522" s="24" t="s">
        <v>59</v>
      </c>
      <c r="I522" s="24" t="s">
        <v>59</v>
      </c>
      <c r="J522" s="24" t="s">
        <v>60</v>
      </c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6">
        <v>23.0</v>
      </c>
      <c r="B523" s="35" t="str">
        <f t="array" ref="B523">INDEX('Báo cáo 75 trang đích'!$B$2:$B$76,$A523)</f>
        <v>https://techcombank.com/thong-tin/blog/ten-dang-nhap-tai-khoan-ngan-hang-la-gi</v>
      </c>
      <c r="C523" s="5" t="str">
        <f t="array" ref="C523">INDEX('Báo cáo 75 trang đích'!$C$2:$C$76,$A523)</f>
        <v>CASA</v>
      </c>
      <c r="D523" s="20" t="s">
        <v>1328</v>
      </c>
      <c r="E523" s="22" t="s">
        <v>678</v>
      </c>
      <c r="F523" s="22" t="s">
        <v>81</v>
      </c>
      <c r="G523" s="22" t="s">
        <v>1329</v>
      </c>
      <c r="H523" s="24" t="s">
        <v>59</v>
      </c>
      <c r="I523" s="24" t="s">
        <v>59</v>
      </c>
      <c r="J523" s="24" t="s">
        <v>60</v>
      </c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6">
        <v>23.0</v>
      </c>
      <c r="B524" s="35" t="str">
        <f t="array" ref="B524">INDEX('Báo cáo 75 trang đích'!$B$2:$B$76,$A524)</f>
        <v>https://techcombank.com/thong-tin/blog/ten-dang-nhap-tai-khoan-ngan-hang-la-gi</v>
      </c>
      <c r="C524" s="5" t="str">
        <f t="array" ref="C524">INDEX('Báo cáo 75 trang đích'!$C$2:$C$76,$A524)</f>
        <v>CASA</v>
      </c>
      <c r="D524" s="20" t="s">
        <v>628</v>
      </c>
      <c r="E524" s="22" t="s">
        <v>182</v>
      </c>
      <c r="F524" s="22" t="s">
        <v>81</v>
      </c>
      <c r="G524" s="22" t="s">
        <v>1322</v>
      </c>
      <c r="H524" s="24" t="s">
        <v>59</v>
      </c>
      <c r="I524" s="24" t="s">
        <v>59</v>
      </c>
      <c r="J524" s="24" t="s">
        <v>60</v>
      </c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6">
        <v>23.0</v>
      </c>
      <c r="B525" s="35" t="str">
        <f t="array" ref="B525">INDEX('Báo cáo 75 trang đích'!$B$2:$B$76,$A525)</f>
        <v>https://techcombank.com/thong-tin/blog/ten-dang-nhap-tai-khoan-ngan-hang-la-gi</v>
      </c>
      <c r="C525" s="5" t="str">
        <f t="array" ref="C525">INDEX('Báo cáo 75 trang đích'!$C$2:$C$76,$A525)</f>
        <v>CASA</v>
      </c>
      <c r="D525" s="20" t="s">
        <v>281</v>
      </c>
      <c r="E525" s="22" t="s">
        <v>678</v>
      </c>
      <c r="F525" s="22" t="s">
        <v>81</v>
      </c>
      <c r="G525" s="22" t="s">
        <v>1322</v>
      </c>
      <c r="H525" s="24" t="s">
        <v>59</v>
      </c>
      <c r="I525" s="24" t="s">
        <v>59</v>
      </c>
      <c r="J525" s="24" t="s">
        <v>60</v>
      </c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6">
        <v>23.0</v>
      </c>
      <c r="B526" s="35" t="str">
        <f t="array" ref="B526">INDEX('Báo cáo 75 trang đích'!$B$2:$B$76,$A526)</f>
        <v>https://techcombank.com/thong-tin/blog/ten-dang-nhap-tai-khoan-ngan-hang-la-gi</v>
      </c>
      <c r="C526" s="5" t="str">
        <f t="array" ref="C526">INDEX('Báo cáo 75 trang đích'!$C$2:$C$76,$A526)</f>
        <v>CASA</v>
      </c>
      <c r="D526" s="20" t="s">
        <v>215</v>
      </c>
      <c r="E526" s="22" t="s">
        <v>182</v>
      </c>
      <c r="F526" s="22" t="s">
        <v>81</v>
      </c>
      <c r="G526" s="22" t="s">
        <v>1330</v>
      </c>
      <c r="H526" s="24" t="s">
        <v>59</v>
      </c>
      <c r="I526" s="24" t="s">
        <v>59</v>
      </c>
      <c r="J526" s="24" t="s">
        <v>60</v>
      </c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6">
        <v>23.0</v>
      </c>
      <c r="B527" s="35" t="str">
        <f t="array" ref="B527">INDEX('Báo cáo 75 trang đích'!$B$2:$B$76,$A527)</f>
        <v>https://techcombank.com/thong-tin/blog/ten-dang-nhap-tai-khoan-ngan-hang-la-gi</v>
      </c>
      <c r="C527" s="5" t="str">
        <f t="array" ref="C527">INDEX('Báo cáo 75 trang đích'!$C$2:$C$76,$A527)</f>
        <v>CASA</v>
      </c>
      <c r="D527" s="20" t="s">
        <v>1158</v>
      </c>
      <c r="E527" s="22" t="s">
        <v>678</v>
      </c>
      <c r="F527" s="22" t="s">
        <v>81</v>
      </c>
      <c r="G527" s="22" t="s">
        <v>1322</v>
      </c>
      <c r="H527" s="24" t="s">
        <v>59</v>
      </c>
      <c r="I527" s="24" t="s">
        <v>59</v>
      </c>
      <c r="J527" s="24" t="s">
        <v>60</v>
      </c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6">
        <v>23.0</v>
      </c>
      <c r="B528" s="35" t="str">
        <f t="array" ref="B528">INDEX('Báo cáo 75 trang đích'!$B$2:$B$76,$A528)</f>
        <v>https://techcombank.com/thong-tin/blog/ten-dang-nhap-tai-khoan-ngan-hang-la-gi</v>
      </c>
      <c r="C528" s="5" t="str">
        <f t="array" ref="C528">INDEX('Báo cáo 75 trang đích'!$C$2:$C$76,$A528)</f>
        <v>CASA</v>
      </c>
      <c r="D528" s="20" t="s">
        <v>648</v>
      </c>
      <c r="E528" s="22" t="s">
        <v>182</v>
      </c>
      <c r="F528" s="22" t="s">
        <v>81</v>
      </c>
      <c r="G528" s="22" t="s">
        <v>1322</v>
      </c>
      <c r="H528" s="24" t="s">
        <v>59</v>
      </c>
      <c r="I528" s="24" t="s">
        <v>59</v>
      </c>
      <c r="J528" s="24" t="s">
        <v>60</v>
      </c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6">
        <v>23.0</v>
      </c>
      <c r="B529" s="35" t="str">
        <f t="array" ref="B529">INDEX('Báo cáo 75 trang đích'!$B$2:$B$76,$A529)</f>
        <v>https://techcombank.com/thong-tin/blog/ten-dang-nhap-tai-khoan-ngan-hang-la-gi</v>
      </c>
      <c r="C529" s="5" t="str">
        <f t="array" ref="C529">INDEX('Báo cáo 75 trang đích'!$C$2:$C$76,$A529)</f>
        <v>CASA</v>
      </c>
      <c r="D529" s="20" t="s">
        <v>796</v>
      </c>
      <c r="E529" s="22" t="s">
        <v>678</v>
      </c>
      <c r="F529" s="22" t="s">
        <v>81</v>
      </c>
      <c r="G529" s="22" t="s">
        <v>1327</v>
      </c>
      <c r="H529" s="24" t="s">
        <v>59</v>
      </c>
      <c r="I529" s="24" t="s">
        <v>59</v>
      </c>
      <c r="J529" s="24" t="s">
        <v>60</v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6">
        <v>23.0</v>
      </c>
      <c r="B530" s="35" t="str">
        <f t="array" ref="B530">INDEX('Báo cáo 75 trang đích'!$B$2:$B$76,$A530)</f>
        <v>https://techcombank.com/thong-tin/blog/ten-dang-nhap-tai-khoan-ngan-hang-la-gi</v>
      </c>
      <c r="C530" s="5" t="str">
        <f t="array" ref="C530">INDEX('Báo cáo 75 trang đích'!$C$2:$C$76,$A530)</f>
        <v>CASA</v>
      </c>
      <c r="D530" s="20" t="s">
        <v>431</v>
      </c>
      <c r="E530" s="22" t="s">
        <v>182</v>
      </c>
      <c r="F530" s="22" t="s">
        <v>81</v>
      </c>
      <c r="G530" s="22" t="s">
        <v>1322</v>
      </c>
      <c r="H530" s="24" t="s">
        <v>59</v>
      </c>
      <c r="I530" s="24" t="s">
        <v>59</v>
      </c>
      <c r="J530" s="24" t="s">
        <v>60</v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6">
        <v>23.0</v>
      </c>
      <c r="B531" s="35" t="str">
        <f t="array" ref="B531">INDEX('Báo cáo 75 trang đích'!$B$2:$B$76,$A531)</f>
        <v>https://techcombank.com/thong-tin/blog/ten-dang-nhap-tai-khoan-ngan-hang-la-gi</v>
      </c>
      <c r="C531" s="5" t="str">
        <f t="array" ref="C531">INDEX('Báo cáo 75 trang đích'!$C$2:$C$76,$A531)</f>
        <v>CASA</v>
      </c>
      <c r="D531" s="20" t="s">
        <v>1331</v>
      </c>
      <c r="E531" s="22" t="s">
        <v>678</v>
      </c>
      <c r="F531" s="22" t="s">
        <v>81</v>
      </c>
      <c r="G531" s="22" t="s">
        <v>1322</v>
      </c>
      <c r="H531" s="24" t="s">
        <v>59</v>
      </c>
      <c r="I531" s="24" t="s">
        <v>59</v>
      </c>
      <c r="J531" s="24" t="s">
        <v>60</v>
      </c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6">
        <v>23.0</v>
      </c>
      <c r="B532" s="35" t="str">
        <f t="array" ref="B532">INDEX('Báo cáo 75 trang đích'!$B$2:$B$76,$A532)</f>
        <v>https://techcombank.com/thong-tin/blog/ten-dang-nhap-tai-khoan-ngan-hang-la-gi</v>
      </c>
      <c r="C532" s="5" t="str">
        <f t="array" ref="C532">INDEX('Báo cáo 75 trang đích'!$C$2:$C$76,$A532)</f>
        <v>CASA</v>
      </c>
      <c r="D532" s="20" t="s">
        <v>548</v>
      </c>
      <c r="E532" s="22" t="s">
        <v>182</v>
      </c>
      <c r="F532" s="22" t="s">
        <v>81</v>
      </c>
      <c r="G532" s="22" t="s">
        <v>1326</v>
      </c>
      <c r="H532" s="24" t="s">
        <v>59</v>
      </c>
      <c r="I532" s="24" t="s">
        <v>59</v>
      </c>
      <c r="J532" s="24" t="s">
        <v>60</v>
      </c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6">
        <v>23.0</v>
      </c>
      <c r="B533" s="35" t="str">
        <f t="array" ref="B533">INDEX('Báo cáo 75 trang đích'!$B$2:$B$76,$A533)</f>
        <v>https://techcombank.com/thong-tin/blog/ten-dang-nhap-tai-khoan-ngan-hang-la-gi</v>
      </c>
      <c r="C533" s="5" t="str">
        <f t="array" ref="C533">INDEX('Báo cáo 75 trang đích'!$C$2:$C$76,$A533)</f>
        <v>CASA</v>
      </c>
      <c r="D533" s="20" t="s">
        <v>187</v>
      </c>
      <c r="E533" s="22" t="s">
        <v>678</v>
      </c>
      <c r="F533" s="22" t="s">
        <v>81</v>
      </c>
      <c r="G533" s="22" t="s">
        <v>1332</v>
      </c>
      <c r="H533" s="24" t="s">
        <v>59</v>
      </c>
      <c r="I533" s="24" t="s">
        <v>59</v>
      </c>
      <c r="J533" s="24" t="s">
        <v>60</v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6">
        <v>23.0</v>
      </c>
      <c r="B534" s="35" t="str">
        <f t="array" ref="B534">INDEX('Báo cáo 75 trang đích'!$B$2:$B$76,$A534)</f>
        <v>https://techcombank.com/thong-tin/blog/ten-dang-nhap-tai-khoan-ngan-hang-la-gi</v>
      </c>
      <c r="C534" s="5" t="str">
        <f t="array" ref="C534">INDEX('Báo cáo 75 trang đích'!$C$2:$C$76,$A534)</f>
        <v>CASA</v>
      </c>
      <c r="D534" s="20" t="s">
        <v>1333</v>
      </c>
      <c r="E534" s="22" t="s">
        <v>182</v>
      </c>
      <c r="F534" s="22" t="s">
        <v>81</v>
      </c>
      <c r="G534" s="22" t="s">
        <v>1322</v>
      </c>
      <c r="H534" s="24" t="s">
        <v>59</v>
      </c>
      <c r="I534" s="24" t="s">
        <v>59</v>
      </c>
      <c r="J534" s="24" t="s">
        <v>60</v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6">
        <v>23.0</v>
      </c>
      <c r="B535" s="35" t="str">
        <f t="array" ref="B535">INDEX('Báo cáo 75 trang đích'!$B$2:$B$76,$A535)</f>
        <v>https://techcombank.com/thong-tin/blog/ten-dang-nhap-tai-khoan-ngan-hang-la-gi</v>
      </c>
      <c r="C535" s="5" t="str">
        <f t="array" ref="C535">INDEX('Báo cáo 75 trang đích'!$C$2:$C$76,$A535)</f>
        <v>CASA</v>
      </c>
      <c r="D535" s="20" t="s">
        <v>1334</v>
      </c>
      <c r="E535" s="22" t="s">
        <v>678</v>
      </c>
      <c r="F535" s="22" t="s">
        <v>81</v>
      </c>
      <c r="G535" s="22" t="s">
        <v>1322</v>
      </c>
      <c r="H535" s="24" t="s">
        <v>59</v>
      </c>
      <c r="I535" s="24" t="s">
        <v>59</v>
      </c>
      <c r="J535" s="24" t="s">
        <v>60</v>
      </c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6">
        <v>23.0</v>
      </c>
      <c r="B536" s="35" t="str">
        <f t="array" ref="B536">INDEX('Báo cáo 75 trang đích'!$B$2:$B$76,$A536)</f>
        <v>https://techcombank.com/thong-tin/blog/ten-dang-nhap-tai-khoan-ngan-hang-la-gi</v>
      </c>
      <c r="C536" s="5" t="str">
        <f t="array" ref="C536">INDEX('Báo cáo 75 trang đích'!$C$2:$C$76,$A536)</f>
        <v>CASA</v>
      </c>
      <c r="D536" s="20" t="s">
        <v>1160</v>
      </c>
      <c r="E536" s="22" t="s">
        <v>182</v>
      </c>
      <c r="F536" s="22" t="s">
        <v>81</v>
      </c>
      <c r="G536" s="22" t="s">
        <v>1329</v>
      </c>
      <c r="H536" s="24" t="s">
        <v>59</v>
      </c>
      <c r="I536" s="24" t="s">
        <v>59</v>
      </c>
      <c r="J536" s="24" t="s">
        <v>60</v>
      </c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6">
        <v>23.0</v>
      </c>
      <c r="B537" s="35" t="str">
        <f t="array" ref="B537">INDEX('Báo cáo 75 trang đích'!$B$2:$B$76,$A537)</f>
        <v>https://techcombank.com/thong-tin/blog/ten-dang-nhap-tai-khoan-ngan-hang-la-gi</v>
      </c>
      <c r="C537" s="5" t="str">
        <f t="array" ref="C537">INDEX('Báo cáo 75 trang đích'!$C$2:$C$76,$A537)</f>
        <v>CASA</v>
      </c>
      <c r="D537" s="20" t="s">
        <v>1232</v>
      </c>
      <c r="E537" s="22" t="s">
        <v>678</v>
      </c>
      <c r="F537" s="22" t="s">
        <v>81</v>
      </c>
      <c r="G537" s="22" t="s">
        <v>1322</v>
      </c>
      <c r="H537" s="24" t="s">
        <v>59</v>
      </c>
      <c r="I537" s="24" t="s">
        <v>59</v>
      </c>
      <c r="J537" s="24" t="s">
        <v>60</v>
      </c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6">
        <v>23.0</v>
      </c>
      <c r="B538" s="35" t="str">
        <f t="array" ref="B538">INDEX('Báo cáo 75 trang đích'!$B$2:$B$76,$A538)</f>
        <v>https://techcombank.com/thong-tin/blog/ten-dang-nhap-tai-khoan-ngan-hang-la-gi</v>
      </c>
      <c r="C538" s="5" t="str">
        <f t="array" ref="C538">INDEX('Báo cáo 75 trang đích'!$C$2:$C$76,$A538)</f>
        <v>CASA</v>
      </c>
      <c r="D538" s="20" t="s">
        <v>408</v>
      </c>
      <c r="E538" s="22" t="s">
        <v>182</v>
      </c>
      <c r="F538" s="22" t="s">
        <v>81</v>
      </c>
      <c r="G538" s="22" t="s">
        <v>1322</v>
      </c>
      <c r="H538" s="24" t="s">
        <v>59</v>
      </c>
      <c r="I538" s="24" t="s">
        <v>59</v>
      </c>
      <c r="J538" s="24" t="s">
        <v>60</v>
      </c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6">
        <v>23.0</v>
      </c>
      <c r="B539" s="35" t="str">
        <f t="array" ref="B539">INDEX('Báo cáo 75 trang đích'!$B$2:$B$76,$A539)</f>
        <v>https://techcombank.com/thong-tin/blog/ten-dang-nhap-tai-khoan-ngan-hang-la-gi</v>
      </c>
      <c r="C539" s="5" t="str">
        <f t="array" ref="C539">INDEX('Báo cáo 75 trang đích'!$C$2:$C$76,$A539)</f>
        <v>CASA</v>
      </c>
      <c r="D539" s="20" t="s">
        <v>278</v>
      </c>
      <c r="E539" s="22" t="s">
        <v>678</v>
      </c>
      <c r="F539" s="22" t="s">
        <v>81</v>
      </c>
      <c r="G539" s="22" t="s">
        <v>1332</v>
      </c>
      <c r="H539" s="24" t="s">
        <v>59</v>
      </c>
      <c r="I539" s="24" t="s">
        <v>59</v>
      </c>
      <c r="J539" s="24" t="s">
        <v>60</v>
      </c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6">
        <v>23.0</v>
      </c>
      <c r="B540" s="35" t="str">
        <f t="array" ref="B540">INDEX('Báo cáo 75 trang đích'!$B$2:$B$76,$A540)</f>
        <v>https://techcombank.com/thong-tin/blog/ten-dang-nhap-tai-khoan-ngan-hang-la-gi</v>
      </c>
      <c r="C540" s="5" t="str">
        <f t="array" ref="C540">INDEX('Báo cáo 75 trang đích'!$C$2:$C$76,$A540)</f>
        <v>CASA</v>
      </c>
      <c r="D540" s="20" t="s">
        <v>280</v>
      </c>
      <c r="E540" s="22" t="s">
        <v>182</v>
      </c>
      <c r="F540" s="22" t="s">
        <v>81</v>
      </c>
      <c r="G540" s="22" t="s">
        <v>1323</v>
      </c>
      <c r="H540" s="24" t="s">
        <v>59</v>
      </c>
      <c r="I540" s="24" t="s">
        <v>59</v>
      </c>
      <c r="J540" s="24" t="s">
        <v>60</v>
      </c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6">
        <v>23.0</v>
      </c>
      <c r="B541" s="35" t="str">
        <f t="array" ref="B541">INDEX('Báo cáo 75 trang đích'!$B$2:$B$76,$A541)</f>
        <v>https://techcombank.com/thong-tin/blog/ten-dang-nhap-tai-khoan-ngan-hang-la-gi</v>
      </c>
      <c r="C541" s="5" t="str">
        <f t="array" ref="C541">INDEX('Báo cáo 75 trang đích'!$C$2:$C$76,$A541)</f>
        <v>CASA</v>
      </c>
      <c r="D541" s="20" t="s">
        <v>882</v>
      </c>
      <c r="E541" s="22" t="s">
        <v>678</v>
      </c>
      <c r="F541" s="22" t="s">
        <v>81</v>
      </c>
      <c r="G541" s="22" t="s">
        <v>1330</v>
      </c>
      <c r="H541" s="24" t="s">
        <v>59</v>
      </c>
      <c r="I541" s="24" t="s">
        <v>59</v>
      </c>
      <c r="J541" s="24" t="s">
        <v>60</v>
      </c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6">
        <v>23.0</v>
      </c>
      <c r="B542" s="35" t="str">
        <f t="array" ref="B542">INDEX('Báo cáo 75 trang đích'!$B$2:$B$76,$A542)</f>
        <v>https://techcombank.com/thong-tin/blog/ten-dang-nhap-tai-khoan-ngan-hang-la-gi</v>
      </c>
      <c r="C542" s="5" t="str">
        <f t="array" ref="C542">INDEX('Báo cáo 75 trang đích'!$C$2:$C$76,$A542)</f>
        <v>CASA</v>
      </c>
      <c r="D542" s="20" t="s">
        <v>470</v>
      </c>
      <c r="E542" s="22" t="s">
        <v>182</v>
      </c>
      <c r="F542" s="22" t="s">
        <v>81</v>
      </c>
      <c r="G542" s="22" t="s">
        <v>1322</v>
      </c>
      <c r="H542" s="24" t="s">
        <v>59</v>
      </c>
      <c r="I542" s="24" t="s">
        <v>59</v>
      </c>
      <c r="J542" s="24" t="s">
        <v>60</v>
      </c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6">
        <v>24.0</v>
      </c>
      <c r="B543" s="35" t="str">
        <f t="array" ref="B543">INDEX('Báo cáo 75 trang đích'!$B$2:$B$76,$A543)</f>
        <v>https://techcombank.com/thong-tin/blog/thue-thu-nhap-ca-nhan</v>
      </c>
      <c r="C543" s="5" t="str">
        <f t="array" ref="C543">INDEX('Báo cáo 75 trang đích'!$C$2:$C$76,$A543)</f>
        <v>CASA</v>
      </c>
      <c r="D543" s="20" t="s">
        <v>123</v>
      </c>
      <c r="E543" s="22" t="s">
        <v>190</v>
      </c>
      <c r="F543" s="22" t="s">
        <v>57</v>
      </c>
      <c r="G543" s="22" t="s">
        <v>1335</v>
      </c>
      <c r="H543" s="24" t="s">
        <v>59</v>
      </c>
      <c r="I543" s="24" t="s">
        <v>59</v>
      </c>
      <c r="J543" s="24" t="s">
        <v>60</v>
      </c>
      <c r="K543" s="22" t="s">
        <v>137</v>
      </c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6">
        <v>24.0</v>
      </c>
      <c r="B544" s="35" t="str">
        <f t="array" ref="B544">INDEX('Báo cáo 75 trang đích'!$B$2:$B$76,$A544)</f>
        <v>https://techcombank.com/thong-tin/blog/thue-thu-nhap-ca-nhan</v>
      </c>
      <c r="C544" s="5" t="str">
        <f t="array" ref="C544">INDEX('Báo cáo 75 trang đích'!$C$2:$C$76,$A544)</f>
        <v>CASA</v>
      </c>
      <c r="D544" s="20" t="s">
        <v>109</v>
      </c>
      <c r="E544" s="22" t="s">
        <v>687</v>
      </c>
      <c r="F544" s="22" t="s">
        <v>76</v>
      </c>
      <c r="G544" s="22" t="s">
        <v>1336</v>
      </c>
      <c r="H544" s="24" t="s">
        <v>59</v>
      </c>
      <c r="I544" s="24" t="s">
        <v>59</v>
      </c>
      <c r="J544" s="24" t="s">
        <v>60</v>
      </c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6">
        <v>24.0</v>
      </c>
      <c r="B545" s="35" t="str">
        <f t="array" ref="B545">INDEX('Báo cáo 75 trang đích'!$B$2:$B$76,$A545)</f>
        <v>https://techcombank.com/thong-tin/blog/thue-thu-nhap-ca-nhan</v>
      </c>
      <c r="C545" s="5" t="str">
        <f t="array" ref="C545">INDEX('Báo cáo 75 trang đích'!$C$2:$C$76,$A545)</f>
        <v>CASA</v>
      </c>
      <c r="D545" s="20" t="s">
        <v>450</v>
      </c>
      <c r="E545" s="22" t="s">
        <v>1337</v>
      </c>
      <c r="F545" s="22" t="s">
        <v>76</v>
      </c>
      <c r="G545" s="22" t="s">
        <v>1338</v>
      </c>
      <c r="H545" s="24" t="s">
        <v>59</v>
      </c>
      <c r="I545" s="24" t="s">
        <v>59</v>
      </c>
      <c r="J545" s="24" t="s">
        <v>60</v>
      </c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6">
        <v>24.0</v>
      </c>
      <c r="B546" s="35" t="str">
        <f t="array" ref="B546">INDEX('Báo cáo 75 trang đích'!$B$2:$B$76,$A546)</f>
        <v>https://techcombank.com/thong-tin/blog/thue-thu-nhap-ca-nhan</v>
      </c>
      <c r="C546" s="5" t="str">
        <f t="array" ref="C546">INDEX('Báo cáo 75 trang đích'!$C$2:$C$76,$A546)</f>
        <v>CASA</v>
      </c>
      <c r="D546" s="20" t="s">
        <v>447</v>
      </c>
      <c r="E546" s="22" t="s">
        <v>190</v>
      </c>
      <c r="F546" s="22" t="s">
        <v>76</v>
      </c>
      <c r="G546" s="22" t="s">
        <v>1339</v>
      </c>
      <c r="H546" s="24" t="s">
        <v>59</v>
      </c>
      <c r="I546" s="24" t="s">
        <v>59</v>
      </c>
      <c r="J546" s="24" t="s">
        <v>60</v>
      </c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6">
        <v>24.0</v>
      </c>
      <c r="B547" s="35" t="str">
        <f t="array" ref="B547">INDEX('Báo cáo 75 trang đích'!$B$2:$B$76,$A547)</f>
        <v>https://techcombank.com/thong-tin/blog/thue-thu-nhap-ca-nhan</v>
      </c>
      <c r="C547" s="5" t="str">
        <f t="array" ref="C547">INDEX('Báo cáo 75 trang đích'!$C$2:$C$76,$A547)</f>
        <v>CASA</v>
      </c>
      <c r="D547" s="20" t="s">
        <v>247</v>
      </c>
      <c r="E547" s="22" t="s">
        <v>687</v>
      </c>
      <c r="F547" s="22" t="s">
        <v>81</v>
      </c>
      <c r="G547" s="22" t="s">
        <v>452</v>
      </c>
      <c r="H547" s="24" t="s">
        <v>59</v>
      </c>
      <c r="I547" s="24" t="s">
        <v>59</v>
      </c>
      <c r="J547" s="24" t="s">
        <v>60</v>
      </c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6">
        <v>24.0</v>
      </c>
      <c r="B548" s="35" t="str">
        <f t="array" ref="B548">INDEX('Báo cáo 75 trang đích'!$B$2:$B$76,$A548)</f>
        <v>https://techcombank.com/thong-tin/blog/thue-thu-nhap-ca-nhan</v>
      </c>
      <c r="C548" s="5" t="str">
        <f t="array" ref="C548">INDEX('Báo cáo 75 trang đích'!$C$2:$C$76,$A548)</f>
        <v>CASA</v>
      </c>
      <c r="D548" s="20" t="s">
        <v>95</v>
      </c>
      <c r="E548" s="22" t="s">
        <v>1337</v>
      </c>
      <c r="F548" s="22" t="s">
        <v>81</v>
      </c>
      <c r="G548" s="22" t="s">
        <v>454</v>
      </c>
      <c r="H548" s="24" t="s">
        <v>59</v>
      </c>
      <c r="I548" s="24" t="s">
        <v>59</v>
      </c>
      <c r="J548" s="24" t="s">
        <v>60</v>
      </c>
      <c r="K548" s="22" t="s">
        <v>97</v>
      </c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6">
        <v>24.0</v>
      </c>
      <c r="B549" s="35" t="str">
        <f t="array" ref="B549">INDEX('Báo cáo 75 trang đích'!$B$2:$B$76,$A549)</f>
        <v>https://techcombank.com/thong-tin/blog/thue-thu-nhap-ca-nhan</v>
      </c>
      <c r="C549" s="5" t="str">
        <f t="array" ref="C549">INDEX('Báo cáo 75 trang đích'!$C$2:$C$76,$A549)</f>
        <v>CASA</v>
      </c>
      <c r="D549" s="20" t="s">
        <v>111</v>
      </c>
      <c r="E549" s="22" t="s">
        <v>190</v>
      </c>
      <c r="F549" s="22" t="s">
        <v>81</v>
      </c>
      <c r="G549" s="22" t="s">
        <v>454</v>
      </c>
      <c r="H549" s="24" t="s">
        <v>59</v>
      </c>
      <c r="I549" s="24" t="s">
        <v>59</v>
      </c>
      <c r="J549" s="24" t="s">
        <v>60</v>
      </c>
      <c r="K549" s="22" t="s">
        <v>97</v>
      </c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6">
        <v>24.0</v>
      </c>
      <c r="B550" s="35" t="str">
        <f t="array" ref="B550">INDEX('Báo cáo 75 trang đích'!$B$2:$B$76,$A550)</f>
        <v>https://techcombank.com/thong-tin/blog/thue-thu-nhap-ca-nhan</v>
      </c>
      <c r="C550" s="5" t="str">
        <f t="array" ref="C550">INDEX('Báo cáo 75 trang đích'!$C$2:$C$76,$A550)</f>
        <v>CASA</v>
      </c>
      <c r="D550" s="20" t="s">
        <v>250</v>
      </c>
      <c r="E550" s="22" t="s">
        <v>687</v>
      </c>
      <c r="F550" s="22" t="s">
        <v>81</v>
      </c>
      <c r="G550" s="22" t="s">
        <v>452</v>
      </c>
      <c r="H550" s="24" t="s">
        <v>59</v>
      </c>
      <c r="I550" s="24" t="s">
        <v>59</v>
      </c>
      <c r="J550" s="24" t="s">
        <v>60</v>
      </c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6">
        <v>24.0</v>
      </c>
      <c r="B551" s="35" t="str">
        <f t="array" ref="B551">INDEX('Báo cáo 75 trang đích'!$B$2:$B$76,$A551)</f>
        <v>https://techcombank.com/thong-tin/blog/thue-thu-nhap-ca-nhan</v>
      </c>
      <c r="C551" s="5" t="str">
        <f t="array" ref="C551">INDEX('Báo cáo 75 trang đích'!$C$2:$C$76,$A551)</f>
        <v>CASA</v>
      </c>
      <c r="D551" s="20" t="s">
        <v>455</v>
      </c>
      <c r="E551" s="22" t="s">
        <v>1337</v>
      </c>
      <c r="F551" s="22" t="s">
        <v>81</v>
      </c>
      <c r="G551" s="22" t="s">
        <v>453</v>
      </c>
      <c r="H551" s="24" t="s">
        <v>59</v>
      </c>
      <c r="I551" s="24" t="s">
        <v>59</v>
      </c>
      <c r="J551" s="24" t="s">
        <v>60</v>
      </c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6">
        <v>24.0</v>
      </c>
      <c r="B552" s="35" t="str">
        <f t="array" ref="B552">INDEX('Báo cáo 75 trang đích'!$B$2:$B$76,$A552)</f>
        <v>https://techcombank.com/thong-tin/blog/thue-thu-nhap-ca-nhan</v>
      </c>
      <c r="C552" s="5" t="str">
        <f t="array" ref="C552">INDEX('Báo cáo 75 trang đích'!$C$2:$C$76,$A552)</f>
        <v>CASA</v>
      </c>
      <c r="D552" s="20" t="s">
        <v>153</v>
      </c>
      <c r="E552" s="22" t="s">
        <v>190</v>
      </c>
      <c r="F552" s="22" t="s">
        <v>81</v>
      </c>
      <c r="G552" s="22" t="s">
        <v>452</v>
      </c>
      <c r="H552" s="24" t="s">
        <v>59</v>
      </c>
      <c r="I552" s="24" t="s">
        <v>59</v>
      </c>
      <c r="J552" s="24" t="s">
        <v>60</v>
      </c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6">
        <v>24.0</v>
      </c>
      <c r="B553" s="35" t="str">
        <f t="array" ref="B553">INDEX('Báo cáo 75 trang đích'!$B$2:$B$76,$A553)</f>
        <v>https://techcombank.com/thong-tin/blog/thue-thu-nhap-ca-nhan</v>
      </c>
      <c r="C553" s="5" t="str">
        <f t="array" ref="C553">INDEX('Báo cáo 75 trang đích'!$C$2:$C$76,$A553)</f>
        <v>CASA</v>
      </c>
      <c r="D553" s="20" t="s">
        <v>456</v>
      </c>
      <c r="E553" s="22" t="s">
        <v>687</v>
      </c>
      <c r="F553" s="22" t="s">
        <v>81</v>
      </c>
      <c r="G553" s="22" t="s">
        <v>453</v>
      </c>
      <c r="H553" s="24" t="s">
        <v>59</v>
      </c>
      <c r="I553" s="24" t="s">
        <v>59</v>
      </c>
      <c r="J553" s="24" t="s">
        <v>60</v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6">
        <v>24.0</v>
      </c>
      <c r="B554" s="35" t="str">
        <f t="array" ref="B554">INDEX('Báo cáo 75 trang đích'!$B$2:$B$76,$A554)</f>
        <v>https://techcombank.com/thong-tin/blog/thue-thu-nhap-ca-nhan</v>
      </c>
      <c r="C554" s="5" t="str">
        <f t="array" ref="C554">INDEX('Báo cáo 75 trang đích'!$C$2:$C$76,$A554)</f>
        <v>CASA</v>
      </c>
      <c r="D554" s="20" t="s">
        <v>441</v>
      </c>
      <c r="E554" s="22" t="s">
        <v>1337</v>
      </c>
      <c r="F554" s="22" t="s">
        <v>81</v>
      </c>
      <c r="G554" s="22" t="s">
        <v>1340</v>
      </c>
      <c r="H554" s="24" t="s">
        <v>59</v>
      </c>
      <c r="I554" s="24" t="s">
        <v>59</v>
      </c>
      <c r="J554" s="24" t="s">
        <v>60</v>
      </c>
      <c r="K554" s="22" t="s">
        <v>97</v>
      </c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6">
        <v>24.0</v>
      </c>
      <c r="B555" s="35" t="str">
        <f t="array" ref="B555">INDEX('Báo cáo 75 trang đích'!$B$2:$B$76,$A555)</f>
        <v>https://techcombank.com/thong-tin/blog/thue-thu-nhap-ca-nhan</v>
      </c>
      <c r="C555" s="5" t="str">
        <f t="array" ref="C555">INDEX('Báo cáo 75 trang đích'!$C$2:$C$76,$A555)</f>
        <v>CASA</v>
      </c>
      <c r="D555" s="20" t="s">
        <v>116</v>
      </c>
      <c r="E555" s="22" t="s">
        <v>190</v>
      </c>
      <c r="F555" s="22" t="s">
        <v>81</v>
      </c>
      <c r="G555" s="22" t="s">
        <v>1341</v>
      </c>
      <c r="H555" s="24" t="s">
        <v>59</v>
      </c>
      <c r="I555" s="24" t="s">
        <v>59</v>
      </c>
      <c r="J555" s="24" t="s">
        <v>60</v>
      </c>
      <c r="K555" s="22" t="s">
        <v>97</v>
      </c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6">
        <v>24.0</v>
      </c>
      <c r="B556" s="35" t="str">
        <f t="array" ref="B556">INDEX('Báo cáo 75 trang đích'!$B$2:$B$76,$A556)</f>
        <v>https://techcombank.com/thong-tin/blog/thue-thu-nhap-ca-nhan</v>
      </c>
      <c r="C556" s="5" t="str">
        <f t="array" ref="C556">INDEX('Báo cáo 75 trang đích'!$C$2:$C$76,$A556)</f>
        <v>CASA</v>
      </c>
      <c r="D556" s="20" t="s">
        <v>458</v>
      </c>
      <c r="E556" s="22" t="s">
        <v>687</v>
      </c>
      <c r="F556" s="22" t="s">
        <v>81</v>
      </c>
      <c r="G556" s="22" t="s">
        <v>453</v>
      </c>
      <c r="H556" s="24" t="s">
        <v>59</v>
      </c>
      <c r="I556" s="24" t="s">
        <v>59</v>
      </c>
      <c r="J556" s="24" t="s">
        <v>60</v>
      </c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6">
        <v>24.0</v>
      </c>
      <c r="B557" s="35" t="str">
        <f t="array" ref="B557">INDEX('Báo cáo 75 trang đích'!$B$2:$B$76,$A557)</f>
        <v>https://techcombank.com/thong-tin/blog/thue-thu-nhap-ca-nhan</v>
      </c>
      <c r="C557" s="5" t="str">
        <f t="array" ref="C557">INDEX('Báo cáo 75 trang đích'!$C$2:$C$76,$A557)</f>
        <v>CASA</v>
      </c>
      <c r="D557" s="20" t="s">
        <v>126</v>
      </c>
      <c r="E557" s="22" t="s">
        <v>1337</v>
      </c>
      <c r="F557" s="22" t="s">
        <v>81</v>
      </c>
      <c r="G557" s="22" t="s">
        <v>459</v>
      </c>
      <c r="H557" s="24" t="s">
        <v>59</v>
      </c>
      <c r="I557" s="24" t="s">
        <v>59</v>
      </c>
      <c r="J557" s="24" t="s">
        <v>60</v>
      </c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6">
        <v>24.0</v>
      </c>
      <c r="B558" s="35" t="str">
        <f t="array" ref="B558">INDEX('Báo cáo 75 trang đích'!$B$2:$B$76,$A558)</f>
        <v>https://techcombank.com/thong-tin/blog/thue-thu-nhap-ca-nhan</v>
      </c>
      <c r="C558" s="5" t="str">
        <f t="array" ref="C558">INDEX('Báo cáo 75 trang đích'!$C$2:$C$76,$A558)</f>
        <v>CASA</v>
      </c>
      <c r="D558" s="20" t="s">
        <v>460</v>
      </c>
      <c r="E558" s="22" t="s">
        <v>190</v>
      </c>
      <c r="F558" s="22" t="s">
        <v>81</v>
      </c>
      <c r="G558" s="22" t="s">
        <v>453</v>
      </c>
      <c r="H558" s="24" t="s">
        <v>59</v>
      </c>
      <c r="I558" s="24" t="s">
        <v>59</v>
      </c>
      <c r="J558" s="24" t="s">
        <v>60</v>
      </c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6">
        <v>24.0</v>
      </c>
      <c r="B559" s="35" t="str">
        <f t="array" ref="B559">INDEX('Báo cáo 75 trang đích'!$B$2:$B$76,$A559)</f>
        <v>https://techcombank.com/thong-tin/blog/thue-thu-nhap-ca-nhan</v>
      </c>
      <c r="C559" s="5" t="str">
        <f t="array" ref="C559">INDEX('Báo cáo 75 trang đích'!$C$2:$C$76,$A559)</f>
        <v>CASA</v>
      </c>
      <c r="D559" s="20" t="s">
        <v>461</v>
      </c>
      <c r="E559" s="22" t="s">
        <v>687</v>
      </c>
      <c r="F559" s="22" t="s">
        <v>81</v>
      </c>
      <c r="G559" s="22" t="s">
        <v>453</v>
      </c>
      <c r="H559" s="24" t="s">
        <v>59</v>
      </c>
      <c r="I559" s="24" t="s">
        <v>59</v>
      </c>
      <c r="J559" s="24" t="s">
        <v>60</v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6">
        <v>25.0</v>
      </c>
      <c r="B560" s="35" t="str">
        <f t="array" ref="B560">INDEX('Báo cáo 75 trang đích'!$B$2:$B$76,$A560)</f>
        <v>https://techcombank.com/thong-tin/blog/rut-tien-bang-ma-qr-la-gi-cach-thuc-hien-nhu-the-nao</v>
      </c>
      <c r="C560" s="5" t="str">
        <f t="array" ref="C560">INDEX('Báo cáo 75 trang đích'!$C$2:$C$76,$A560)</f>
        <v>CASA</v>
      </c>
      <c r="D560" s="20" t="s">
        <v>688</v>
      </c>
      <c r="E560" s="22" t="s">
        <v>195</v>
      </c>
      <c r="F560" s="22" t="s">
        <v>57</v>
      </c>
      <c r="G560" s="22" t="s">
        <v>1342</v>
      </c>
      <c r="H560" s="24" t="s">
        <v>59</v>
      </c>
      <c r="I560" s="24" t="s">
        <v>59</v>
      </c>
      <c r="J560" s="24" t="s">
        <v>60</v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6">
        <v>25.0</v>
      </c>
      <c r="B561" s="35" t="str">
        <f t="array" ref="B561">INDEX('Báo cáo 75 trang đích'!$B$2:$B$76,$A561)</f>
        <v>https://techcombank.com/thong-tin/blog/rut-tien-bang-ma-qr-la-gi-cach-thuc-hien-nhu-the-nao</v>
      </c>
      <c r="C561" s="5" t="str">
        <f t="array" ref="C561">INDEX('Báo cáo 75 trang đích'!$C$2:$C$76,$A561)</f>
        <v>CASA</v>
      </c>
      <c r="D561" s="20" t="s">
        <v>690</v>
      </c>
      <c r="E561" s="22" t="s">
        <v>692</v>
      </c>
      <c r="F561" s="22" t="s">
        <v>57</v>
      </c>
      <c r="G561" s="22" t="s">
        <v>1343</v>
      </c>
      <c r="H561" s="24" t="s">
        <v>59</v>
      </c>
      <c r="I561" s="24" t="s">
        <v>59</v>
      </c>
      <c r="J561" s="24" t="s">
        <v>60</v>
      </c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6">
        <v>25.0</v>
      </c>
      <c r="B562" s="35" t="str">
        <f t="array" ref="B562">INDEX('Báo cáo 75 trang đích'!$B$2:$B$76,$A562)</f>
        <v>https://techcombank.com/thong-tin/blog/rut-tien-bang-ma-qr-la-gi-cach-thuc-hien-nhu-the-nao</v>
      </c>
      <c r="C562" s="5" t="str">
        <f t="array" ref="C562">INDEX('Báo cáo 75 trang đích'!$C$2:$C$76,$A562)</f>
        <v>CASA</v>
      </c>
      <c r="D562" s="20" t="s">
        <v>693</v>
      </c>
      <c r="E562" s="22" t="s">
        <v>696</v>
      </c>
      <c r="F562" s="22" t="s">
        <v>57</v>
      </c>
      <c r="G562" s="22" t="s">
        <v>1344</v>
      </c>
      <c r="H562" s="24" t="s">
        <v>59</v>
      </c>
      <c r="I562" s="24" t="s">
        <v>59</v>
      </c>
      <c r="J562" s="24" t="s">
        <v>60</v>
      </c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6">
        <v>25.0</v>
      </c>
      <c r="B563" s="35" t="str">
        <f t="array" ref="B563">INDEX('Báo cáo 75 trang đích'!$B$2:$B$76,$A563)</f>
        <v>https://techcombank.com/thong-tin/blog/rut-tien-bang-ma-qr-la-gi-cach-thuc-hien-nhu-the-nao</v>
      </c>
      <c r="C563" s="5" t="str">
        <f t="array" ref="C563">INDEX('Báo cáo 75 trang đích'!$C$2:$C$76,$A563)</f>
        <v>CASA</v>
      </c>
      <c r="D563" s="20" t="s">
        <v>697</v>
      </c>
      <c r="E563" s="22" t="s">
        <v>195</v>
      </c>
      <c r="F563" s="22" t="s">
        <v>76</v>
      </c>
      <c r="G563" s="22" t="s">
        <v>1345</v>
      </c>
      <c r="H563" s="24" t="s">
        <v>59</v>
      </c>
      <c r="I563" s="24" t="s">
        <v>59</v>
      </c>
      <c r="J563" s="24" t="s">
        <v>60</v>
      </c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6">
        <v>25.0</v>
      </c>
      <c r="B564" s="35" t="str">
        <f t="array" ref="B564">INDEX('Báo cáo 75 trang đích'!$B$2:$B$76,$A564)</f>
        <v>https://techcombank.com/thong-tin/blog/rut-tien-bang-ma-qr-la-gi-cach-thuc-hien-nhu-the-nao</v>
      </c>
      <c r="C564" s="5" t="str">
        <f t="array" ref="C564">INDEX('Báo cáo 75 trang đích'!$C$2:$C$76,$A564)</f>
        <v>CASA</v>
      </c>
      <c r="D564" s="20" t="s">
        <v>655</v>
      </c>
      <c r="E564" s="22" t="s">
        <v>692</v>
      </c>
      <c r="F564" s="22" t="s">
        <v>76</v>
      </c>
      <c r="G564" s="22" t="s">
        <v>1346</v>
      </c>
      <c r="H564" s="24" t="s">
        <v>59</v>
      </c>
      <c r="I564" s="24" t="s">
        <v>59</v>
      </c>
      <c r="J564" s="24" t="s">
        <v>60</v>
      </c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6">
        <v>25.0</v>
      </c>
      <c r="B565" s="35" t="str">
        <f t="array" ref="B565">INDEX('Báo cáo 75 trang đích'!$B$2:$B$76,$A565)</f>
        <v>https://techcombank.com/thong-tin/blog/rut-tien-bang-ma-qr-la-gi-cach-thuc-hien-nhu-the-nao</v>
      </c>
      <c r="C565" s="5" t="str">
        <f t="array" ref="C565">INDEX('Báo cáo 75 trang đích'!$C$2:$C$76,$A565)</f>
        <v>CASA</v>
      </c>
      <c r="D565" s="20" t="s">
        <v>1347</v>
      </c>
      <c r="E565" s="22" t="s">
        <v>696</v>
      </c>
      <c r="F565" s="22" t="s">
        <v>81</v>
      </c>
      <c r="G565" s="22" t="s">
        <v>1348</v>
      </c>
      <c r="H565" s="24" t="s">
        <v>59</v>
      </c>
      <c r="I565" s="24" t="s">
        <v>59</v>
      </c>
      <c r="J565" s="24" t="s">
        <v>60</v>
      </c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6">
        <v>25.0</v>
      </c>
      <c r="B566" s="35" t="str">
        <f t="array" ref="B566">INDEX('Báo cáo 75 trang đích'!$B$2:$B$76,$A566)</f>
        <v>https://techcombank.com/thong-tin/blog/rut-tien-bang-ma-qr-la-gi-cach-thuc-hien-nhu-the-nao</v>
      </c>
      <c r="C566" s="5" t="str">
        <f t="array" ref="C566">INDEX('Báo cáo 75 trang đích'!$C$2:$C$76,$A566)</f>
        <v>CASA</v>
      </c>
      <c r="D566" s="20" t="s">
        <v>300</v>
      </c>
      <c r="E566" s="22" t="s">
        <v>195</v>
      </c>
      <c r="F566" s="22" t="s">
        <v>81</v>
      </c>
      <c r="G566" s="22" t="s">
        <v>1348</v>
      </c>
      <c r="H566" s="24" t="s">
        <v>59</v>
      </c>
      <c r="I566" s="24" t="s">
        <v>59</v>
      </c>
      <c r="J566" s="24" t="s">
        <v>60</v>
      </c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6">
        <v>25.0</v>
      </c>
      <c r="B567" s="35" t="str">
        <f t="array" ref="B567">INDEX('Báo cáo 75 trang đích'!$B$2:$B$76,$A567)</f>
        <v>https://techcombank.com/thong-tin/blog/rut-tien-bang-ma-qr-la-gi-cach-thuc-hien-nhu-the-nao</v>
      </c>
      <c r="C567" s="5" t="str">
        <f t="array" ref="C567">INDEX('Báo cáo 75 trang đích'!$C$2:$C$76,$A567)</f>
        <v>CASA</v>
      </c>
      <c r="D567" s="20" t="s">
        <v>1012</v>
      </c>
      <c r="E567" s="22" t="s">
        <v>692</v>
      </c>
      <c r="F567" s="22" t="s">
        <v>81</v>
      </c>
      <c r="G567" s="22" t="s">
        <v>1348</v>
      </c>
      <c r="H567" s="24" t="s">
        <v>59</v>
      </c>
      <c r="I567" s="24" t="s">
        <v>59</v>
      </c>
      <c r="J567" s="24" t="s">
        <v>60</v>
      </c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6">
        <v>25.0</v>
      </c>
      <c r="B568" s="35" t="str">
        <f t="array" ref="B568">INDEX('Báo cáo 75 trang đích'!$B$2:$B$76,$A568)</f>
        <v>https://techcombank.com/thong-tin/blog/rut-tien-bang-ma-qr-la-gi-cach-thuc-hien-nhu-the-nao</v>
      </c>
      <c r="C568" s="5" t="str">
        <f t="array" ref="C568">INDEX('Báo cáo 75 trang đích'!$C$2:$C$76,$A568)</f>
        <v>CASA</v>
      </c>
      <c r="D568" s="20" t="s">
        <v>1349</v>
      </c>
      <c r="E568" s="22" t="s">
        <v>696</v>
      </c>
      <c r="F568" s="22" t="s">
        <v>81</v>
      </c>
      <c r="G568" s="22" t="s">
        <v>1348</v>
      </c>
      <c r="H568" s="24" t="s">
        <v>59</v>
      </c>
      <c r="I568" s="24" t="s">
        <v>59</v>
      </c>
      <c r="J568" s="24" t="s">
        <v>60</v>
      </c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6">
        <v>25.0</v>
      </c>
      <c r="B569" s="35" t="str">
        <f t="array" ref="B569">INDEX('Báo cáo 75 trang đích'!$B$2:$B$76,$A569)</f>
        <v>https://techcombank.com/thong-tin/blog/rut-tien-bang-ma-qr-la-gi-cach-thuc-hien-nhu-the-nao</v>
      </c>
      <c r="C569" s="5" t="str">
        <f t="array" ref="C569">INDEX('Báo cáo 75 trang đích'!$C$2:$C$76,$A569)</f>
        <v>CASA</v>
      </c>
      <c r="D569" s="20" t="s">
        <v>1350</v>
      </c>
      <c r="E569" s="22" t="s">
        <v>195</v>
      </c>
      <c r="F569" s="22" t="s">
        <v>81</v>
      </c>
      <c r="G569" s="22" t="s">
        <v>1348</v>
      </c>
      <c r="H569" s="24" t="s">
        <v>59</v>
      </c>
      <c r="I569" s="24" t="s">
        <v>59</v>
      </c>
      <c r="J569" s="24" t="s">
        <v>60</v>
      </c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6">
        <v>25.0</v>
      </c>
      <c r="B570" s="35" t="str">
        <f t="array" ref="B570">INDEX('Báo cáo 75 trang đích'!$B$2:$B$76,$A570)</f>
        <v>https://techcombank.com/thong-tin/blog/rut-tien-bang-ma-qr-la-gi-cach-thuc-hien-nhu-the-nao</v>
      </c>
      <c r="C570" s="5" t="str">
        <f t="array" ref="C570">INDEX('Báo cáo 75 trang đích'!$C$2:$C$76,$A570)</f>
        <v>CASA</v>
      </c>
      <c r="D570" s="20" t="s">
        <v>1351</v>
      </c>
      <c r="E570" s="22" t="s">
        <v>692</v>
      </c>
      <c r="F570" s="22" t="s">
        <v>81</v>
      </c>
      <c r="G570" s="22" t="s">
        <v>1348</v>
      </c>
      <c r="H570" s="24" t="s">
        <v>59</v>
      </c>
      <c r="I570" s="24" t="s">
        <v>59</v>
      </c>
      <c r="J570" s="24" t="s">
        <v>60</v>
      </c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6">
        <v>25.0</v>
      </c>
      <c r="B571" s="35" t="str">
        <f t="array" ref="B571">INDEX('Báo cáo 75 trang đích'!$B$2:$B$76,$A571)</f>
        <v>https://techcombank.com/thong-tin/blog/rut-tien-bang-ma-qr-la-gi-cach-thuc-hien-nhu-the-nao</v>
      </c>
      <c r="C571" s="5" t="str">
        <f t="array" ref="C571">INDEX('Báo cáo 75 trang đích'!$C$2:$C$76,$A571)</f>
        <v>CASA</v>
      </c>
      <c r="D571" s="20" t="s">
        <v>797</v>
      </c>
      <c r="E571" s="22" t="s">
        <v>696</v>
      </c>
      <c r="F571" s="22" t="s">
        <v>81</v>
      </c>
      <c r="G571" s="22" t="s">
        <v>1348</v>
      </c>
      <c r="H571" s="24" t="s">
        <v>59</v>
      </c>
      <c r="I571" s="24" t="s">
        <v>59</v>
      </c>
      <c r="J571" s="24" t="s">
        <v>60</v>
      </c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6">
        <v>25.0</v>
      </c>
      <c r="B572" s="35" t="str">
        <f t="array" ref="B572">INDEX('Báo cáo 75 trang đích'!$B$2:$B$76,$A572)</f>
        <v>https://techcombank.com/thong-tin/blog/rut-tien-bang-ma-qr-la-gi-cach-thuc-hien-nhu-the-nao</v>
      </c>
      <c r="C572" s="5" t="str">
        <f t="array" ref="C572">INDEX('Báo cáo 75 trang đích'!$C$2:$C$76,$A572)</f>
        <v>CASA</v>
      </c>
      <c r="D572" s="20" t="s">
        <v>363</v>
      </c>
      <c r="E572" s="22" t="s">
        <v>195</v>
      </c>
      <c r="F572" s="22" t="s">
        <v>81</v>
      </c>
      <c r="G572" s="22" t="s">
        <v>1352</v>
      </c>
      <c r="H572" s="24" t="s">
        <v>59</v>
      </c>
      <c r="I572" s="24" t="s">
        <v>59</v>
      </c>
      <c r="J572" s="24" t="s">
        <v>60</v>
      </c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6">
        <v>25.0</v>
      </c>
      <c r="B573" s="35" t="str">
        <f t="array" ref="B573">INDEX('Báo cáo 75 trang đích'!$B$2:$B$76,$A573)</f>
        <v>https://techcombank.com/thong-tin/blog/rut-tien-bang-ma-qr-la-gi-cach-thuc-hien-nhu-the-nao</v>
      </c>
      <c r="C573" s="5" t="str">
        <f t="array" ref="C573">INDEX('Báo cáo 75 trang đích'!$C$2:$C$76,$A573)</f>
        <v>CASA</v>
      </c>
      <c r="D573" s="20" t="s">
        <v>1015</v>
      </c>
      <c r="E573" s="22" t="s">
        <v>692</v>
      </c>
      <c r="F573" s="22" t="s">
        <v>81</v>
      </c>
      <c r="G573" s="22" t="s">
        <v>1348</v>
      </c>
      <c r="H573" s="24" t="s">
        <v>59</v>
      </c>
      <c r="I573" s="24" t="s">
        <v>59</v>
      </c>
      <c r="J573" s="24" t="s">
        <v>60</v>
      </c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6">
        <v>25.0</v>
      </c>
      <c r="B574" s="35" t="str">
        <f t="array" ref="B574">INDEX('Báo cáo 75 trang đích'!$B$2:$B$76,$A574)</f>
        <v>https://techcombank.com/thong-tin/blog/rut-tien-bang-ma-qr-la-gi-cach-thuc-hien-nhu-the-nao</v>
      </c>
      <c r="C574" s="5" t="str">
        <f t="array" ref="C574">INDEX('Báo cáo 75 trang đích'!$C$2:$C$76,$A574)</f>
        <v>CASA</v>
      </c>
      <c r="D574" s="20" t="s">
        <v>1165</v>
      </c>
      <c r="E574" s="22" t="s">
        <v>696</v>
      </c>
      <c r="F574" s="22" t="s">
        <v>81</v>
      </c>
      <c r="G574" s="22" t="s">
        <v>1167</v>
      </c>
      <c r="H574" s="24" t="s">
        <v>59</v>
      </c>
      <c r="I574" s="24" t="s">
        <v>59</v>
      </c>
      <c r="J574" s="24" t="s">
        <v>60</v>
      </c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6">
        <v>25.0</v>
      </c>
      <c r="B575" s="35" t="str">
        <f t="array" ref="B575">INDEX('Báo cáo 75 trang đích'!$B$2:$B$76,$A575)</f>
        <v>https://techcombank.com/thong-tin/blog/rut-tien-bang-ma-qr-la-gi-cach-thuc-hien-nhu-the-nao</v>
      </c>
      <c r="C575" s="5" t="str">
        <f t="array" ref="C575">INDEX('Báo cáo 75 trang đích'!$C$2:$C$76,$A575)</f>
        <v>CASA</v>
      </c>
      <c r="D575" s="20" t="s">
        <v>476</v>
      </c>
      <c r="E575" s="22" t="s">
        <v>195</v>
      </c>
      <c r="F575" s="22" t="s">
        <v>81</v>
      </c>
      <c r="G575" s="22" t="s">
        <v>1353</v>
      </c>
      <c r="H575" s="24" t="s">
        <v>59</v>
      </c>
      <c r="I575" s="24" t="s">
        <v>59</v>
      </c>
      <c r="J575" s="24" t="s">
        <v>60</v>
      </c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6">
        <v>25.0</v>
      </c>
      <c r="B576" s="35" t="str">
        <f t="array" ref="B576">INDEX('Báo cáo 75 trang đích'!$B$2:$B$76,$A576)</f>
        <v>https://techcombank.com/thong-tin/blog/rut-tien-bang-ma-qr-la-gi-cach-thuc-hien-nhu-the-nao</v>
      </c>
      <c r="C576" s="5" t="str">
        <f t="array" ref="C576">INDEX('Báo cáo 75 trang đích'!$C$2:$C$76,$A576)</f>
        <v>CASA</v>
      </c>
      <c r="D576" s="20" t="s">
        <v>1354</v>
      </c>
      <c r="E576" s="22" t="s">
        <v>692</v>
      </c>
      <c r="F576" s="22" t="s">
        <v>81</v>
      </c>
      <c r="G576" s="22" t="s">
        <v>1348</v>
      </c>
      <c r="H576" s="24" t="s">
        <v>59</v>
      </c>
      <c r="I576" s="24" t="s">
        <v>59</v>
      </c>
      <c r="J576" s="24" t="s">
        <v>60</v>
      </c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6">
        <v>25.0</v>
      </c>
      <c r="B577" s="35" t="str">
        <f t="array" ref="B577">INDEX('Báo cáo 75 trang đích'!$B$2:$B$76,$A577)</f>
        <v>https://techcombank.com/thong-tin/blog/rut-tien-bang-ma-qr-la-gi-cach-thuc-hien-nhu-the-nao</v>
      </c>
      <c r="C577" s="5" t="str">
        <f t="array" ref="C577">INDEX('Báo cáo 75 trang đích'!$C$2:$C$76,$A577)</f>
        <v>CASA</v>
      </c>
      <c r="D577" s="20" t="s">
        <v>1355</v>
      </c>
      <c r="E577" s="22" t="s">
        <v>696</v>
      </c>
      <c r="F577" s="22" t="s">
        <v>81</v>
      </c>
      <c r="G577" s="22" t="s">
        <v>1348</v>
      </c>
      <c r="H577" s="24" t="s">
        <v>59</v>
      </c>
      <c r="I577" s="24" t="s">
        <v>59</v>
      </c>
      <c r="J577" s="24" t="s">
        <v>60</v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6">
        <v>25.0</v>
      </c>
      <c r="B578" s="35" t="str">
        <f t="array" ref="B578">INDEX('Báo cáo 75 trang đích'!$B$2:$B$76,$A578)</f>
        <v>https://techcombank.com/thong-tin/blog/rut-tien-bang-ma-qr-la-gi-cach-thuc-hien-nhu-the-nao</v>
      </c>
      <c r="C578" s="5" t="str">
        <f t="array" ref="C578">INDEX('Báo cáo 75 trang đích'!$C$2:$C$76,$A578)</f>
        <v>CASA</v>
      </c>
      <c r="D578" s="20" t="s">
        <v>1356</v>
      </c>
      <c r="E578" s="22" t="s">
        <v>195</v>
      </c>
      <c r="F578" s="22" t="s">
        <v>81</v>
      </c>
      <c r="G578" s="22" t="s">
        <v>1348</v>
      </c>
      <c r="H578" s="24" t="s">
        <v>59</v>
      </c>
      <c r="I578" s="24" t="s">
        <v>59</v>
      </c>
      <c r="J578" s="24" t="s">
        <v>60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6">
        <v>25.0</v>
      </c>
      <c r="B579" s="35" t="str">
        <f t="array" ref="B579">INDEX('Báo cáo 75 trang đích'!$B$2:$B$76,$A579)</f>
        <v>https://techcombank.com/thong-tin/blog/rut-tien-bang-ma-qr-la-gi-cach-thuc-hien-nhu-the-nao</v>
      </c>
      <c r="C579" s="5" t="str">
        <f t="array" ref="C579">INDEX('Báo cáo 75 trang đích'!$C$2:$C$76,$A579)</f>
        <v>CASA</v>
      </c>
      <c r="D579" s="20" t="s">
        <v>345</v>
      </c>
      <c r="E579" s="22" t="s">
        <v>692</v>
      </c>
      <c r="F579" s="22" t="s">
        <v>81</v>
      </c>
      <c r="G579" s="22" t="s">
        <v>1352</v>
      </c>
      <c r="H579" s="24" t="s">
        <v>59</v>
      </c>
      <c r="I579" s="24" t="s">
        <v>59</v>
      </c>
      <c r="J579" s="24" t="s">
        <v>60</v>
      </c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6">
        <v>25.0</v>
      </c>
      <c r="B580" s="35" t="str">
        <f t="array" ref="B580">INDEX('Báo cáo 75 trang đích'!$B$2:$B$76,$A580)</f>
        <v>https://techcombank.com/thong-tin/blog/rut-tien-bang-ma-qr-la-gi-cach-thuc-hien-nhu-the-nao</v>
      </c>
      <c r="C580" s="5" t="str">
        <f t="array" ref="C580">INDEX('Báo cáo 75 trang đích'!$C$2:$C$76,$A580)</f>
        <v>CASA</v>
      </c>
      <c r="D580" s="20" t="s">
        <v>1357</v>
      </c>
      <c r="E580" s="22" t="s">
        <v>696</v>
      </c>
      <c r="F580" s="22" t="s">
        <v>81</v>
      </c>
      <c r="G580" s="22" t="s">
        <v>1348</v>
      </c>
      <c r="H580" s="24" t="s">
        <v>59</v>
      </c>
      <c r="I580" s="24" t="s">
        <v>59</v>
      </c>
      <c r="J580" s="24" t="s">
        <v>60</v>
      </c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6">
        <v>25.0</v>
      </c>
      <c r="B581" s="35" t="str">
        <f t="array" ref="B581">INDEX('Báo cáo 75 trang đích'!$B$2:$B$76,$A581)</f>
        <v>https://techcombank.com/thong-tin/blog/rut-tien-bang-ma-qr-la-gi-cach-thuc-hien-nhu-the-nao</v>
      </c>
      <c r="C581" s="5" t="str">
        <f t="array" ref="C581">INDEX('Báo cáo 75 trang đích'!$C$2:$C$76,$A581)</f>
        <v>CASA</v>
      </c>
      <c r="D581" s="20" t="s">
        <v>1358</v>
      </c>
      <c r="E581" s="22" t="s">
        <v>195</v>
      </c>
      <c r="F581" s="22" t="s">
        <v>81</v>
      </c>
      <c r="G581" s="22" t="s">
        <v>1348</v>
      </c>
      <c r="H581" s="24" t="s">
        <v>59</v>
      </c>
      <c r="I581" s="24" t="s">
        <v>59</v>
      </c>
      <c r="J581" s="24" t="s">
        <v>60</v>
      </c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6">
        <v>25.0</v>
      </c>
      <c r="B582" s="35" t="str">
        <f t="array" ref="B582">INDEX('Báo cáo 75 trang đích'!$B$2:$B$76,$A582)</f>
        <v>https://techcombank.com/thong-tin/blog/rut-tien-bang-ma-qr-la-gi-cach-thuc-hien-nhu-the-nao</v>
      </c>
      <c r="C582" s="5" t="str">
        <f t="array" ref="C582">INDEX('Báo cáo 75 trang đích'!$C$2:$C$76,$A582)</f>
        <v>CASA</v>
      </c>
      <c r="D582" s="20" t="s">
        <v>1021</v>
      </c>
      <c r="E582" s="22" t="s">
        <v>692</v>
      </c>
      <c r="F582" s="22" t="s">
        <v>81</v>
      </c>
      <c r="G582" s="22" t="s">
        <v>1348</v>
      </c>
      <c r="H582" s="24" t="s">
        <v>59</v>
      </c>
      <c r="I582" s="24" t="s">
        <v>59</v>
      </c>
      <c r="J582" s="24" t="s">
        <v>60</v>
      </c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6">
        <v>25.0</v>
      </c>
      <c r="B583" s="35" t="str">
        <f t="array" ref="B583">INDEX('Báo cáo 75 trang đích'!$B$2:$B$76,$A583)</f>
        <v>https://techcombank.com/thong-tin/blog/rut-tien-bang-ma-qr-la-gi-cach-thuc-hien-nhu-the-nao</v>
      </c>
      <c r="C583" s="5" t="str">
        <f t="array" ref="C583">INDEX('Báo cáo 75 trang đích'!$C$2:$C$76,$A583)</f>
        <v>CASA</v>
      </c>
      <c r="D583" s="20" t="s">
        <v>814</v>
      </c>
      <c r="E583" s="22" t="s">
        <v>696</v>
      </c>
      <c r="F583" s="22" t="s">
        <v>81</v>
      </c>
      <c r="G583" s="22" t="s">
        <v>1348</v>
      </c>
      <c r="H583" s="24" t="s">
        <v>59</v>
      </c>
      <c r="I583" s="24" t="s">
        <v>59</v>
      </c>
      <c r="J583" s="24" t="s">
        <v>60</v>
      </c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6">
        <v>25.0</v>
      </c>
      <c r="B584" s="35" t="str">
        <f t="array" ref="B584">INDEX('Báo cáo 75 trang đích'!$B$2:$B$76,$A584)</f>
        <v>https://techcombank.com/thong-tin/blog/rut-tien-bang-ma-qr-la-gi-cach-thuc-hien-nhu-the-nao</v>
      </c>
      <c r="C584" s="5" t="str">
        <f t="array" ref="C584">INDEX('Báo cáo 75 trang đích'!$C$2:$C$76,$A584)</f>
        <v>CASA</v>
      </c>
      <c r="D584" s="20" t="s">
        <v>1359</v>
      </c>
      <c r="E584" s="22" t="s">
        <v>195</v>
      </c>
      <c r="F584" s="22" t="s">
        <v>81</v>
      </c>
      <c r="G584" s="22" t="s">
        <v>1348</v>
      </c>
      <c r="H584" s="24" t="s">
        <v>59</v>
      </c>
      <c r="I584" s="24" t="s">
        <v>59</v>
      </c>
      <c r="J584" s="24" t="s">
        <v>60</v>
      </c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6">
        <v>25.0</v>
      </c>
      <c r="B585" s="35" t="str">
        <f t="array" ref="B585">INDEX('Báo cáo 75 trang đích'!$B$2:$B$76,$A585)</f>
        <v>https://techcombank.com/thong-tin/blog/rut-tien-bang-ma-qr-la-gi-cach-thuc-hien-nhu-the-nao</v>
      </c>
      <c r="C585" s="5" t="str">
        <f t="array" ref="C585">INDEX('Báo cáo 75 trang đích'!$C$2:$C$76,$A585)</f>
        <v>CASA</v>
      </c>
      <c r="D585" s="20" t="s">
        <v>1009</v>
      </c>
      <c r="E585" s="22" t="s">
        <v>692</v>
      </c>
      <c r="F585" s="22" t="s">
        <v>81</v>
      </c>
      <c r="G585" s="22" t="s">
        <v>1167</v>
      </c>
      <c r="H585" s="24" t="s">
        <v>59</v>
      </c>
      <c r="I585" s="24" t="s">
        <v>59</v>
      </c>
      <c r="J585" s="24" t="s">
        <v>60</v>
      </c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6">
        <v>25.0</v>
      </c>
      <c r="B586" s="35" t="str">
        <f t="array" ref="B586">INDEX('Báo cáo 75 trang đích'!$B$2:$B$76,$A586)</f>
        <v>https://techcombank.com/thong-tin/blog/rut-tien-bang-ma-qr-la-gi-cach-thuc-hien-nhu-the-nao</v>
      </c>
      <c r="C586" s="5" t="str">
        <f t="array" ref="C586">INDEX('Báo cáo 75 trang đích'!$C$2:$C$76,$A586)</f>
        <v>CASA</v>
      </c>
      <c r="D586" s="20" t="s">
        <v>147</v>
      </c>
      <c r="E586" s="22" t="s">
        <v>696</v>
      </c>
      <c r="F586" s="22" t="s">
        <v>81</v>
      </c>
      <c r="G586" s="22" t="s">
        <v>1167</v>
      </c>
      <c r="H586" s="24" t="s">
        <v>59</v>
      </c>
      <c r="I586" s="24" t="s">
        <v>59</v>
      </c>
      <c r="J586" s="24" t="s">
        <v>60</v>
      </c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6">
        <v>25.0</v>
      </c>
      <c r="B587" s="35" t="str">
        <f t="array" ref="B587">INDEX('Báo cáo 75 trang đích'!$B$2:$B$76,$A587)</f>
        <v>https://techcombank.com/thong-tin/blog/rut-tien-bang-ma-qr-la-gi-cach-thuc-hien-nhu-the-nao</v>
      </c>
      <c r="C587" s="5" t="str">
        <f t="array" ref="C587">INDEX('Báo cáo 75 trang đích'!$C$2:$C$76,$A587)</f>
        <v>CASA</v>
      </c>
      <c r="D587" s="20" t="s">
        <v>1360</v>
      </c>
      <c r="E587" s="22" t="s">
        <v>195</v>
      </c>
      <c r="F587" s="22" t="s">
        <v>81</v>
      </c>
      <c r="G587" s="22" t="s">
        <v>1348</v>
      </c>
      <c r="H587" s="24" t="s">
        <v>59</v>
      </c>
      <c r="I587" s="24" t="s">
        <v>59</v>
      </c>
      <c r="J587" s="24" t="s">
        <v>60</v>
      </c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6">
        <v>25.0</v>
      </c>
      <c r="B588" s="35" t="str">
        <f t="array" ref="B588">INDEX('Báo cáo 75 trang đích'!$B$2:$B$76,$A588)</f>
        <v>https://techcombank.com/thong-tin/blog/rut-tien-bang-ma-qr-la-gi-cach-thuc-hien-nhu-the-nao</v>
      </c>
      <c r="C588" s="5" t="str">
        <f t="array" ref="C588">INDEX('Báo cáo 75 trang đích'!$C$2:$C$76,$A588)</f>
        <v>CASA</v>
      </c>
      <c r="D588" s="20" t="s">
        <v>637</v>
      </c>
      <c r="E588" s="22" t="s">
        <v>692</v>
      </c>
      <c r="F588" s="22" t="s">
        <v>81</v>
      </c>
      <c r="G588" s="22" t="s">
        <v>1167</v>
      </c>
      <c r="H588" s="24" t="s">
        <v>59</v>
      </c>
      <c r="I588" s="24" t="s">
        <v>59</v>
      </c>
      <c r="J588" s="24" t="s">
        <v>60</v>
      </c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6">
        <v>25.0</v>
      </c>
      <c r="B589" s="35" t="str">
        <f t="array" ref="B589">INDEX('Báo cáo 75 trang đích'!$B$2:$B$76,$A589)</f>
        <v>https://techcombank.com/thong-tin/blog/rut-tien-bang-ma-qr-la-gi-cach-thuc-hien-nhu-the-nao</v>
      </c>
      <c r="C589" s="5" t="str">
        <f t="array" ref="C589">INDEX('Báo cáo 75 trang đích'!$C$2:$C$76,$A589)</f>
        <v>CASA</v>
      </c>
      <c r="D589" s="20" t="s">
        <v>1184</v>
      </c>
      <c r="E589" s="22" t="s">
        <v>696</v>
      </c>
      <c r="F589" s="22" t="s">
        <v>81</v>
      </c>
      <c r="G589" s="22" t="s">
        <v>1167</v>
      </c>
      <c r="H589" s="24" t="s">
        <v>59</v>
      </c>
      <c r="I589" s="24" t="s">
        <v>59</v>
      </c>
      <c r="J589" s="24" t="s">
        <v>60</v>
      </c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6">
        <v>25.0</v>
      </c>
      <c r="B590" s="35" t="str">
        <f t="array" ref="B590">INDEX('Báo cáo 75 trang đích'!$B$2:$B$76,$A590)</f>
        <v>https://techcombank.com/thong-tin/blog/rut-tien-bang-ma-qr-la-gi-cach-thuc-hien-nhu-the-nao</v>
      </c>
      <c r="C590" s="5" t="str">
        <f t="array" ref="C590">INDEX('Báo cáo 75 trang đích'!$C$2:$C$76,$A590)</f>
        <v>CASA</v>
      </c>
      <c r="D590" s="20" t="s">
        <v>1016</v>
      </c>
      <c r="E590" s="22" t="s">
        <v>195</v>
      </c>
      <c r="F590" s="22" t="s">
        <v>81</v>
      </c>
      <c r="G590" s="22" t="s">
        <v>1352</v>
      </c>
      <c r="H590" s="24" t="s">
        <v>59</v>
      </c>
      <c r="I590" s="24" t="s">
        <v>59</v>
      </c>
      <c r="J590" s="24" t="s">
        <v>60</v>
      </c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6">
        <v>25.0</v>
      </c>
      <c r="B591" s="35" t="str">
        <f t="array" ref="B591">INDEX('Báo cáo 75 trang đích'!$B$2:$B$76,$A591)</f>
        <v>https://techcombank.com/thong-tin/blog/rut-tien-bang-ma-qr-la-gi-cach-thuc-hien-nhu-the-nao</v>
      </c>
      <c r="C591" s="5" t="str">
        <f t="array" ref="C591">INDEX('Báo cáo 75 trang đích'!$C$2:$C$76,$A591)</f>
        <v>CASA</v>
      </c>
      <c r="D591" s="20" t="s">
        <v>1019</v>
      </c>
      <c r="E591" s="22" t="s">
        <v>692</v>
      </c>
      <c r="F591" s="22" t="s">
        <v>81</v>
      </c>
      <c r="G591" s="22" t="s">
        <v>1348</v>
      </c>
      <c r="H591" s="24" t="s">
        <v>59</v>
      </c>
      <c r="I591" s="24" t="s">
        <v>59</v>
      </c>
      <c r="J591" s="24" t="s">
        <v>60</v>
      </c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6">
        <v>25.0</v>
      </c>
      <c r="B592" s="35" t="str">
        <f t="array" ref="B592">INDEX('Báo cáo 75 trang đích'!$B$2:$B$76,$A592)</f>
        <v>https://techcombank.com/thong-tin/blog/rut-tien-bang-ma-qr-la-gi-cach-thuc-hien-nhu-the-nao</v>
      </c>
      <c r="C592" s="5" t="str">
        <f t="array" ref="C592">INDEX('Báo cáo 75 trang đích'!$C$2:$C$76,$A592)</f>
        <v>CASA</v>
      </c>
      <c r="D592" s="20" t="s">
        <v>987</v>
      </c>
      <c r="E592" s="22" t="s">
        <v>696</v>
      </c>
      <c r="F592" s="22" t="s">
        <v>81</v>
      </c>
      <c r="G592" s="22" t="s">
        <v>1167</v>
      </c>
      <c r="H592" s="24" t="s">
        <v>59</v>
      </c>
      <c r="I592" s="24" t="s">
        <v>59</v>
      </c>
      <c r="J592" s="24" t="s">
        <v>60</v>
      </c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6">
        <v>25.0</v>
      </c>
      <c r="B593" s="35" t="str">
        <f t="array" ref="B593">INDEX('Báo cáo 75 trang đích'!$B$2:$B$76,$A593)</f>
        <v>https://techcombank.com/thong-tin/blog/rut-tien-bang-ma-qr-la-gi-cach-thuc-hien-nhu-the-nao</v>
      </c>
      <c r="C593" s="5" t="str">
        <f t="array" ref="C593">INDEX('Báo cáo 75 trang đích'!$C$2:$C$76,$A593)</f>
        <v>CASA</v>
      </c>
      <c r="D593" s="20" t="s">
        <v>738</v>
      </c>
      <c r="E593" s="22" t="s">
        <v>195</v>
      </c>
      <c r="F593" s="22" t="s">
        <v>81</v>
      </c>
      <c r="G593" s="22" t="s">
        <v>1352</v>
      </c>
      <c r="H593" s="24" t="s">
        <v>59</v>
      </c>
      <c r="I593" s="24" t="s">
        <v>59</v>
      </c>
      <c r="J593" s="24" t="s">
        <v>60</v>
      </c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6">
        <v>25.0</v>
      </c>
      <c r="B594" s="35" t="str">
        <f t="array" ref="B594">INDEX('Báo cáo 75 trang đích'!$B$2:$B$76,$A594)</f>
        <v>https://techcombank.com/thong-tin/blog/rut-tien-bang-ma-qr-la-gi-cach-thuc-hien-nhu-the-nao</v>
      </c>
      <c r="C594" s="5" t="str">
        <f t="array" ref="C594">INDEX('Báo cáo 75 trang đích'!$C$2:$C$76,$A594)</f>
        <v>CASA</v>
      </c>
      <c r="D594" s="20" t="s">
        <v>334</v>
      </c>
      <c r="E594" s="22" t="s">
        <v>692</v>
      </c>
      <c r="F594" s="22" t="s">
        <v>81</v>
      </c>
      <c r="G594" s="22" t="s">
        <v>1352</v>
      </c>
      <c r="H594" s="24" t="s">
        <v>59</v>
      </c>
      <c r="I594" s="24" t="s">
        <v>59</v>
      </c>
      <c r="J594" s="24" t="s">
        <v>60</v>
      </c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6">
        <v>25.0</v>
      </c>
      <c r="B595" s="35" t="str">
        <f t="array" ref="B595">INDEX('Báo cáo 75 trang đích'!$B$2:$B$76,$A595)</f>
        <v>https://techcombank.com/thong-tin/blog/rut-tien-bang-ma-qr-la-gi-cach-thuc-hien-nhu-the-nao</v>
      </c>
      <c r="C595" s="5" t="str">
        <f t="array" ref="C595">INDEX('Báo cáo 75 trang đích'!$C$2:$C$76,$A595)</f>
        <v>CASA</v>
      </c>
      <c r="D595" s="20" t="s">
        <v>215</v>
      </c>
      <c r="E595" s="22" t="s">
        <v>696</v>
      </c>
      <c r="F595" s="22" t="s">
        <v>81</v>
      </c>
      <c r="G595" s="22" t="s">
        <v>1167</v>
      </c>
      <c r="H595" s="24" t="s">
        <v>59</v>
      </c>
      <c r="I595" s="24" t="s">
        <v>59</v>
      </c>
      <c r="J595" s="24" t="s">
        <v>60</v>
      </c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6">
        <v>25.0</v>
      </c>
      <c r="B596" s="35" t="str">
        <f t="array" ref="B596">INDEX('Báo cáo 75 trang đích'!$B$2:$B$76,$A596)</f>
        <v>https://techcombank.com/thong-tin/blog/rut-tien-bang-ma-qr-la-gi-cach-thuc-hien-nhu-the-nao</v>
      </c>
      <c r="C596" s="5" t="str">
        <f t="array" ref="C596">INDEX('Báo cáo 75 trang đích'!$C$2:$C$76,$A596)</f>
        <v>CASA</v>
      </c>
      <c r="D596" s="20" t="s">
        <v>1361</v>
      </c>
      <c r="E596" s="22" t="s">
        <v>195</v>
      </c>
      <c r="F596" s="22" t="s">
        <v>81</v>
      </c>
      <c r="G596" s="22" t="s">
        <v>1348</v>
      </c>
      <c r="H596" s="24" t="s">
        <v>59</v>
      </c>
      <c r="I596" s="24" t="s">
        <v>59</v>
      </c>
      <c r="J596" s="24" t="s">
        <v>60</v>
      </c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6">
        <v>25.0</v>
      </c>
      <c r="B597" s="35" t="str">
        <f t="array" ref="B597">INDEX('Báo cáo 75 trang đích'!$B$2:$B$76,$A597)</f>
        <v>https://techcombank.com/thong-tin/blog/rut-tien-bang-ma-qr-la-gi-cach-thuc-hien-nhu-the-nao</v>
      </c>
      <c r="C597" s="5" t="str">
        <f t="array" ref="C597">INDEX('Báo cáo 75 trang đích'!$C$2:$C$76,$A597)</f>
        <v>CASA</v>
      </c>
      <c r="D597" s="20" t="s">
        <v>1208</v>
      </c>
      <c r="E597" s="22" t="s">
        <v>692</v>
      </c>
      <c r="F597" s="22" t="s">
        <v>81</v>
      </c>
      <c r="G597" s="22" t="s">
        <v>1167</v>
      </c>
      <c r="H597" s="24" t="s">
        <v>59</v>
      </c>
      <c r="I597" s="24" t="s">
        <v>59</v>
      </c>
      <c r="J597" s="24" t="s">
        <v>60</v>
      </c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6">
        <v>25.0</v>
      </c>
      <c r="B598" s="35" t="str">
        <f t="array" ref="B598">INDEX('Báo cáo 75 trang đích'!$B$2:$B$76,$A598)</f>
        <v>https://techcombank.com/thong-tin/blog/rut-tien-bang-ma-qr-la-gi-cach-thuc-hien-nhu-the-nao</v>
      </c>
      <c r="C598" s="5" t="str">
        <f t="array" ref="C598">INDEX('Báo cáo 75 trang đích'!$C$2:$C$76,$A598)</f>
        <v>CASA</v>
      </c>
      <c r="D598" s="20" t="s">
        <v>849</v>
      </c>
      <c r="E598" s="22" t="s">
        <v>696</v>
      </c>
      <c r="F598" s="22" t="s">
        <v>81</v>
      </c>
      <c r="G598" s="22" t="s">
        <v>1348</v>
      </c>
      <c r="H598" s="24" t="s">
        <v>59</v>
      </c>
      <c r="I598" s="24" t="s">
        <v>59</v>
      </c>
      <c r="J598" s="24" t="s">
        <v>60</v>
      </c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6">
        <v>25.0</v>
      </c>
      <c r="B599" s="35" t="str">
        <f t="array" ref="B599">INDEX('Báo cáo 75 trang đích'!$B$2:$B$76,$A599)</f>
        <v>https://techcombank.com/thong-tin/blog/rut-tien-bang-ma-qr-la-gi-cach-thuc-hien-nhu-the-nao</v>
      </c>
      <c r="C599" s="5" t="str">
        <f t="array" ref="C599">INDEX('Báo cáo 75 trang đích'!$C$2:$C$76,$A599)</f>
        <v>CASA</v>
      </c>
      <c r="D599" s="20" t="s">
        <v>1221</v>
      </c>
      <c r="E599" s="22" t="s">
        <v>195</v>
      </c>
      <c r="F599" s="22" t="s">
        <v>81</v>
      </c>
      <c r="G599" s="22" t="s">
        <v>1167</v>
      </c>
      <c r="H599" s="24" t="s">
        <v>59</v>
      </c>
      <c r="I599" s="24" t="s">
        <v>59</v>
      </c>
      <c r="J599" s="24" t="s">
        <v>60</v>
      </c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6">
        <v>25.0</v>
      </c>
      <c r="B600" s="35" t="str">
        <f t="array" ref="B600">INDEX('Báo cáo 75 trang đích'!$B$2:$B$76,$A600)</f>
        <v>https://techcombank.com/thong-tin/blog/rut-tien-bang-ma-qr-la-gi-cach-thuc-hien-nhu-the-nao</v>
      </c>
      <c r="C600" s="5" t="str">
        <f t="array" ref="C600">INDEX('Báo cáo 75 trang đích'!$C$2:$C$76,$A600)</f>
        <v>CASA</v>
      </c>
      <c r="D600" s="20" t="s">
        <v>752</v>
      </c>
      <c r="E600" s="22" t="s">
        <v>692</v>
      </c>
      <c r="F600" s="22" t="s">
        <v>81</v>
      </c>
      <c r="G600" s="22" t="s">
        <v>1352</v>
      </c>
      <c r="H600" s="24" t="s">
        <v>59</v>
      </c>
      <c r="I600" s="24" t="s">
        <v>59</v>
      </c>
      <c r="J600" s="24" t="s">
        <v>60</v>
      </c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6">
        <v>25.0</v>
      </c>
      <c r="B601" s="35" t="str">
        <f t="array" ref="B601">INDEX('Báo cáo 75 trang đích'!$B$2:$B$76,$A601)</f>
        <v>https://techcombank.com/thong-tin/blog/rut-tien-bang-ma-qr-la-gi-cach-thuc-hien-nhu-the-nao</v>
      </c>
      <c r="C601" s="5" t="str">
        <f t="array" ref="C601">INDEX('Báo cáo 75 trang đích'!$C$2:$C$76,$A601)</f>
        <v>CASA</v>
      </c>
      <c r="D601" s="20" t="s">
        <v>786</v>
      </c>
      <c r="E601" s="22" t="s">
        <v>696</v>
      </c>
      <c r="F601" s="22" t="s">
        <v>81</v>
      </c>
      <c r="G601" s="22" t="s">
        <v>1352</v>
      </c>
      <c r="H601" s="24" t="s">
        <v>59</v>
      </c>
      <c r="I601" s="24" t="s">
        <v>59</v>
      </c>
      <c r="J601" s="24" t="s">
        <v>60</v>
      </c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6">
        <v>25.0</v>
      </c>
      <c r="B602" s="35" t="str">
        <f t="array" ref="B602">INDEX('Báo cáo 75 trang đích'!$B$2:$B$76,$A602)</f>
        <v>https://techcombank.com/thong-tin/blog/rut-tien-bang-ma-qr-la-gi-cach-thuc-hien-nhu-the-nao</v>
      </c>
      <c r="C602" s="5" t="str">
        <f t="array" ref="C602">INDEX('Báo cáo 75 trang đích'!$C$2:$C$76,$A602)</f>
        <v>CASA</v>
      </c>
      <c r="D602" s="20" t="s">
        <v>982</v>
      </c>
      <c r="E602" s="22" t="s">
        <v>195</v>
      </c>
      <c r="F602" s="22" t="s">
        <v>81</v>
      </c>
      <c r="G602" s="22" t="s">
        <v>1167</v>
      </c>
      <c r="H602" s="24" t="s">
        <v>59</v>
      </c>
      <c r="I602" s="24" t="s">
        <v>59</v>
      </c>
      <c r="J602" s="24" t="s">
        <v>60</v>
      </c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6">
        <v>25.0</v>
      </c>
      <c r="B603" s="35" t="str">
        <f t="array" ref="B603">INDEX('Báo cáo 75 trang đích'!$B$2:$B$76,$A603)</f>
        <v>https://techcombank.com/thong-tin/blog/rut-tien-bang-ma-qr-la-gi-cach-thuc-hien-nhu-the-nao</v>
      </c>
      <c r="C603" s="5" t="str">
        <f t="array" ref="C603">INDEX('Báo cáo 75 trang đích'!$C$2:$C$76,$A603)</f>
        <v>CASA</v>
      </c>
      <c r="D603" s="20" t="s">
        <v>1232</v>
      </c>
      <c r="E603" s="22" t="s">
        <v>692</v>
      </c>
      <c r="F603" s="22" t="s">
        <v>81</v>
      </c>
      <c r="G603" s="22" t="s">
        <v>1167</v>
      </c>
      <c r="H603" s="24" t="s">
        <v>59</v>
      </c>
      <c r="I603" s="24" t="s">
        <v>59</v>
      </c>
      <c r="J603" s="24" t="s">
        <v>60</v>
      </c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6">
        <v>25.0</v>
      </c>
      <c r="B604" s="35" t="str">
        <f t="array" ref="B604">INDEX('Báo cáo 75 trang đích'!$B$2:$B$76,$A604)</f>
        <v>https://techcombank.com/thong-tin/blog/rut-tien-bang-ma-qr-la-gi-cach-thuc-hien-nhu-the-nao</v>
      </c>
      <c r="C604" s="5" t="str">
        <f t="array" ref="C604">INDEX('Báo cáo 75 trang đích'!$C$2:$C$76,$A604)</f>
        <v>CASA</v>
      </c>
      <c r="D604" s="20" t="s">
        <v>1362</v>
      </c>
      <c r="E604" s="22" t="s">
        <v>696</v>
      </c>
      <c r="F604" s="22" t="s">
        <v>81</v>
      </c>
      <c r="G604" s="22" t="s">
        <v>1352</v>
      </c>
      <c r="H604" s="24" t="s">
        <v>59</v>
      </c>
      <c r="I604" s="24" t="s">
        <v>59</v>
      </c>
      <c r="J604" s="24" t="s">
        <v>60</v>
      </c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6">
        <v>25.0</v>
      </c>
      <c r="B605" s="35" t="str">
        <f t="array" ref="B605">INDEX('Báo cáo 75 trang đích'!$B$2:$B$76,$A605)</f>
        <v>https://techcombank.com/thong-tin/blog/rut-tien-bang-ma-qr-la-gi-cach-thuc-hien-nhu-the-nao</v>
      </c>
      <c r="C605" s="5" t="str">
        <f t="array" ref="C605">INDEX('Báo cáo 75 trang đích'!$C$2:$C$76,$A605)</f>
        <v>CASA</v>
      </c>
      <c r="D605" s="20" t="s">
        <v>853</v>
      </c>
      <c r="E605" s="22" t="s">
        <v>195</v>
      </c>
      <c r="F605" s="22" t="s">
        <v>81</v>
      </c>
      <c r="G605" s="22" t="s">
        <v>1352</v>
      </c>
      <c r="H605" s="24" t="s">
        <v>59</v>
      </c>
      <c r="I605" s="24" t="s">
        <v>59</v>
      </c>
      <c r="J605" s="24" t="s">
        <v>60</v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6">
        <v>25.0</v>
      </c>
      <c r="B606" s="35" t="str">
        <f t="array" ref="B606">INDEX('Báo cáo 75 trang đích'!$B$2:$B$76,$A606)</f>
        <v>https://techcombank.com/thong-tin/blog/rut-tien-bang-ma-qr-la-gi-cach-thuc-hien-nhu-the-nao</v>
      </c>
      <c r="C606" s="5" t="str">
        <f t="array" ref="C606">INDEX('Báo cáo 75 trang đích'!$C$2:$C$76,$A606)</f>
        <v>CASA</v>
      </c>
      <c r="D606" s="20" t="s">
        <v>1236</v>
      </c>
      <c r="E606" s="22" t="s">
        <v>692</v>
      </c>
      <c r="F606" s="22" t="s">
        <v>81</v>
      </c>
      <c r="G606" s="22" t="s">
        <v>1167</v>
      </c>
      <c r="H606" s="24" t="s">
        <v>59</v>
      </c>
      <c r="I606" s="24" t="s">
        <v>59</v>
      </c>
      <c r="J606" s="24" t="s">
        <v>60</v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6">
        <v>25.0</v>
      </c>
      <c r="B607" s="35" t="str">
        <f t="array" ref="B607">INDEX('Báo cáo 75 trang đích'!$B$2:$B$76,$A607)</f>
        <v>https://techcombank.com/thong-tin/blog/rut-tien-bang-ma-qr-la-gi-cach-thuc-hien-nhu-the-nao</v>
      </c>
      <c r="C607" s="5" t="str">
        <f t="array" ref="C607">INDEX('Báo cáo 75 trang đích'!$C$2:$C$76,$A607)</f>
        <v>CASA</v>
      </c>
      <c r="D607" s="20" t="s">
        <v>505</v>
      </c>
      <c r="E607" s="22" t="s">
        <v>696</v>
      </c>
      <c r="F607" s="22" t="s">
        <v>81</v>
      </c>
      <c r="G607" s="22" t="s">
        <v>1167</v>
      </c>
      <c r="H607" s="24" t="s">
        <v>59</v>
      </c>
      <c r="I607" s="24" t="s">
        <v>59</v>
      </c>
      <c r="J607" s="24" t="s">
        <v>60</v>
      </c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6">
        <v>25.0</v>
      </c>
      <c r="B608" s="35" t="str">
        <f t="array" ref="B608">INDEX('Báo cáo 75 trang đích'!$B$2:$B$76,$A608)</f>
        <v>https://techcombank.com/thong-tin/blog/rut-tien-bang-ma-qr-la-gi-cach-thuc-hien-nhu-the-nao</v>
      </c>
      <c r="C608" s="5" t="str">
        <f t="array" ref="C608">INDEX('Báo cáo 75 trang đích'!$C$2:$C$76,$A608)</f>
        <v>CASA</v>
      </c>
      <c r="D608" s="20" t="s">
        <v>1245</v>
      </c>
      <c r="E608" s="22" t="s">
        <v>195</v>
      </c>
      <c r="F608" s="22" t="s">
        <v>81</v>
      </c>
      <c r="G608" s="22" t="s">
        <v>1167</v>
      </c>
      <c r="H608" s="24" t="s">
        <v>59</v>
      </c>
      <c r="I608" s="24" t="s">
        <v>59</v>
      </c>
      <c r="J608" s="24" t="s">
        <v>60</v>
      </c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6">
        <v>25.0</v>
      </c>
      <c r="B609" s="35" t="str">
        <f t="array" ref="B609">INDEX('Báo cáo 75 trang đích'!$B$2:$B$76,$A609)</f>
        <v>https://techcombank.com/thong-tin/blog/rut-tien-bang-ma-qr-la-gi-cach-thuc-hien-nhu-the-nao</v>
      </c>
      <c r="C609" s="5" t="str">
        <f t="array" ref="C609">INDEX('Báo cáo 75 trang đích'!$C$2:$C$76,$A609)</f>
        <v>CASA</v>
      </c>
      <c r="D609" s="20" t="s">
        <v>487</v>
      </c>
      <c r="E609" s="22" t="s">
        <v>692</v>
      </c>
      <c r="F609" s="22" t="s">
        <v>81</v>
      </c>
      <c r="G609" s="22" t="s">
        <v>1167</v>
      </c>
      <c r="H609" s="24" t="s">
        <v>59</v>
      </c>
      <c r="I609" s="24" t="s">
        <v>59</v>
      </c>
      <c r="J609" s="24" t="s">
        <v>60</v>
      </c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6">
        <v>25.0</v>
      </c>
      <c r="B610" s="35" t="str">
        <f t="array" ref="B610">INDEX('Báo cáo 75 trang đích'!$B$2:$B$76,$A610)</f>
        <v>https://techcombank.com/thong-tin/blog/rut-tien-bang-ma-qr-la-gi-cach-thuc-hien-nhu-the-nao</v>
      </c>
      <c r="C610" s="5" t="str">
        <f t="array" ref="C610">INDEX('Báo cáo 75 trang đích'!$C$2:$C$76,$A610)</f>
        <v>CASA</v>
      </c>
      <c r="D610" s="20" t="s">
        <v>194</v>
      </c>
      <c r="E610" s="22" t="s">
        <v>696</v>
      </c>
      <c r="F610" s="22" t="s">
        <v>81</v>
      </c>
      <c r="G610" s="22" t="s">
        <v>1352</v>
      </c>
      <c r="H610" s="24" t="s">
        <v>59</v>
      </c>
      <c r="I610" s="24" t="s">
        <v>59</v>
      </c>
      <c r="J610" s="24" t="s">
        <v>60</v>
      </c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6">
        <v>25.0</v>
      </c>
      <c r="B611" s="35" t="str">
        <f t="array" ref="B611">INDEX('Báo cáo 75 trang đích'!$B$2:$B$76,$A611)</f>
        <v>https://techcombank.com/thong-tin/blog/rut-tien-bang-ma-qr-la-gi-cach-thuc-hien-nhu-the-nao</v>
      </c>
      <c r="C611" s="5" t="str">
        <f t="array" ref="C611">INDEX('Báo cáo 75 trang đích'!$C$2:$C$76,$A611)</f>
        <v>CASA</v>
      </c>
      <c r="D611" s="20" t="s">
        <v>1255</v>
      </c>
      <c r="E611" s="22" t="s">
        <v>195</v>
      </c>
      <c r="F611" s="22" t="s">
        <v>81</v>
      </c>
      <c r="G611" s="22" t="s">
        <v>1167</v>
      </c>
      <c r="H611" s="24" t="s">
        <v>59</v>
      </c>
      <c r="I611" s="24" t="s">
        <v>59</v>
      </c>
      <c r="J611" s="24" t="s">
        <v>60</v>
      </c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6">
        <v>25.0</v>
      </c>
      <c r="B612" s="35" t="str">
        <f t="array" ref="B612">INDEX('Báo cáo 75 trang đích'!$B$2:$B$76,$A612)</f>
        <v>https://techcombank.com/thong-tin/blog/rut-tien-bang-ma-qr-la-gi-cach-thuc-hien-nhu-the-nao</v>
      </c>
      <c r="C612" s="5" t="str">
        <f t="array" ref="C612">INDEX('Báo cáo 75 trang đích'!$C$2:$C$76,$A612)</f>
        <v>CASA</v>
      </c>
      <c r="D612" s="20" t="s">
        <v>493</v>
      </c>
      <c r="E612" s="22" t="s">
        <v>692</v>
      </c>
      <c r="F612" s="22" t="s">
        <v>81</v>
      </c>
      <c r="G612" s="22" t="s">
        <v>1363</v>
      </c>
      <c r="H612" s="24" t="s">
        <v>59</v>
      </c>
      <c r="I612" s="24" t="s">
        <v>59</v>
      </c>
      <c r="J612" s="24" t="s">
        <v>60</v>
      </c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6">
        <v>25.0</v>
      </c>
      <c r="B613" s="35" t="str">
        <f t="array" ref="B613">INDEX('Báo cáo 75 trang đích'!$B$2:$B$76,$A613)</f>
        <v>https://techcombank.com/thong-tin/blog/rut-tien-bang-ma-qr-la-gi-cach-thuc-hien-nhu-the-nao</v>
      </c>
      <c r="C613" s="5" t="str">
        <f t="array" ref="C613">INDEX('Báo cáo 75 trang đích'!$C$2:$C$76,$A613)</f>
        <v>CASA</v>
      </c>
      <c r="D613" s="20" t="s">
        <v>740</v>
      </c>
      <c r="E613" s="22" t="s">
        <v>696</v>
      </c>
      <c r="F613" s="22" t="s">
        <v>81</v>
      </c>
      <c r="G613" s="22" t="s">
        <v>1353</v>
      </c>
      <c r="H613" s="24" t="s">
        <v>59</v>
      </c>
      <c r="I613" s="24" t="s">
        <v>59</v>
      </c>
      <c r="J613" s="24" t="s">
        <v>60</v>
      </c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6">
        <v>25.0</v>
      </c>
      <c r="B614" s="35" t="str">
        <f t="array" ref="B614">INDEX('Báo cáo 75 trang đích'!$B$2:$B$76,$A614)</f>
        <v>https://techcombank.com/thong-tin/blog/rut-tien-bang-ma-qr-la-gi-cach-thuc-hien-nhu-the-nao</v>
      </c>
      <c r="C614" s="5" t="str">
        <f t="array" ref="C614">INDEX('Báo cáo 75 trang đích'!$C$2:$C$76,$A614)</f>
        <v>CASA</v>
      </c>
      <c r="D614" s="20" t="s">
        <v>1364</v>
      </c>
      <c r="E614" s="22" t="s">
        <v>195</v>
      </c>
      <c r="F614" s="22" t="s">
        <v>81</v>
      </c>
      <c r="G614" s="22" t="s">
        <v>1352</v>
      </c>
      <c r="H614" s="24" t="s">
        <v>59</v>
      </c>
      <c r="I614" s="24" t="s">
        <v>59</v>
      </c>
      <c r="J614" s="24" t="s">
        <v>60</v>
      </c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6">
        <v>25.0</v>
      </c>
      <c r="B615" s="35" t="str">
        <f t="array" ref="B615">INDEX('Báo cáo 75 trang đích'!$B$2:$B$76,$A615)</f>
        <v>https://techcombank.com/thong-tin/blog/rut-tien-bang-ma-qr-la-gi-cach-thuc-hien-nhu-the-nao</v>
      </c>
      <c r="C615" s="5" t="str">
        <f t="array" ref="C615">INDEX('Báo cáo 75 trang đích'!$C$2:$C$76,$A615)</f>
        <v>CASA</v>
      </c>
      <c r="D615" s="20" t="s">
        <v>878</v>
      </c>
      <c r="E615" s="22" t="s">
        <v>692</v>
      </c>
      <c r="F615" s="22" t="s">
        <v>81</v>
      </c>
      <c r="G615" s="22" t="s">
        <v>1348</v>
      </c>
      <c r="H615" s="24" t="s">
        <v>59</v>
      </c>
      <c r="I615" s="24" t="s">
        <v>59</v>
      </c>
      <c r="J615" s="24" t="s">
        <v>60</v>
      </c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6">
        <v>25.0</v>
      </c>
      <c r="B616" s="35" t="str">
        <f t="array" ref="B616">INDEX('Báo cáo 75 trang đích'!$B$2:$B$76,$A616)</f>
        <v>https://techcombank.com/thong-tin/blog/rut-tien-bang-ma-qr-la-gi-cach-thuc-hien-nhu-the-nao</v>
      </c>
      <c r="C616" s="5" t="str">
        <f t="array" ref="C616">INDEX('Báo cáo 75 trang đích'!$C$2:$C$76,$A616)</f>
        <v>CASA</v>
      </c>
      <c r="D616" s="20" t="s">
        <v>1365</v>
      </c>
      <c r="E616" s="22" t="s">
        <v>696</v>
      </c>
      <c r="F616" s="22" t="s">
        <v>81</v>
      </c>
      <c r="G616" s="22" t="s">
        <v>1352</v>
      </c>
      <c r="H616" s="24" t="s">
        <v>59</v>
      </c>
      <c r="I616" s="24" t="s">
        <v>59</v>
      </c>
      <c r="J616" s="24" t="s">
        <v>60</v>
      </c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6">
        <v>25.0</v>
      </c>
      <c r="B617" s="35" t="str">
        <f t="array" ref="B617">INDEX('Báo cáo 75 trang đích'!$B$2:$B$76,$A617)</f>
        <v>https://techcombank.com/thong-tin/blog/rut-tien-bang-ma-qr-la-gi-cach-thuc-hien-nhu-the-nao</v>
      </c>
      <c r="C617" s="5" t="str">
        <f t="array" ref="C617">INDEX('Báo cáo 75 trang đích'!$C$2:$C$76,$A617)</f>
        <v>CASA</v>
      </c>
      <c r="D617" s="20" t="s">
        <v>1093</v>
      </c>
      <c r="E617" s="22" t="s">
        <v>195</v>
      </c>
      <c r="F617" s="22" t="s">
        <v>81</v>
      </c>
      <c r="G617" s="22" t="s">
        <v>1352</v>
      </c>
      <c r="H617" s="24" t="s">
        <v>59</v>
      </c>
      <c r="I617" s="24" t="s">
        <v>59</v>
      </c>
      <c r="J617" s="24" t="s">
        <v>60</v>
      </c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6">
        <v>26.0</v>
      </c>
      <c r="B618" s="35" t="str">
        <f t="array" ref="B618">INDEX('Báo cáo 75 trang đích'!$B$2:$B$76,$A618)</f>
        <v>https://techcombank.com/thong-tin/blog/cach-quet-nfc-cccd-tren-iphone</v>
      </c>
      <c r="C618" s="5" t="str">
        <f t="array" ref="C618">INDEX('Báo cáo 75 trang đích'!$C$2:$C$76,$A618)</f>
        <v>CASA</v>
      </c>
      <c r="D618" s="20" t="s">
        <v>701</v>
      </c>
      <c r="E618" s="22" t="s">
        <v>201</v>
      </c>
      <c r="F618" s="22" t="s">
        <v>57</v>
      </c>
      <c r="G618" s="22" t="s">
        <v>1366</v>
      </c>
      <c r="H618" s="24" t="s">
        <v>59</v>
      </c>
      <c r="I618" s="24" t="s">
        <v>59</v>
      </c>
      <c r="J618" s="24" t="s">
        <v>60</v>
      </c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6">
        <v>26.0</v>
      </c>
      <c r="B619" s="35" t="str">
        <f t="array" ref="B619">INDEX('Báo cáo 75 trang đích'!$B$2:$B$76,$A619)</f>
        <v>https://techcombank.com/thong-tin/blog/cach-quet-nfc-cccd-tren-iphone</v>
      </c>
      <c r="C619" s="5" t="str">
        <f t="array" ref="C619">INDEX('Báo cáo 75 trang đích'!$C$2:$C$76,$A619)</f>
        <v>CASA</v>
      </c>
      <c r="D619" s="20" t="s">
        <v>517</v>
      </c>
      <c r="E619" s="22" t="s">
        <v>704</v>
      </c>
      <c r="F619" s="22" t="s">
        <v>57</v>
      </c>
      <c r="G619" s="22" t="s">
        <v>1367</v>
      </c>
      <c r="H619" s="24" t="s">
        <v>59</v>
      </c>
      <c r="I619" s="24" t="s">
        <v>59</v>
      </c>
      <c r="J619" s="24" t="s">
        <v>60</v>
      </c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6">
        <v>26.0</v>
      </c>
      <c r="B620" s="35" t="str">
        <f t="array" ref="B620">INDEX('Báo cáo 75 trang đích'!$B$2:$B$76,$A620)</f>
        <v>https://techcombank.com/thong-tin/blog/cach-quet-nfc-cccd-tren-iphone</v>
      </c>
      <c r="C620" s="5" t="str">
        <f t="array" ref="C620">INDEX('Báo cáo 75 trang đích'!$C$2:$C$76,$A620)</f>
        <v>CASA</v>
      </c>
      <c r="D620" s="20" t="s">
        <v>705</v>
      </c>
      <c r="E620" s="22" t="s">
        <v>707</v>
      </c>
      <c r="F620" s="22" t="s">
        <v>57</v>
      </c>
      <c r="G620" s="22" t="s">
        <v>1368</v>
      </c>
      <c r="H620" s="24" t="s">
        <v>59</v>
      </c>
      <c r="I620" s="24" t="s">
        <v>59</v>
      </c>
      <c r="J620" s="24" t="s">
        <v>60</v>
      </c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6">
        <v>26.0</v>
      </c>
      <c r="B621" s="35" t="str">
        <f t="array" ref="B621">INDEX('Báo cáo 75 trang đích'!$B$2:$B$76,$A621)</f>
        <v>https://techcombank.com/thong-tin/blog/cach-quet-nfc-cccd-tren-iphone</v>
      </c>
      <c r="C621" s="5" t="str">
        <f t="array" ref="C621">INDEX('Báo cáo 75 trang đích'!$C$2:$C$76,$A621)</f>
        <v>CASA</v>
      </c>
      <c r="D621" s="20" t="s">
        <v>708</v>
      </c>
      <c r="E621" s="22" t="s">
        <v>201</v>
      </c>
      <c r="F621" s="22" t="s">
        <v>57</v>
      </c>
      <c r="G621" s="22" t="s">
        <v>1369</v>
      </c>
      <c r="H621" s="24" t="s">
        <v>59</v>
      </c>
      <c r="I621" s="24" t="s">
        <v>59</v>
      </c>
      <c r="J621" s="24" t="s">
        <v>60</v>
      </c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6">
        <v>26.0</v>
      </c>
      <c r="B622" s="35" t="str">
        <f t="array" ref="B622">INDEX('Báo cáo 75 trang đích'!$B$2:$B$76,$A622)</f>
        <v>https://techcombank.com/thong-tin/blog/cach-quet-nfc-cccd-tren-iphone</v>
      </c>
      <c r="C622" s="5" t="str">
        <f t="array" ref="C622">INDEX('Báo cáo 75 trang đích'!$C$2:$C$76,$A622)</f>
        <v>CASA</v>
      </c>
      <c r="D622" s="20" t="s">
        <v>566</v>
      </c>
      <c r="E622" s="22" t="s">
        <v>704</v>
      </c>
      <c r="F622" s="22" t="s">
        <v>76</v>
      </c>
      <c r="G622" s="22" t="s">
        <v>1370</v>
      </c>
      <c r="H622" s="24" t="s">
        <v>59</v>
      </c>
      <c r="I622" s="24" t="s">
        <v>59</v>
      </c>
      <c r="J622" s="24" t="s">
        <v>60</v>
      </c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6">
        <v>26.0</v>
      </c>
      <c r="B623" s="35" t="str">
        <f t="array" ref="B623">INDEX('Báo cáo 75 trang đích'!$B$2:$B$76,$A623)</f>
        <v>https://techcombank.com/thong-tin/blog/cach-quet-nfc-cccd-tren-iphone</v>
      </c>
      <c r="C623" s="5" t="str">
        <f t="array" ref="C623">INDEX('Báo cáo 75 trang đích'!$C$2:$C$76,$A623)</f>
        <v>CASA</v>
      </c>
      <c r="D623" s="20" t="s">
        <v>1371</v>
      </c>
      <c r="E623" s="22" t="s">
        <v>707</v>
      </c>
      <c r="F623" s="22" t="s">
        <v>81</v>
      </c>
      <c r="G623" s="22" t="s">
        <v>1372</v>
      </c>
      <c r="H623" s="24" t="s">
        <v>59</v>
      </c>
      <c r="I623" s="24" t="s">
        <v>59</v>
      </c>
      <c r="J623" s="24" t="s">
        <v>60</v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6">
        <v>26.0</v>
      </c>
      <c r="B624" s="35" t="str">
        <f t="array" ref="B624">INDEX('Báo cáo 75 trang đích'!$B$2:$B$76,$A624)</f>
        <v>https://techcombank.com/thong-tin/blog/cach-quet-nfc-cccd-tren-iphone</v>
      </c>
      <c r="C624" s="5" t="str">
        <f t="array" ref="C624">INDEX('Báo cáo 75 trang đích'!$C$2:$C$76,$A624)</f>
        <v>CASA</v>
      </c>
      <c r="D624" s="20" t="s">
        <v>441</v>
      </c>
      <c r="E624" s="22" t="s">
        <v>201</v>
      </c>
      <c r="F624" s="22" t="s">
        <v>81</v>
      </c>
      <c r="G624" s="22" t="s">
        <v>1373</v>
      </c>
      <c r="H624" s="24" t="s">
        <v>59</v>
      </c>
      <c r="I624" s="24" t="s">
        <v>59</v>
      </c>
      <c r="J624" s="24" t="s">
        <v>60</v>
      </c>
      <c r="K624" s="22" t="s">
        <v>97</v>
      </c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6">
        <v>26.0</v>
      </c>
      <c r="B625" s="35" t="str">
        <f t="array" ref="B625">INDEX('Báo cáo 75 trang đích'!$B$2:$B$76,$A625)</f>
        <v>https://techcombank.com/thong-tin/blog/cach-quet-nfc-cccd-tren-iphone</v>
      </c>
      <c r="C625" s="5" t="str">
        <f t="array" ref="C625">INDEX('Báo cáo 75 trang đích'!$C$2:$C$76,$A625)</f>
        <v>CASA</v>
      </c>
      <c r="D625" s="20" t="s">
        <v>382</v>
      </c>
      <c r="E625" s="22" t="s">
        <v>704</v>
      </c>
      <c r="F625" s="22" t="s">
        <v>81</v>
      </c>
      <c r="G625" s="22" t="s">
        <v>1374</v>
      </c>
      <c r="H625" s="24" t="s">
        <v>59</v>
      </c>
      <c r="I625" s="24" t="s">
        <v>59</v>
      </c>
      <c r="J625" s="24" t="s">
        <v>60</v>
      </c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6">
        <v>26.0</v>
      </c>
      <c r="B626" s="35" t="str">
        <f t="array" ref="B626">INDEX('Báo cáo 75 trang đích'!$B$2:$B$76,$A626)</f>
        <v>https://techcombank.com/thong-tin/blog/cach-quet-nfc-cccd-tren-iphone</v>
      </c>
      <c r="C626" s="5" t="str">
        <f t="array" ref="C626">INDEX('Báo cáo 75 trang đích'!$C$2:$C$76,$A626)</f>
        <v>CASA</v>
      </c>
      <c r="D626" s="20" t="s">
        <v>391</v>
      </c>
      <c r="E626" s="22" t="s">
        <v>707</v>
      </c>
      <c r="F626" s="22" t="s">
        <v>81</v>
      </c>
      <c r="G626" s="22" t="s">
        <v>1374</v>
      </c>
      <c r="H626" s="24" t="s">
        <v>59</v>
      </c>
      <c r="I626" s="24" t="s">
        <v>59</v>
      </c>
      <c r="J626" s="24" t="s">
        <v>60</v>
      </c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6">
        <v>26.0</v>
      </c>
      <c r="B627" s="35" t="str">
        <f t="array" ref="B627">INDEX('Báo cáo 75 trang đích'!$B$2:$B$76,$A627)</f>
        <v>https://techcombank.com/thong-tin/blog/cach-quet-nfc-cccd-tren-iphone</v>
      </c>
      <c r="C627" s="5" t="str">
        <f t="array" ref="C627">INDEX('Báo cáo 75 trang đích'!$C$2:$C$76,$A627)</f>
        <v>CASA</v>
      </c>
      <c r="D627" s="20" t="s">
        <v>1191</v>
      </c>
      <c r="E627" s="22" t="s">
        <v>201</v>
      </c>
      <c r="F627" s="22" t="s">
        <v>81</v>
      </c>
      <c r="G627" s="22" t="s">
        <v>1374</v>
      </c>
      <c r="H627" s="24" t="s">
        <v>59</v>
      </c>
      <c r="I627" s="24" t="s">
        <v>59</v>
      </c>
      <c r="J627" s="24" t="s">
        <v>60</v>
      </c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6">
        <v>26.0</v>
      </c>
      <c r="B628" s="35" t="str">
        <f t="array" ref="B628">INDEX('Báo cáo 75 trang đích'!$B$2:$B$76,$A628)</f>
        <v>https://techcombank.com/thong-tin/blog/cach-quet-nfc-cccd-tren-iphone</v>
      </c>
      <c r="C628" s="5" t="str">
        <f t="array" ref="C628">INDEX('Báo cáo 75 trang đích'!$C$2:$C$76,$A628)</f>
        <v>CASA</v>
      </c>
      <c r="D628" s="20" t="s">
        <v>755</v>
      </c>
      <c r="E628" s="22" t="s">
        <v>704</v>
      </c>
      <c r="F628" s="22" t="s">
        <v>81</v>
      </c>
      <c r="G628" s="22" t="s">
        <v>1374</v>
      </c>
      <c r="H628" s="24" t="s">
        <v>59</v>
      </c>
      <c r="I628" s="24" t="s">
        <v>59</v>
      </c>
      <c r="J628" s="24" t="s">
        <v>60</v>
      </c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6">
        <v>26.0</v>
      </c>
      <c r="B629" s="35" t="str">
        <f t="array" ref="B629">INDEX('Báo cáo 75 trang đích'!$B$2:$B$76,$A629)</f>
        <v>https://techcombank.com/thong-tin/blog/cach-quet-nfc-cccd-tren-iphone</v>
      </c>
      <c r="C629" s="5" t="str">
        <f t="array" ref="C629">INDEX('Báo cáo 75 trang đích'!$C$2:$C$76,$A629)</f>
        <v>CASA</v>
      </c>
      <c r="D629" s="20" t="s">
        <v>1197</v>
      </c>
      <c r="E629" s="22" t="s">
        <v>707</v>
      </c>
      <c r="F629" s="22" t="s">
        <v>81</v>
      </c>
      <c r="G629" s="22" t="s">
        <v>1374</v>
      </c>
      <c r="H629" s="24" t="s">
        <v>59</v>
      </c>
      <c r="I629" s="24" t="s">
        <v>59</v>
      </c>
      <c r="J629" s="24" t="s">
        <v>60</v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6">
        <v>26.0</v>
      </c>
      <c r="B630" s="35" t="str">
        <f t="array" ref="B630">INDEX('Báo cáo 75 trang đích'!$B$2:$B$76,$A630)</f>
        <v>https://techcombank.com/thong-tin/blog/cach-quet-nfc-cccd-tren-iphone</v>
      </c>
      <c r="C630" s="5" t="str">
        <f t="array" ref="C630">INDEX('Báo cáo 75 trang đích'!$C$2:$C$76,$A630)</f>
        <v>CASA</v>
      </c>
      <c r="D630" s="20" t="s">
        <v>505</v>
      </c>
      <c r="E630" s="22" t="s">
        <v>201</v>
      </c>
      <c r="F630" s="22" t="s">
        <v>81</v>
      </c>
      <c r="G630" s="22" t="s">
        <v>1374</v>
      </c>
      <c r="H630" s="24" t="s">
        <v>59</v>
      </c>
      <c r="I630" s="24" t="s">
        <v>59</v>
      </c>
      <c r="J630" s="24" t="s">
        <v>60</v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6">
        <v>26.0</v>
      </c>
      <c r="B631" s="35" t="str">
        <f t="array" ref="B631">INDEX('Báo cáo 75 trang đích'!$B$2:$B$76,$A631)</f>
        <v>https://techcombank.com/thong-tin/blog/cach-quet-nfc-cccd-tren-iphone</v>
      </c>
      <c r="C631" s="5" t="str">
        <f t="array" ref="C631">INDEX('Báo cáo 75 trang đích'!$C$2:$C$76,$A631)</f>
        <v>CASA</v>
      </c>
      <c r="D631" s="20" t="s">
        <v>366</v>
      </c>
      <c r="E631" s="22" t="s">
        <v>704</v>
      </c>
      <c r="F631" s="22" t="s">
        <v>81</v>
      </c>
      <c r="G631" s="22" t="s">
        <v>1374</v>
      </c>
      <c r="H631" s="24" t="s">
        <v>59</v>
      </c>
      <c r="I631" s="24" t="s">
        <v>59</v>
      </c>
      <c r="J631" s="24" t="s">
        <v>60</v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6">
        <v>27.0</v>
      </c>
      <c r="B632" s="35" t="str">
        <f t="array" ref="B632">INDEX('Báo cáo 75 trang đích'!$B$2:$B$76,$A632)</f>
        <v>https://techcombank.com/thong-tin/blog/eco-card</v>
      </c>
      <c r="C632" s="5" t="str">
        <f t="array" ref="C632">INDEX('Báo cáo 75 trang đích'!$C$2:$C$76,$A632)</f>
        <v>CASA</v>
      </c>
      <c r="D632" s="20" t="s">
        <v>712</v>
      </c>
      <c r="E632" s="22" t="s">
        <v>205</v>
      </c>
      <c r="F632" s="22" t="s">
        <v>57</v>
      </c>
      <c r="G632" s="22" t="s">
        <v>1375</v>
      </c>
      <c r="H632" s="24" t="s">
        <v>59</v>
      </c>
      <c r="I632" s="24" t="s">
        <v>59</v>
      </c>
      <c r="J632" s="24" t="s">
        <v>60</v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6">
        <v>27.0</v>
      </c>
      <c r="B633" s="35" t="str">
        <f t="array" ref="B633">INDEX('Báo cáo 75 trang đích'!$B$2:$B$76,$A633)</f>
        <v>https://techcombank.com/thong-tin/blog/eco-card</v>
      </c>
      <c r="C633" s="5" t="str">
        <f t="array" ref="C633">INDEX('Báo cáo 75 trang đích'!$C$2:$C$76,$A633)</f>
        <v>CASA</v>
      </c>
      <c r="D633" s="20" t="s">
        <v>714</v>
      </c>
      <c r="E633" s="22" t="s">
        <v>716</v>
      </c>
      <c r="F633" s="22" t="s">
        <v>57</v>
      </c>
      <c r="G633" s="22" t="s">
        <v>1376</v>
      </c>
      <c r="H633" s="24" t="s">
        <v>59</v>
      </c>
      <c r="I633" s="24" t="s">
        <v>59</v>
      </c>
      <c r="J633" s="24" t="s">
        <v>60</v>
      </c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6">
        <v>27.0</v>
      </c>
      <c r="B634" s="35" t="str">
        <f t="array" ref="B634">INDEX('Báo cáo 75 trang đích'!$B$2:$B$76,$A634)</f>
        <v>https://techcombank.com/thong-tin/blog/eco-card</v>
      </c>
      <c r="C634" s="5" t="str">
        <f t="array" ref="C634">INDEX('Báo cáo 75 trang đích'!$C$2:$C$76,$A634)</f>
        <v>CASA</v>
      </c>
      <c r="D634" s="20" t="s">
        <v>717</v>
      </c>
      <c r="E634" s="22" t="s">
        <v>719</v>
      </c>
      <c r="F634" s="22" t="s">
        <v>57</v>
      </c>
      <c r="G634" s="22" t="s">
        <v>1377</v>
      </c>
      <c r="H634" s="24" t="s">
        <v>59</v>
      </c>
      <c r="I634" s="24" t="s">
        <v>59</v>
      </c>
      <c r="J634" s="24" t="s">
        <v>60</v>
      </c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6">
        <v>27.0</v>
      </c>
      <c r="B635" s="35" t="str">
        <f t="array" ref="B635">INDEX('Báo cáo 75 trang đích'!$B$2:$B$76,$A635)</f>
        <v>https://techcombank.com/thong-tin/blog/eco-card</v>
      </c>
      <c r="C635" s="5" t="str">
        <f t="array" ref="C635">INDEX('Báo cáo 75 trang đích'!$C$2:$C$76,$A635)</f>
        <v>CASA</v>
      </c>
      <c r="D635" s="20" t="s">
        <v>720</v>
      </c>
      <c r="E635" s="22" t="s">
        <v>205</v>
      </c>
      <c r="F635" s="22" t="s">
        <v>76</v>
      </c>
      <c r="G635" s="22" t="s">
        <v>1378</v>
      </c>
      <c r="H635" s="24" t="s">
        <v>59</v>
      </c>
      <c r="I635" s="24" t="s">
        <v>59</v>
      </c>
      <c r="J635" s="24" t="s">
        <v>60</v>
      </c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6">
        <v>27.0</v>
      </c>
      <c r="B636" s="35" t="str">
        <f t="array" ref="B636">INDEX('Báo cáo 75 trang đích'!$B$2:$B$76,$A636)</f>
        <v>https://techcombank.com/thong-tin/blog/eco-card</v>
      </c>
      <c r="C636" s="5" t="str">
        <f t="array" ref="C636">INDEX('Báo cáo 75 trang đích'!$C$2:$C$76,$A636)</f>
        <v>CASA</v>
      </c>
      <c r="D636" s="20" t="s">
        <v>1379</v>
      </c>
      <c r="E636" s="22" t="s">
        <v>716</v>
      </c>
      <c r="F636" s="22" t="s">
        <v>76</v>
      </c>
      <c r="G636" s="22" t="s">
        <v>1380</v>
      </c>
      <c r="H636" s="24" t="s">
        <v>59</v>
      </c>
      <c r="I636" s="24" t="s">
        <v>59</v>
      </c>
      <c r="J636" s="24" t="s">
        <v>60</v>
      </c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6">
        <v>27.0</v>
      </c>
      <c r="B637" s="35" t="str">
        <f t="array" ref="B637">INDEX('Báo cáo 75 trang đích'!$B$2:$B$76,$A637)</f>
        <v>https://techcombank.com/thong-tin/blog/eco-card</v>
      </c>
      <c r="C637" s="5" t="str">
        <f t="array" ref="C637">INDEX('Báo cáo 75 trang đích'!$C$2:$C$76,$A637)</f>
        <v>CASA</v>
      </c>
      <c r="D637" s="20" t="s">
        <v>993</v>
      </c>
      <c r="E637" s="22" t="s">
        <v>719</v>
      </c>
      <c r="F637" s="22" t="s">
        <v>81</v>
      </c>
      <c r="G637" s="22" t="s">
        <v>1381</v>
      </c>
      <c r="H637" s="24" t="s">
        <v>59</v>
      </c>
      <c r="I637" s="24" t="s">
        <v>59</v>
      </c>
      <c r="J637" s="24" t="s">
        <v>60</v>
      </c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6">
        <v>27.0</v>
      </c>
      <c r="B638" s="35" t="str">
        <f t="array" ref="B638">INDEX('Báo cáo 75 trang đích'!$B$2:$B$76,$A638)</f>
        <v>https://techcombank.com/thong-tin/blog/eco-card</v>
      </c>
      <c r="C638" s="5" t="str">
        <f t="array" ref="C638">INDEX('Báo cáo 75 trang đích'!$C$2:$C$76,$A638)</f>
        <v>CASA</v>
      </c>
      <c r="D638" s="20" t="s">
        <v>360</v>
      </c>
      <c r="E638" s="22" t="s">
        <v>205</v>
      </c>
      <c r="F638" s="22" t="s">
        <v>81</v>
      </c>
      <c r="G638" s="22" t="s">
        <v>1382</v>
      </c>
      <c r="H638" s="24" t="s">
        <v>59</v>
      </c>
      <c r="I638" s="24" t="s">
        <v>59</v>
      </c>
      <c r="J638" s="24" t="s">
        <v>60</v>
      </c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6">
        <v>27.0</v>
      </c>
      <c r="B639" s="35" t="str">
        <f t="array" ref="B639">INDEX('Báo cáo 75 trang đích'!$B$2:$B$76,$A639)</f>
        <v>https://techcombank.com/thong-tin/blog/eco-card</v>
      </c>
      <c r="C639" s="5" t="str">
        <f t="array" ref="C639">INDEX('Báo cáo 75 trang đích'!$C$2:$C$76,$A639)</f>
        <v>CASA</v>
      </c>
      <c r="D639" s="20" t="s">
        <v>191</v>
      </c>
      <c r="E639" s="22" t="s">
        <v>716</v>
      </c>
      <c r="F639" s="22" t="s">
        <v>81</v>
      </c>
      <c r="G639" s="22" t="s">
        <v>1381</v>
      </c>
      <c r="H639" s="24" t="s">
        <v>59</v>
      </c>
      <c r="I639" s="24" t="s">
        <v>59</v>
      </c>
      <c r="J639" s="24" t="s">
        <v>60</v>
      </c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6">
        <v>27.0</v>
      </c>
      <c r="B640" s="35" t="str">
        <f t="array" ref="B640">INDEX('Báo cáo 75 trang đích'!$B$2:$B$76,$A640)</f>
        <v>https://techcombank.com/thong-tin/blog/eco-card</v>
      </c>
      <c r="C640" s="5" t="str">
        <f t="array" ref="C640">INDEX('Báo cáo 75 trang đích'!$C$2:$C$76,$A640)</f>
        <v>CASA</v>
      </c>
      <c r="D640" s="20" t="s">
        <v>1383</v>
      </c>
      <c r="E640" s="22" t="s">
        <v>719</v>
      </c>
      <c r="F640" s="22" t="s">
        <v>81</v>
      </c>
      <c r="G640" s="22" t="s">
        <v>1381</v>
      </c>
      <c r="H640" s="24" t="s">
        <v>59</v>
      </c>
      <c r="I640" s="24" t="s">
        <v>59</v>
      </c>
      <c r="J640" s="24" t="s">
        <v>60</v>
      </c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6">
        <v>27.0</v>
      </c>
      <c r="B641" s="35" t="str">
        <f t="array" ref="B641">INDEX('Báo cáo 75 trang đích'!$B$2:$B$76,$A641)</f>
        <v>https://techcombank.com/thong-tin/blog/eco-card</v>
      </c>
      <c r="C641" s="5" t="str">
        <f t="array" ref="C641">INDEX('Báo cáo 75 trang đích'!$C$2:$C$76,$A641)</f>
        <v>CASA</v>
      </c>
      <c r="D641" s="20" t="s">
        <v>1384</v>
      </c>
      <c r="E641" s="22" t="s">
        <v>205</v>
      </c>
      <c r="F641" s="22" t="s">
        <v>81</v>
      </c>
      <c r="G641" s="22" t="s">
        <v>1381</v>
      </c>
      <c r="H641" s="24" t="s">
        <v>59</v>
      </c>
      <c r="I641" s="24" t="s">
        <v>59</v>
      </c>
      <c r="J641" s="24" t="s">
        <v>60</v>
      </c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6">
        <v>27.0</v>
      </c>
      <c r="B642" s="35" t="str">
        <f t="array" ref="B642">INDEX('Báo cáo 75 trang đích'!$B$2:$B$76,$A642)</f>
        <v>https://techcombank.com/thong-tin/blog/eco-card</v>
      </c>
      <c r="C642" s="5" t="str">
        <f t="array" ref="C642">INDEX('Báo cáo 75 trang đích'!$C$2:$C$76,$A642)</f>
        <v>CASA</v>
      </c>
      <c r="D642" s="20" t="s">
        <v>323</v>
      </c>
      <c r="E642" s="22" t="s">
        <v>716</v>
      </c>
      <c r="F642" s="22" t="s">
        <v>81</v>
      </c>
      <c r="G642" s="22" t="s">
        <v>1381</v>
      </c>
      <c r="H642" s="24" t="s">
        <v>59</v>
      </c>
      <c r="I642" s="24" t="s">
        <v>59</v>
      </c>
      <c r="J642" s="24" t="s">
        <v>60</v>
      </c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6">
        <v>27.0</v>
      </c>
      <c r="B643" s="35" t="str">
        <f t="array" ref="B643">INDEX('Báo cáo 75 trang đích'!$B$2:$B$76,$A643)</f>
        <v>https://techcombank.com/thong-tin/blog/eco-card</v>
      </c>
      <c r="C643" s="5" t="str">
        <f t="array" ref="C643">INDEX('Báo cáo 75 trang đích'!$C$2:$C$76,$A643)</f>
        <v>CASA</v>
      </c>
      <c r="D643" s="20" t="s">
        <v>1385</v>
      </c>
      <c r="E643" s="22" t="s">
        <v>719</v>
      </c>
      <c r="F643" s="22" t="s">
        <v>81</v>
      </c>
      <c r="G643" s="22" t="s">
        <v>1386</v>
      </c>
      <c r="H643" s="24" t="s">
        <v>59</v>
      </c>
      <c r="I643" s="24" t="s">
        <v>59</v>
      </c>
      <c r="J643" s="24" t="s">
        <v>60</v>
      </c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6">
        <v>27.0</v>
      </c>
      <c r="B644" s="35" t="str">
        <f t="array" ref="B644">INDEX('Báo cáo 75 trang đích'!$B$2:$B$76,$A644)</f>
        <v>https://techcombank.com/thong-tin/blog/eco-card</v>
      </c>
      <c r="C644" s="5" t="str">
        <f t="array" ref="C644">INDEX('Báo cáo 75 trang đích'!$C$2:$C$76,$A644)</f>
        <v>CASA</v>
      </c>
      <c r="D644" s="20" t="s">
        <v>1387</v>
      </c>
      <c r="E644" s="22" t="s">
        <v>205</v>
      </c>
      <c r="F644" s="22" t="s">
        <v>81</v>
      </c>
      <c r="G644" s="22" t="s">
        <v>1388</v>
      </c>
      <c r="H644" s="24" t="s">
        <v>59</v>
      </c>
      <c r="I644" s="24" t="s">
        <v>59</v>
      </c>
      <c r="J644" s="24" t="s">
        <v>60</v>
      </c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6">
        <v>27.0</v>
      </c>
      <c r="B645" s="35" t="str">
        <f t="array" ref="B645">INDEX('Báo cáo 75 trang đích'!$B$2:$B$76,$A645)</f>
        <v>https://techcombank.com/thong-tin/blog/eco-card</v>
      </c>
      <c r="C645" s="5" t="str">
        <f t="array" ref="C645">INDEX('Báo cáo 75 trang đích'!$C$2:$C$76,$A645)</f>
        <v>CASA</v>
      </c>
      <c r="D645" s="20" t="s">
        <v>1389</v>
      </c>
      <c r="E645" s="22" t="s">
        <v>716</v>
      </c>
      <c r="F645" s="22" t="s">
        <v>81</v>
      </c>
      <c r="G645" s="22" t="s">
        <v>1381</v>
      </c>
      <c r="H645" s="24" t="s">
        <v>59</v>
      </c>
      <c r="I645" s="24" t="s">
        <v>59</v>
      </c>
      <c r="J645" s="24" t="s">
        <v>60</v>
      </c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6">
        <v>27.0</v>
      </c>
      <c r="B646" s="35" t="str">
        <f t="array" ref="B646">INDEX('Báo cáo 75 trang đích'!$B$2:$B$76,$A646)</f>
        <v>https://techcombank.com/thong-tin/blog/eco-card</v>
      </c>
      <c r="C646" s="5" t="str">
        <f t="array" ref="C646">INDEX('Báo cáo 75 trang đích'!$C$2:$C$76,$A646)</f>
        <v>CASA</v>
      </c>
      <c r="D646" s="20" t="s">
        <v>1390</v>
      </c>
      <c r="E646" s="22" t="s">
        <v>719</v>
      </c>
      <c r="F646" s="22" t="s">
        <v>81</v>
      </c>
      <c r="G646" s="22" t="s">
        <v>1381</v>
      </c>
      <c r="H646" s="24" t="s">
        <v>59</v>
      </c>
      <c r="I646" s="24" t="s">
        <v>59</v>
      </c>
      <c r="J646" s="24" t="s">
        <v>60</v>
      </c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6">
        <v>27.0</v>
      </c>
      <c r="B647" s="35" t="str">
        <f t="array" ref="B647">INDEX('Báo cáo 75 trang đích'!$B$2:$B$76,$A647)</f>
        <v>https://techcombank.com/thong-tin/blog/eco-card</v>
      </c>
      <c r="C647" s="5" t="str">
        <f t="array" ref="C647">INDEX('Báo cáo 75 trang đích'!$C$2:$C$76,$A647)</f>
        <v>CASA</v>
      </c>
      <c r="D647" s="20" t="s">
        <v>1391</v>
      </c>
      <c r="E647" s="22" t="s">
        <v>205</v>
      </c>
      <c r="F647" s="22" t="s">
        <v>81</v>
      </c>
      <c r="G647" s="22" t="s">
        <v>1388</v>
      </c>
      <c r="H647" s="24" t="s">
        <v>59</v>
      </c>
      <c r="I647" s="24" t="s">
        <v>59</v>
      </c>
      <c r="J647" s="24" t="s">
        <v>60</v>
      </c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6">
        <v>27.0</v>
      </c>
      <c r="B648" s="35" t="str">
        <f t="array" ref="B648">INDEX('Báo cáo 75 trang đích'!$B$2:$B$76,$A648)</f>
        <v>https://techcombank.com/thong-tin/blog/eco-card</v>
      </c>
      <c r="C648" s="5" t="str">
        <f t="array" ref="C648">INDEX('Báo cáo 75 trang đích'!$C$2:$C$76,$A648)</f>
        <v>CASA</v>
      </c>
      <c r="D648" s="20" t="s">
        <v>1392</v>
      </c>
      <c r="E648" s="22" t="s">
        <v>716</v>
      </c>
      <c r="F648" s="22" t="s">
        <v>81</v>
      </c>
      <c r="G648" s="22" t="s">
        <v>1388</v>
      </c>
      <c r="H648" s="24" t="s">
        <v>59</v>
      </c>
      <c r="I648" s="24" t="s">
        <v>59</v>
      </c>
      <c r="J648" s="24" t="s">
        <v>60</v>
      </c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6">
        <v>27.0</v>
      </c>
      <c r="B649" s="35" t="str">
        <f t="array" ref="B649">INDEX('Báo cáo 75 trang đích'!$B$2:$B$76,$A649)</f>
        <v>https://techcombank.com/thong-tin/blog/eco-card</v>
      </c>
      <c r="C649" s="5" t="str">
        <f t="array" ref="C649">INDEX('Báo cáo 75 trang đích'!$C$2:$C$76,$A649)</f>
        <v>CASA</v>
      </c>
      <c r="D649" s="20" t="s">
        <v>1393</v>
      </c>
      <c r="E649" s="22" t="s">
        <v>719</v>
      </c>
      <c r="F649" s="22" t="s">
        <v>81</v>
      </c>
      <c r="G649" s="22" t="s">
        <v>1381</v>
      </c>
      <c r="H649" s="24" t="s">
        <v>59</v>
      </c>
      <c r="I649" s="24" t="s">
        <v>59</v>
      </c>
      <c r="J649" s="24" t="s">
        <v>60</v>
      </c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6">
        <v>27.0</v>
      </c>
      <c r="B650" s="35" t="str">
        <f t="array" ref="B650">INDEX('Báo cáo 75 trang đích'!$B$2:$B$76,$A650)</f>
        <v>https://techcombank.com/thong-tin/blog/eco-card</v>
      </c>
      <c r="C650" s="5" t="str">
        <f t="array" ref="C650">INDEX('Báo cáo 75 trang đích'!$C$2:$C$76,$A650)</f>
        <v>CASA</v>
      </c>
      <c r="D650" s="20" t="s">
        <v>1394</v>
      </c>
      <c r="E650" s="22" t="s">
        <v>205</v>
      </c>
      <c r="F650" s="22" t="s">
        <v>81</v>
      </c>
      <c r="G650" s="22" t="s">
        <v>1381</v>
      </c>
      <c r="H650" s="24" t="s">
        <v>59</v>
      </c>
      <c r="I650" s="24" t="s">
        <v>59</v>
      </c>
      <c r="J650" s="24" t="s">
        <v>60</v>
      </c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6">
        <v>27.0</v>
      </c>
      <c r="B651" s="35" t="str">
        <f t="array" ref="B651">INDEX('Báo cáo 75 trang đích'!$B$2:$B$76,$A651)</f>
        <v>https://techcombank.com/thong-tin/blog/eco-card</v>
      </c>
      <c r="C651" s="5" t="str">
        <f t="array" ref="C651">INDEX('Báo cáo 75 trang đích'!$C$2:$C$76,$A651)</f>
        <v>CASA</v>
      </c>
      <c r="D651" s="20" t="s">
        <v>1395</v>
      </c>
      <c r="E651" s="22" t="s">
        <v>716</v>
      </c>
      <c r="F651" s="22" t="s">
        <v>81</v>
      </c>
      <c r="G651" s="22" t="s">
        <v>1382</v>
      </c>
      <c r="H651" s="24" t="s">
        <v>59</v>
      </c>
      <c r="I651" s="24" t="s">
        <v>59</v>
      </c>
      <c r="J651" s="24" t="s">
        <v>60</v>
      </c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6">
        <v>27.0</v>
      </c>
      <c r="B652" s="35" t="str">
        <f t="array" ref="B652">INDEX('Báo cáo 75 trang đích'!$B$2:$B$76,$A652)</f>
        <v>https://techcombank.com/thong-tin/blog/eco-card</v>
      </c>
      <c r="C652" s="5" t="str">
        <f t="array" ref="C652">INDEX('Báo cáo 75 trang đích'!$C$2:$C$76,$A652)</f>
        <v>CASA</v>
      </c>
      <c r="D652" s="20" t="s">
        <v>1121</v>
      </c>
      <c r="E652" s="22" t="s">
        <v>719</v>
      </c>
      <c r="F652" s="22" t="s">
        <v>81</v>
      </c>
      <c r="G652" s="22" t="s">
        <v>1381</v>
      </c>
      <c r="H652" s="24" t="s">
        <v>59</v>
      </c>
      <c r="I652" s="24" t="s">
        <v>59</v>
      </c>
      <c r="J652" s="24" t="s">
        <v>60</v>
      </c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6">
        <v>27.0</v>
      </c>
      <c r="B653" s="35" t="str">
        <f t="array" ref="B653">INDEX('Báo cáo 75 trang đích'!$B$2:$B$76,$A653)</f>
        <v>https://techcombank.com/thong-tin/blog/eco-card</v>
      </c>
      <c r="C653" s="5" t="str">
        <f t="array" ref="C653">INDEX('Báo cáo 75 trang đích'!$C$2:$C$76,$A653)</f>
        <v>CASA</v>
      </c>
      <c r="D653" s="20" t="s">
        <v>1396</v>
      </c>
      <c r="E653" s="22" t="s">
        <v>205</v>
      </c>
      <c r="F653" s="22" t="s">
        <v>81</v>
      </c>
      <c r="G653" s="22" t="s">
        <v>1382</v>
      </c>
      <c r="H653" s="24" t="s">
        <v>59</v>
      </c>
      <c r="I653" s="24" t="s">
        <v>59</v>
      </c>
      <c r="J653" s="24" t="s">
        <v>60</v>
      </c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6">
        <v>27.0</v>
      </c>
      <c r="B654" s="35" t="str">
        <f t="array" ref="B654">INDEX('Báo cáo 75 trang đích'!$B$2:$B$76,$A654)</f>
        <v>https://techcombank.com/thong-tin/blog/eco-card</v>
      </c>
      <c r="C654" s="5" t="str">
        <f t="array" ref="C654">INDEX('Báo cáo 75 trang đích'!$C$2:$C$76,$A654)</f>
        <v>CASA</v>
      </c>
      <c r="D654" s="20" t="s">
        <v>1397</v>
      </c>
      <c r="E654" s="22" t="s">
        <v>716</v>
      </c>
      <c r="F654" s="22" t="s">
        <v>81</v>
      </c>
      <c r="G654" s="22" t="s">
        <v>1381</v>
      </c>
      <c r="H654" s="24" t="s">
        <v>59</v>
      </c>
      <c r="I654" s="24" t="s">
        <v>59</v>
      </c>
      <c r="J654" s="24" t="s">
        <v>60</v>
      </c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6">
        <v>27.0</v>
      </c>
      <c r="B655" s="35" t="str">
        <f t="array" ref="B655">INDEX('Báo cáo 75 trang đích'!$B$2:$B$76,$A655)</f>
        <v>https://techcombank.com/thong-tin/blog/eco-card</v>
      </c>
      <c r="C655" s="5" t="str">
        <f t="array" ref="C655">INDEX('Báo cáo 75 trang đích'!$C$2:$C$76,$A655)</f>
        <v>CASA</v>
      </c>
      <c r="D655" s="20" t="s">
        <v>1398</v>
      </c>
      <c r="E655" s="22" t="s">
        <v>719</v>
      </c>
      <c r="F655" s="22" t="s">
        <v>81</v>
      </c>
      <c r="G655" s="22" t="s">
        <v>1381</v>
      </c>
      <c r="H655" s="24" t="s">
        <v>59</v>
      </c>
      <c r="I655" s="24" t="s">
        <v>59</v>
      </c>
      <c r="J655" s="24" t="s">
        <v>60</v>
      </c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6">
        <v>27.0</v>
      </c>
      <c r="B656" s="35" t="str">
        <f t="array" ref="B656">INDEX('Báo cáo 75 trang đích'!$B$2:$B$76,$A656)</f>
        <v>https://techcombank.com/thong-tin/blog/eco-card</v>
      </c>
      <c r="C656" s="5" t="str">
        <f t="array" ref="C656">INDEX('Báo cáo 75 trang đích'!$C$2:$C$76,$A656)</f>
        <v>CASA</v>
      </c>
      <c r="D656" s="20" t="s">
        <v>1399</v>
      </c>
      <c r="E656" s="22" t="s">
        <v>205</v>
      </c>
      <c r="F656" s="22" t="s">
        <v>81</v>
      </c>
      <c r="G656" s="22" t="s">
        <v>1382</v>
      </c>
      <c r="H656" s="24" t="s">
        <v>59</v>
      </c>
      <c r="I656" s="24" t="s">
        <v>59</v>
      </c>
      <c r="J656" s="24" t="s">
        <v>60</v>
      </c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6">
        <v>27.0</v>
      </c>
      <c r="B657" s="35" t="str">
        <f t="array" ref="B657">INDEX('Báo cáo 75 trang đích'!$B$2:$B$76,$A657)</f>
        <v>https://techcombank.com/thong-tin/blog/eco-card</v>
      </c>
      <c r="C657" s="5" t="str">
        <f t="array" ref="C657">INDEX('Báo cáo 75 trang đích'!$C$2:$C$76,$A657)</f>
        <v>CASA</v>
      </c>
      <c r="D657" s="20" t="s">
        <v>1400</v>
      </c>
      <c r="E657" s="22" t="s">
        <v>716</v>
      </c>
      <c r="F657" s="22" t="s">
        <v>81</v>
      </c>
      <c r="G657" s="22" t="s">
        <v>1382</v>
      </c>
      <c r="H657" s="24" t="s">
        <v>59</v>
      </c>
      <c r="I657" s="24" t="s">
        <v>59</v>
      </c>
      <c r="J657" s="24" t="s">
        <v>60</v>
      </c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6">
        <v>27.0</v>
      </c>
      <c r="B658" s="35" t="str">
        <f t="array" ref="B658">INDEX('Báo cáo 75 trang đích'!$B$2:$B$76,$A658)</f>
        <v>https://techcombank.com/thong-tin/blog/eco-card</v>
      </c>
      <c r="C658" s="5" t="str">
        <f t="array" ref="C658">INDEX('Báo cáo 75 trang đích'!$C$2:$C$76,$A658)</f>
        <v>CASA</v>
      </c>
      <c r="D658" s="20" t="s">
        <v>1401</v>
      </c>
      <c r="E658" s="22" t="s">
        <v>719</v>
      </c>
      <c r="F658" s="22" t="s">
        <v>81</v>
      </c>
      <c r="G658" s="22" t="s">
        <v>1402</v>
      </c>
      <c r="H658" s="24" t="s">
        <v>59</v>
      </c>
      <c r="I658" s="24" t="s">
        <v>59</v>
      </c>
      <c r="J658" s="24" t="s">
        <v>60</v>
      </c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6">
        <v>27.0</v>
      </c>
      <c r="B659" s="35" t="str">
        <f t="array" ref="B659">INDEX('Báo cáo 75 trang đích'!$B$2:$B$76,$A659)</f>
        <v>https://techcombank.com/thong-tin/blog/eco-card</v>
      </c>
      <c r="C659" s="5" t="str">
        <f t="array" ref="C659">INDEX('Báo cáo 75 trang đích'!$C$2:$C$76,$A659)</f>
        <v>CASA</v>
      </c>
      <c r="D659" s="20" t="s">
        <v>1403</v>
      </c>
      <c r="E659" s="22" t="s">
        <v>205</v>
      </c>
      <c r="F659" s="22" t="s">
        <v>81</v>
      </c>
      <c r="G659" s="22" t="s">
        <v>1382</v>
      </c>
      <c r="H659" s="24" t="s">
        <v>59</v>
      </c>
      <c r="I659" s="24" t="s">
        <v>59</v>
      </c>
      <c r="J659" s="24" t="s">
        <v>60</v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6">
        <v>27.0</v>
      </c>
      <c r="B660" s="35" t="str">
        <f t="array" ref="B660">INDEX('Báo cáo 75 trang đích'!$B$2:$B$76,$A660)</f>
        <v>https://techcombank.com/thong-tin/blog/eco-card</v>
      </c>
      <c r="C660" s="5" t="str">
        <f t="array" ref="C660">INDEX('Báo cáo 75 trang đích'!$C$2:$C$76,$A660)</f>
        <v>CASA</v>
      </c>
      <c r="D660" s="20" t="s">
        <v>648</v>
      </c>
      <c r="E660" s="22" t="s">
        <v>716</v>
      </c>
      <c r="F660" s="22" t="s">
        <v>81</v>
      </c>
      <c r="G660" s="22" t="s">
        <v>1382</v>
      </c>
      <c r="H660" s="24" t="s">
        <v>59</v>
      </c>
      <c r="I660" s="24" t="s">
        <v>59</v>
      </c>
      <c r="J660" s="24" t="s">
        <v>60</v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6">
        <v>27.0</v>
      </c>
      <c r="B661" s="35" t="str">
        <f t="array" ref="B661">INDEX('Báo cáo 75 trang đích'!$B$2:$B$76,$A661)</f>
        <v>https://techcombank.com/thong-tin/blog/eco-card</v>
      </c>
      <c r="C661" s="5" t="str">
        <f t="array" ref="C661">INDEX('Báo cáo 75 trang đích'!$C$2:$C$76,$A661)</f>
        <v>CASA</v>
      </c>
      <c r="D661" s="20" t="s">
        <v>1404</v>
      </c>
      <c r="E661" s="22" t="s">
        <v>719</v>
      </c>
      <c r="F661" s="22" t="s">
        <v>81</v>
      </c>
      <c r="G661" s="22" t="s">
        <v>1388</v>
      </c>
      <c r="H661" s="24" t="s">
        <v>59</v>
      </c>
      <c r="I661" s="24" t="s">
        <v>59</v>
      </c>
      <c r="J661" s="24" t="s">
        <v>60</v>
      </c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6">
        <v>27.0</v>
      </c>
      <c r="B662" s="35" t="str">
        <f t="array" ref="B662">INDEX('Báo cáo 75 trang đích'!$B$2:$B$76,$A662)</f>
        <v>https://techcombank.com/thong-tin/blog/eco-card</v>
      </c>
      <c r="C662" s="5" t="str">
        <f t="array" ref="C662">INDEX('Báo cáo 75 trang đích'!$C$2:$C$76,$A662)</f>
        <v>CASA</v>
      </c>
      <c r="D662" s="20" t="s">
        <v>1405</v>
      </c>
      <c r="E662" s="22" t="s">
        <v>205</v>
      </c>
      <c r="F662" s="22" t="s">
        <v>81</v>
      </c>
      <c r="G662" s="22" t="s">
        <v>1381</v>
      </c>
      <c r="H662" s="24" t="s">
        <v>59</v>
      </c>
      <c r="I662" s="24" t="s">
        <v>59</v>
      </c>
      <c r="J662" s="24" t="s">
        <v>60</v>
      </c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6">
        <v>27.0</v>
      </c>
      <c r="B663" s="35" t="str">
        <f t="array" ref="B663">INDEX('Báo cáo 75 trang đích'!$B$2:$B$76,$A663)</f>
        <v>https://techcombank.com/thong-tin/blog/eco-card</v>
      </c>
      <c r="C663" s="5" t="str">
        <f t="array" ref="C663">INDEX('Báo cáo 75 trang đích'!$C$2:$C$76,$A663)</f>
        <v>CASA</v>
      </c>
      <c r="D663" s="20" t="s">
        <v>1406</v>
      </c>
      <c r="E663" s="22" t="s">
        <v>716</v>
      </c>
      <c r="F663" s="22" t="s">
        <v>81</v>
      </c>
      <c r="G663" s="22" t="s">
        <v>1381</v>
      </c>
      <c r="H663" s="24" t="s">
        <v>59</v>
      </c>
      <c r="I663" s="24" t="s">
        <v>59</v>
      </c>
      <c r="J663" s="24" t="s">
        <v>60</v>
      </c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6">
        <v>27.0</v>
      </c>
      <c r="B664" s="35" t="str">
        <f t="array" ref="B664">INDEX('Báo cáo 75 trang đích'!$B$2:$B$76,$A664)</f>
        <v>https://techcombank.com/thong-tin/blog/eco-card</v>
      </c>
      <c r="C664" s="5" t="str">
        <f t="array" ref="C664">INDEX('Báo cáo 75 trang đích'!$C$2:$C$76,$A664)</f>
        <v>CASA</v>
      </c>
      <c r="D664" s="20" t="s">
        <v>1407</v>
      </c>
      <c r="E664" s="22" t="s">
        <v>719</v>
      </c>
      <c r="F664" s="22" t="s">
        <v>81</v>
      </c>
      <c r="G664" s="22" t="s">
        <v>1408</v>
      </c>
      <c r="H664" s="24" t="s">
        <v>59</v>
      </c>
      <c r="I664" s="24" t="s">
        <v>59</v>
      </c>
      <c r="J664" s="24" t="s">
        <v>60</v>
      </c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6">
        <v>27.0</v>
      </c>
      <c r="B665" s="35" t="str">
        <f t="array" ref="B665">INDEX('Báo cáo 75 trang đích'!$B$2:$B$76,$A665)</f>
        <v>https://techcombank.com/thong-tin/blog/eco-card</v>
      </c>
      <c r="C665" s="5" t="str">
        <f t="array" ref="C665">INDEX('Báo cáo 75 trang đích'!$C$2:$C$76,$A665)</f>
        <v>CASA</v>
      </c>
      <c r="D665" s="20" t="s">
        <v>1409</v>
      </c>
      <c r="E665" s="22" t="s">
        <v>205</v>
      </c>
      <c r="F665" s="22" t="s">
        <v>81</v>
      </c>
      <c r="G665" s="22" t="s">
        <v>1408</v>
      </c>
      <c r="H665" s="24" t="s">
        <v>59</v>
      </c>
      <c r="I665" s="24" t="s">
        <v>59</v>
      </c>
      <c r="J665" s="24" t="s">
        <v>60</v>
      </c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6">
        <v>27.0</v>
      </c>
      <c r="B666" s="35" t="str">
        <f t="array" ref="B666">INDEX('Báo cáo 75 trang đích'!$B$2:$B$76,$A666)</f>
        <v>https://techcombank.com/thong-tin/blog/eco-card</v>
      </c>
      <c r="C666" s="5" t="str">
        <f t="array" ref="C666">INDEX('Báo cáo 75 trang đích'!$C$2:$C$76,$A666)</f>
        <v>CASA</v>
      </c>
      <c r="D666" s="20" t="s">
        <v>1410</v>
      </c>
      <c r="E666" s="22" t="s">
        <v>716</v>
      </c>
      <c r="F666" s="22" t="s">
        <v>81</v>
      </c>
      <c r="G666" s="22" t="s">
        <v>1381</v>
      </c>
      <c r="H666" s="24" t="s">
        <v>59</v>
      </c>
      <c r="I666" s="24" t="s">
        <v>59</v>
      </c>
      <c r="J666" s="24" t="s">
        <v>60</v>
      </c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6">
        <v>27.0</v>
      </c>
      <c r="B667" s="35" t="str">
        <f t="array" ref="B667">INDEX('Báo cáo 75 trang đích'!$B$2:$B$76,$A667)</f>
        <v>https://techcombank.com/thong-tin/blog/eco-card</v>
      </c>
      <c r="C667" s="5" t="str">
        <f t="array" ref="C667">INDEX('Báo cáo 75 trang đích'!$C$2:$C$76,$A667)</f>
        <v>CASA</v>
      </c>
      <c r="D667" s="20" t="s">
        <v>1287</v>
      </c>
      <c r="E667" s="22" t="s">
        <v>719</v>
      </c>
      <c r="F667" s="22" t="s">
        <v>81</v>
      </c>
      <c r="G667" s="22" t="s">
        <v>1381</v>
      </c>
      <c r="H667" s="24" t="s">
        <v>59</v>
      </c>
      <c r="I667" s="24" t="s">
        <v>59</v>
      </c>
      <c r="J667" s="24" t="s">
        <v>60</v>
      </c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6">
        <v>27.0</v>
      </c>
      <c r="B668" s="35" t="str">
        <f t="array" ref="B668">INDEX('Báo cáo 75 trang đích'!$B$2:$B$76,$A668)</f>
        <v>https://techcombank.com/thong-tin/blog/eco-card</v>
      </c>
      <c r="C668" s="5" t="str">
        <f t="array" ref="C668">INDEX('Báo cáo 75 trang đích'!$C$2:$C$76,$A668)</f>
        <v>CASA</v>
      </c>
      <c r="D668" s="20" t="s">
        <v>1411</v>
      </c>
      <c r="E668" s="22" t="s">
        <v>205</v>
      </c>
      <c r="F668" s="22" t="s">
        <v>81</v>
      </c>
      <c r="G668" s="22" t="s">
        <v>1381</v>
      </c>
      <c r="H668" s="24" t="s">
        <v>59</v>
      </c>
      <c r="I668" s="24" t="s">
        <v>59</v>
      </c>
      <c r="J668" s="24" t="s">
        <v>60</v>
      </c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6">
        <v>27.0</v>
      </c>
      <c r="B669" s="35" t="str">
        <f t="array" ref="B669">INDEX('Báo cáo 75 trang đích'!$B$2:$B$76,$A669)</f>
        <v>https://techcombank.com/thong-tin/blog/eco-card</v>
      </c>
      <c r="C669" s="5" t="str">
        <f t="array" ref="C669">INDEX('Báo cáo 75 trang đích'!$C$2:$C$76,$A669)</f>
        <v>CASA</v>
      </c>
      <c r="D669" s="20" t="s">
        <v>461</v>
      </c>
      <c r="E669" s="22" t="s">
        <v>716</v>
      </c>
      <c r="F669" s="22" t="s">
        <v>81</v>
      </c>
      <c r="G669" s="22" t="s">
        <v>1381</v>
      </c>
      <c r="H669" s="24" t="s">
        <v>59</v>
      </c>
      <c r="I669" s="24" t="s">
        <v>59</v>
      </c>
      <c r="J669" s="24" t="s">
        <v>60</v>
      </c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6">
        <v>27.0</v>
      </c>
      <c r="B670" s="35" t="str">
        <f t="array" ref="B670">INDEX('Báo cáo 75 trang đích'!$B$2:$B$76,$A670)</f>
        <v>https://techcombank.com/thong-tin/blog/eco-card</v>
      </c>
      <c r="C670" s="5" t="str">
        <f t="array" ref="C670">INDEX('Báo cáo 75 trang đích'!$C$2:$C$76,$A670)</f>
        <v>CASA</v>
      </c>
      <c r="D670" s="20" t="s">
        <v>1412</v>
      </c>
      <c r="E670" s="22" t="s">
        <v>719</v>
      </c>
      <c r="F670" s="22" t="s">
        <v>81</v>
      </c>
      <c r="G670" s="22" t="s">
        <v>1408</v>
      </c>
      <c r="H670" s="24" t="s">
        <v>59</v>
      </c>
      <c r="I670" s="24" t="s">
        <v>59</v>
      </c>
      <c r="J670" s="24" t="s">
        <v>60</v>
      </c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6">
        <v>27.0</v>
      </c>
      <c r="B671" s="35" t="str">
        <f t="array" ref="B671">INDEX('Báo cáo 75 trang đích'!$B$2:$B$76,$A671)</f>
        <v>https://techcombank.com/thong-tin/blog/eco-card</v>
      </c>
      <c r="C671" s="5" t="str">
        <f t="array" ref="C671">INDEX('Báo cáo 75 trang đích'!$C$2:$C$76,$A671)</f>
        <v>CASA</v>
      </c>
      <c r="D671" s="20" t="s">
        <v>1364</v>
      </c>
      <c r="E671" s="22" t="s">
        <v>205</v>
      </c>
      <c r="F671" s="22" t="s">
        <v>81</v>
      </c>
      <c r="G671" s="22" t="s">
        <v>1382</v>
      </c>
      <c r="H671" s="24" t="s">
        <v>59</v>
      </c>
      <c r="I671" s="24" t="s">
        <v>59</v>
      </c>
      <c r="J671" s="24" t="s">
        <v>60</v>
      </c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6">
        <v>27.0</v>
      </c>
      <c r="B672" s="35" t="str">
        <f t="array" ref="B672">INDEX('Báo cáo 75 trang đích'!$B$2:$B$76,$A672)</f>
        <v>https://techcombank.com/thong-tin/blog/eco-card</v>
      </c>
      <c r="C672" s="5" t="str">
        <f t="array" ref="C672">INDEX('Báo cáo 75 trang đích'!$C$2:$C$76,$A672)</f>
        <v>CASA</v>
      </c>
      <c r="D672" s="20" t="s">
        <v>1413</v>
      </c>
      <c r="E672" s="22" t="s">
        <v>716</v>
      </c>
      <c r="F672" s="22" t="s">
        <v>81</v>
      </c>
      <c r="G672" s="22" t="s">
        <v>1381</v>
      </c>
      <c r="H672" s="24" t="s">
        <v>59</v>
      </c>
      <c r="I672" s="24" t="s">
        <v>59</v>
      </c>
      <c r="J672" s="24" t="s">
        <v>60</v>
      </c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6">
        <v>27.0</v>
      </c>
      <c r="B673" s="35" t="str">
        <f t="array" ref="B673">INDEX('Báo cáo 75 trang đích'!$B$2:$B$76,$A673)</f>
        <v>https://techcombank.com/thong-tin/blog/eco-card</v>
      </c>
      <c r="C673" s="5" t="str">
        <f t="array" ref="C673">INDEX('Báo cáo 75 trang đích'!$C$2:$C$76,$A673)</f>
        <v>CASA</v>
      </c>
      <c r="D673" s="20" t="s">
        <v>882</v>
      </c>
      <c r="E673" s="22" t="s">
        <v>719</v>
      </c>
      <c r="F673" s="22" t="s">
        <v>81</v>
      </c>
      <c r="G673" s="22" t="s">
        <v>1382</v>
      </c>
      <c r="H673" s="24" t="s">
        <v>59</v>
      </c>
      <c r="I673" s="24" t="s">
        <v>59</v>
      </c>
      <c r="J673" s="24" t="s">
        <v>60</v>
      </c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6">
        <v>27.0</v>
      </c>
      <c r="B674" s="35" t="str">
        <f t="array" ref="B674">INDEX('Báo cáo 75 trang đích'!$B$2:$B$76,$A674)</f>
        <v>https://techcombank.com/thong-tin/blog/eco-card</v>
      </c>
      <c r="C674" s="5" t="str">
        <f t="array" ref="C674">INDEX('Báo cáo 75 trang đích'!$C$2:$C$76,$A674)</f>
        <v>CASA</v>
      </c>
      <c r="D674" s="20" t="s">
        <v>1146</v>
      </c>
      <c r="E674" s="22" t="s">
        <v>205</v>
      </c>
      <c r="F674" s="22" t="s">
        <v>81</v>
      </c>
      <c r="G674" s="22" t="s">
        <v>1381</v>
      </c>
      <c r="H674" s="24" t="s">
        <v>59</v>
      </c>
      <c r="I674" s="24" t="s">
        <v>59</v>
      </c>
      <c r="J674" s="24" t="s">
        <v>60</v>
      </c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6">
        <v>27.0</v>
      </c>
      <c r="B675" s="35" t="str">
        <f t="array" ref="B675">INDEX('Báo cáo 75 trang đích'!$B$2:$B$76,$A675)</f>
        <v>https://techcombank.com/thong-tin/blog/eco-card</v>
      </c>
      <c r="C675" s="5" t="str">
        <f t="array" ref="C675">INDEX('Báo cáo 75 trang đích'!$C$2:$C$76,$A675)</f>
        <v>CASA</v>
      </c>
      <c r="D675" s="20" t="s">
        <v>1365</v>
      </c>
      <c r="E675" s="22" t="s">
        <v>716</v>
      </c>
      <c r="F675" s="22" t="s">
        <v>81</v>
      </c>
      <c r="G675" s="22" t="s">
        <v>1382</v>
      </c>
      <c r="H675" s="24" t="s">
        <v>59</v>
      </c>
      <c r="I675" s="24" t="s">
        <v>59</v>
      </c>
      <c r="J675" s="24" t="s">
        <v>60</v>
      </c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6">
        <v>27.0</v>
      </c>
      <c r="B676" s="35" t="str">
        <f t="array" ref="B676">INDEX('Báo cáo 75 trang đích'!$B$2:$B$76,$A676)</f>
        <v>https://techcombank.com/thong-tin/blog/eco-card</v>
      </c>
      <c r="C676" s="5" t="str">
        <f t="array" ref="C676">INDEX('Báo cáo 75 trang đích'!$C$2:$C$76,$A676)</f>
        <v>CASA</v>
      </c>
      <c r="D676" s="20" t="s">
        <v>230</v>
      </c>
      <c r="E676" s="22" t="s">
        <v>719</v>
      </c>
      <c r="F676" s="22" t="s">
        <v>81</v>
      </c>
      <c r="G676" s="22" t="s">
        <v>1381</v>
      </c>
      <c r="H676" s="24" t="s">
        <v>59</v>
      </c>
      <c r="I676" s="24" t="s">
        <v>59</v>
      </c>
      <c r="J676" s="24" t="s">
        <v>60</v>
      </c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6">
        <v>28.0</v>
      </c>
      <c r="B677" s="35" t="str">
        <f t="array" ref="B677">INDEX('Báo cáo 75 trang đích'!$B$2:$B$76,$A677)</f>
        <v>https://techcombank.com/thong-tin/blog/cic-la-gi</v>
      </c>
      <c r="C677" s="5" t="str">
        <f t="array" ref="C677">INDEX('Báo cáo 75 trang đích'!$C$2:$C$76,$A677)</f>
        <v>CCB</v>
      </c>
      <c r="D677" s="20" t="s">
        <v>722</v>
      </c>
      <c r="E677" s="22" t="s">
        <v>209</v>
      </c>
      <c r="F677" s="22" t="s">
        <v>57</v>
      </c>
      <c r="G677" s="22" t="s">
        <v>1414</v>
      </c>
      <c r="H677" s="24" t="s">
        <v>59</v>
      </c>
      <c r="I677" s="24" t="s">
        <v>59</v>
      </c>
      <c r="J677" s="24" t="s">
        <v>60</v>
      </c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6">
        <v>28.0</v>
      </c>
      <c r="B678" s="35" t="str">
        <f t="array" ref="B678">INDEX('Báo cáo 75 trang đích'!$B$2:$B$76,$A678)</f>
        <v>https://techcombank.com/thong-tin/blog/cic-la-gi</v>
      </c>
      <c r="C678" s="5" t="str">
        <f t="array" ref="C678">INDEX('Báo cáo 75 trang đích'!$C$2:$C$76,$A678)</f>
        <v>CCB</v>
      </c>
      <c r="D678" s="20" t="s">
        <v>724</v>
      </c>
      <c r="E678" s="22" t="s">
        <v>726</v>
      </c>
      <c r="F678" s="22" t="s">
        <v>57</v>
      </c>
      <c r="G678" s="22" t="s">
        <v>1415</v>
      </c>
      <c r="H678" s="24" t="s">
        <v>59</v>
      </c>
      <c r="I678" s="24" t="s">
        <v>59</v>
      </c>
      <c r="J678" s="24" t="s">
        <v>60</v>
      </c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6">
        <v>28.0</v>
      </c>
      <c r="B679" s="35" t="str">
        <f t="array" ref="B679">INDEX('Báo cáo 75 trang đích'!$B$2:$B$76,$A679)</f>
        <v>https://techcombank.com/thong-tin/blog/cic-la-gi</v>
      </c>
      <c r="C679" s="5" t="str">
        <f t="array" ref="C679">INDEX('Báo cáo 75 trang đích'!$C$2:$C$76,$A679)</f>
        <v>CCB</v>
      </c>
      <c r="D679" s="20" t="s">
        <v>727</v>
      </c>
      <c r="E679" s="22" t="s">
        <v>730</v>
      </c>
      <c r="F679" s="22" t="s">
        <v>57</v>
      </c>
      <c r="G679" s="22" t="s">
        <v>1416</v>
      </c>
      <c r="H679" s="24" t="s">
        <v>59</v>
      </c>
      <c r="I679" s="24" t="s">
        <v>59</v>
      </c>
      <c r="J679" s="24" t="s">
        <v>60</v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6">
        <v>28.0</v>
      </c>
      <c r="B680" s="35" t="str">
        <f t="array" ref="B680">INDEX('Báo cáo 75 trang đích'!$B$2:$B$76,$A680)</f>
        <v>https://techcombank.com/thong-tin/blog/cic-la-gi</v>
      </c>
      <c r="C680" s="5" t="str">
        <f t="array" ref="C680">INDEX('Báo cáo 75 trang đích'!$C$2:$C$76,$A680)</f>
        <v>CCB</v>
      </c>
      <c r="D680" s="20" t="s">
        <v>731</v>
      </c>
      <c r="E680" s="22" t="s">
        <v>733</v>
      </c>
      <c r="F680" s="22" t="s">
        <v>76</v>
      </c>
      <c r="G680" s="22" t="s">
        <v>1417</v>
      </c>
      <c r="H680" s="24" t="s">
        <v>59</v>
      </c>
      <c r="I680" s="24" t="s">
        <v>59</v>
      </c>
      <c r="J680" s="24" t="s">
        <v>60</v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6">
        <v>28.0</v>
      </c>
      <c r="B681" s="35" t="str">
        <f t="array" ref="B681">INDEX('Báo cáo 75 trang đích'!$B$2:$B$76,$A681)</f>
        <v>https://techcombank.com/thong-tin/blog/cic-la-gi</v>
      </c>
      <c r="C681" s="5" t="str">
        <f t="array" ref="C681">INDEX('Báo cáo 75 trang đích'!$C$2:$C$76,$A681)</f>
        <v>CCB</v>
      </c>
      <c r="D681" s="20" t="s">
        <v>734</v>
      </c>
      <c r="E681" s="22" t="s">
        <v>736</v>
      </c>
      <c r="F681" s="22" t="s">
        <v>76</v>
      </c>
      <c r="G681" s="22" t="s">
        <v>1418</v>
      </c>
      <c r="H681" s="24" t="s">
        <v>59</v>
      </c>
      <c r="I681" s="24" t="s">
        <v>59</v>
      </c>
      <c r="J681" s="24" t="s">
        <v>60</v>
      </c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6">
        <v>28.0</v>
      </c>
      <c r="B682" s="35" t="str">
        <f t="array" ref="B682">INDEX('Báo cáo 75 trang đích'!$B$2:$B$76,$A682)</f>
        <v>https://techcombank.com/thong-tin/blog/cic-la-gi</v>
      </c>
      <c r="C682" s="5" t="str">
        <f t="array" ref="C682">INDEX('Báo cáo 75 trang đích'!$C$2:$C$76,$A682)</f>
        <v>CCB</v>
      </c>
      <c r="D682" s="20" t="s">
        <v>1248</v>
      </c>
      <c r="E682" s="22" t="s">
        <v>209</v>
      </c>
      <c r="F682" s="22" t="s">
        <v>81</v>
      </c>
      <c r="G682" s="22" t="s">
        <v>1419</v>
      </c>
      <c r="H682" s="24" t="s">
        <v>59</v>
      </c>
      <c r="I682" s="24" t="s">
        <v>59</v>
      </c>
      <c r="J682" s="24" t="s">
        <v>60</v>
      </c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6">
        <v>28.0</v>
      </c>
      <c r="B683" s="35" t="str">
        <f t="array" ref="B683">INDEX('Báo cáo 75 trang đích'!$B$2:$B$76,$A683)</f>
        <v>https://techcombank.com/thong-tin/blog/cic-la-gi</v>
      </c>
      <c r="C683" s="5" t="str">
        <f t="array" ref="C683">INDEX('Báo cáo 75 trang đích'!$C$2:$C$76,$A683)</f>
        <v>CCB</v>
      </c>
      <c r="D683" s="20" t="s">
        <v>382</v>
      </c>
      <c r="E683" s="22" t="s">
        <v>726</v>
      </c>
      <c r="F683" s="22" t="s">
        <v>81</v>
      </c>
      <c r="G683" s="22" t="s">
        <v>1420</v>
      </c>
      <c r="H683" s="24" t="s">
        <v>59</v>
      </c>
      <c r="I683" s="24" t="s">
        <v>59</v>
      </c>
      <c r="J683" s="24" t="s">
        <v>60</v>
      </c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6">
        <v>28.0</v>
      </c>
      <c r="B684" s="35" t="str">
        <f t="array" ref="B684">INDEX('Báo cáo 75 trang đích'!$B$2:$B$76,$A684)</f>
        <v>https://techcombank.com/thong-tin/blog/cic-la-gi</v>
      </c>
      <c r="C684" s="5" t="str">
        <f t="array" ref="C684">INDEX('Báo cáo 75 trang đích'!$C$2:$C$76,$A684)</f>
        <v>CCB</v>
      </c>
      <c r="D684" s="20" t="s">
        <v>1421</v>
      </c>
      <c r="E684" s="22" t="s">
        <v>730</v>
      </c>
      <c r="F684" s="22" t="s">
        <v>81</v>
      </c>
      <c r="G684" s="22" t="s">
        <v>1422</v>
      </c>
      <c r="H684" s="24" t="s">
        <v>59</v>
      </c>
      <c r="I684" s="24" t="s">
        <v>59</v>
      </c>
      <c r="J684" s="24" t="s">
        <v>60</v>
      </c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6">
        <v>28.0</v>
      </c>
      <c r="B685" s="35" t="str">
        <f t="array" ref="B685">INDEX('Báo cáo 75 trang đích'!$B$2:$B$76,$A685)</f>
        <v>https://techcombank.com/thong-tin/blog/cic-la-gi</v>
      </c>
      <c r="C685" s="5" t="str">
        <f t="array" ref="C685">INDEX('Báo cáo 75 trang đích'!$C$2:$C$76,$A685)</f>
        <v>CCB</v>
      </c>
      <c r="D685" s="20" t="s">
        <v>391</v>
      </c>
      <c r="E685" s="22" t="s">
        <v>733</v>
      </c>
      <c r="F685" s="22" t="s">
        <v>81</v>
      </c>
      <c r="G685" s="22" t="s">
        <v>1422</v>
      </c>
      <c r="H685" s="24" t="s">
        <v>59</v>
      </c>
      <c r="I685" s="24" t="s">
        <v>59</v>
      </c>
      <c r="J685" s="24" t="s">
        <v>60</v>
      </c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6">
        <v>28.0</v>
      </c>
      <c r="B686" s="35" t="str">
        <f t="array" ref="B686">INDEX('Báo cáo 75 trang đích'!$B$2:$B$76,$A686)</f>
        <v>https://techcombank.com/thong-tin/blog/cic-la-gi</v>
      </c>
      <c r="C686" s="5" t="str">
        <f t="array" ref="C686">INDEX('Báo cáo 75 trang đích'!$C$2:$C$76,$A686)</f>
        <v>CCB</v>
      </c>
      <c r="D686" s="20" t="s">
        <v>1210</v>
      </c>
      <c r="E686" s="22" t="s">
        <v>736</v>
      </c>
      <c r="F686" s="22" t="s">
        <v>81</v>
      </c>
      <c r="G686" s="22" t="s">
        <v>1423</v>
      </c>
      <c r="H686" s="24" t="s">
        <v>59</v>
      </c>
      <c r="I686" s="24" t="s">
        <v>59</v>
      </c>
      <c r="J686" s="24" t="s">
        <v>60</v>
      </c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6">
        <v>28.0</v>
      </c>
      <c r="B687" s="35" t="str">
        <f t="array" ref="B687">INDEX('Báo cáo 75 trang đích'!$B$2:$B$76,$A687)</f>
        <v>https://techcombank.com/thong-tin/blog/cic-la-gi</v>
      </c>
      <c r="C687" s="5" t="str">
        <f t="array" ref="C687">INDEX('Báo cáo 75 trang đích'!$C$2:$C$76,$A687)</f>
        <v>CCB</v>
      </c>
      <c r="D687" s="20" t="s">
        <v>813</v>
      </c>
      <c r="E687" s="22" t="s">
        <v>209</v>
      </c>
      <c r="F687" s="22" t="s">
        <v>81</v>
      </c>
      <c r="G687" s="22" t="s">
        <v>1423</v>
      </c>
      <c r="H687" s="24" t="s">
        <v>59</v>
      </c>
      <c r="I687" s="24" t="s">
        <v>59</v>
      </c>
      <c r="J687" s="24" t="s">
        <v>60</v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6">
        <v>28.0</v>
      </c>
      <c r="B688" s="35" t="str">
        <f t="array" ref="B688">INDEX('Báo cáo 75 trang đích'!$B$2:$B$76,$A688)</f>
        <v>https://techcombank.com/thong-tin/blog/cic-la-gi</v>
      </c>
      <c r="C688" s="5" t="str">
        <f t="array" ref="C688">INDEX('Báo cáo 75 trang đích'!$C$2:$C$76,$A688)</f>
        <v>CCB</v>
      </c>
      <c r="D688" s="20" t="s">
        <v>1032</v>
      </c>
      <c r="E688" s="22" t="s">
        <v>726</v>
      </c>
      <c r="F688" s="22" t="s">
        <v>81</v>
      </c>
      <c r="G688" s="22" t="s">
        <v>1422</v>
      </c>
      <c r="H688" s="24" t="s">
        <v>59</v>
      </c>
      <c r="I688" s="24" t="s">
        <v>59</v>
      </c>
      <c r="J688" s="24" t="s">
        <v>60</v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6">
        <v>28.0</v>
      </c>
      <c r="B689" s="35" t="str">
        <f t="array" ref="B689">INDEX('Báo cáo 75 trang đích'!$B$2:$B$76,$A689)</f>
        <v>https://techcombank.com/thong-tin/blog/cic-la-gi</v>
      </c>
      <c r="C689" s="5" t="str">
        <f t="array" ref="C689">INDEX('Báo cáo 75 trang đích'!$C$2:$C$76,$A689)</f>
        <v>CCB</v>
      </c>
      <c r="D689" s="20" t="s">
        <v>811</v>
      </c>
      <c r="E689" s="22" t="s">
        <v>730</v>
      </c>
      <c r="F689" s="22" t="s">
        <v>81</v>
      </c>
      <c r="G689" s="22" t="s">
        <v>1422</v>
      </c>
      <c r="H689" s="24" t="s">
        <v>59</v>
      </c>
      <c r="I689" s="24" t="s">
        <v>59</v>
      </c>
      <c r="J689" s="24" t="s">
        <v>60</v>
      </c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6">
        <v>28.0</v>
      </c>
      <c r="B690" s="35" t="str">
        <f t="array" ref="B690">INDEX('Báo cáo 75 trang đích'!$B$2:$B$76,$A690)</f>
        <v>https://techcombank.com/thong-tin/blog/cic-la-gi</v>
      </c>
      <c r="C690" s="5" t="str">
        <f t="array" ref="C690">INDEX('Báo cáo 75 trang đích'!$C$2:$C$76,$A690)</f>
        <v>CCB</v>
      </c>
      <c r="D690" s="20" t="s">
        <v>1424</v>
      </c>
      <c r="E690" s="22" t="s">
        <v>733</v>
      </c>
      <c r="F690" s="22" t="s">
        <v>81</v>
      </c>
      <c r="G690" s="22" t="s">
        <v>1425</v>
      </c>
      <c r="H690" s="24" t="s">
        <v>59</v>
      </c>
      <c r="I690" s="24" t="s">
        <v>59</v>
      </c>
      <c r="J690" s="24" t="s">
        <v>60</v>
      </c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6">
        <v>28.0</v>
      </c>
      <c r="B691" s="35" t="str">
        <f t="array" ref="B691">INDEX('Báo cáo 75 trang đích'!$B$2:$B$76,$A691)</f>
        <v>https://techcombank.com/thong-tin/blog/cic-la-gi</v>
      </c>
      <c r="C691" s="5" t="str">
        <f t="array" ref="C691">INDEX('Báo cáo 75 trang đích'!$C$2:$C$76,$A691)</f>
        <v>CCB</v>
      </c>
      <c r="D691" s="20" t="s">
        <v>800</v>
      </c>
      <c r="E691" s="22" t="s">
        <v>736</v>
      </c>
      <c r="F691" s="22" t="s">
        <v>81</v>
      </c>
      <c r="G691" s="22" t="s">
        <v>1422</v>
      </c>
      <c r="H691" s="24" t="s">
        <v>59</v>
      </c>
      <c r="I691" s="24" t="s">
        <v>59</v>
      </c>
      <c r="J691" s="24" t="s">
        <v>60</v>
      </c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6">
        <v>28.0</v>
      </c>
      <c r="B692" s="35" t="str">
        <f t="array" ref="B692">INDEX('Báo cáo 75 trang đích'!$B$2:$B$76,$A692)</f>
        <v>https://techcombank.com/thong-tin/blog/cic-la-gi</v>
      </c>
      <c r="C692" s="5" t="str">
        <f t="array" ref="C692">INDEX('Báo cáo 75 trang đích'!$C$2:$C$76,$A692)</f>
        <v>CCB</v>
      </c>
      <c r="D692" s="20" t="s">
        <v>1223</v>
      </c>
      <c r="E692" s="22" t="s">
        <v>209</v>
      </c>
      <c r="F692" s="22" t="s">
        <v>81</v>
      </c>
      <c r="G692" s="22" t="s">
        <v>1420</v>
      </c>
      <c r="H692" s="24" t="s">
        <v>59</v>
      </c>
      <c r="I692" s="24" t="s">
        <v>59</v>
      </c>
      <c r="J692" s="24" t="s">
        <v>60</v>
      </c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6">
        <v>28.0</v>
      </c>
      <c r="B693" s="35" t="str">
        <f t="array" ref="B693">INDEX('Báo cáo 75 trang đích'!$B$2:$B$76,$A693)</f>
        <v>https://techcombank.com/thong-tin/blog/cic-la-gi</v>
      </c>
      <c r="C693" s="5" t="str">
        <f t="array" ref="C693">INDEX('Báo cáo 75 trang đích'!$C$2:$C$76,$A693)</f>
        <v>CCB</v>
      </c>
      <c r="D693" s="20" t="s">
        <v>820</v>
      </c>
      <c r="E693" s="22" t="s">
        <v>726</v>
      </c>
      <c r="F693" s="22" t="s">
        <v>81</v>
      </c>
      <c r="G693" s="22" t="s">
        <v>1422</v>
      </c>
      <c r="H693" s="24" t="s">
        <v>59</v>
      </c>
      <c r="I693" s="24" t="s">
        <v>59</v>
      </c>
      <c r="J693" s="24" t="s">
        <v>60</v>
      </c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6">
        <v>28.0</v>
      </c>
      <c r="B694" s="35" t="str">
        <f t="array" ref="B694">INDEX('Báo cáo 75 trang đích'!$B$2:$B$76,$A694)</f>
        <v>https://techcombank.com/thong-tin/blog/cic-la-gi</v>
      </c>
      <c r="C694" s="5" t="str">
        <f t="array" ref="C694">INDEX('Báo cáo 75 trang đích'!$C$2:$C$76,$A694)</f>
        <v>CCB</v>
      </c>
      <c r="D694" s="20" t="s">
        <v>1426</v>
      </c>
      <c r="E694" s="22" t="s">
        <v>730</v>
      </c>
      <c r="F694" s="22" t="s">
        <v>81</v>
      </c>
      <c r="G694" s="22" t="s">
        <v>1419</v>
      </c>
      <c r="H694" s="24" t="s">
        <v>59</v>
      </c>
      <c r="I694" s="24" t="s">
        <v>59</v>
      </c>
      <c r="J694" s="24" t="s">
        <v>60</v>
      </c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6">
        <v>28.0</v>
      </c>
      <c r="B695" s="35" t="str">
        <f t="array" ref="B695">INDEX('Báo cáo 75 trang đích'!$B$2:$B$76,$A695)</f>
        <v>https://techcombank.com/thong-tin/blog/cic-la-gi</v>
      </c>
      <c r="C695" s="5" t="str">
        <f t="array" ref="C695">INDEX('Báo cáo 75 trang đích'!$C$2:$C$76,$A695)</f>
        <v>CCB</v>
      </c>
      <c r="D695" s="20" t="s">
        <v>809</v>
      </c>
      <c r="E695" s="22" t="s">
        <v>733</v>
      </c>
      <c r="F695" s="22" t="s">
        <v>81</v>
      </c>
      <c r="G695" s="22" t="s">
        <v>1422</v>
      </c>
      <c r="H695" s="24" t="s">
        <v>59</v>
      </c>
      <c r="I695" s="24" t="s">
        <v>59</v>
      </c>
      <c r="J695" s="24" t="s">
        <v>60</v>
      </c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6">
        <v>28.0</v>
      </c>
      <c r="B696" s="35" t="str">
        <f t="array" ref="B696">INDEX('Báo cáo 75 trang đích'!$B$2:$B$76,$A696)</f>
        <v>https://techcombank.com/thong-tin/blog/cic-la-gi</v>
      </c>
      <c r="C696" s="5" t="str">
        <f t="array" ref="C696">INDEX('Báo cáo 75 trang đích'!$C$2:$C$76,$A696)</f>
        <v>CCB</v>
      </c>
      <c r="D696" s="20" t="s">
        <v>132</v>
      </c>
      <c r="E696" s="22" t="s">
        <v>736</v>
      </c>
      <c r="F696" s="22" t="s">
        <v>81</v>
      </c>
      <c r="G696" s="22" t="s">
        <v>1419</v>
      </c>
      <c r="H696" s="24" t="s">
        <v>59</v>
      </c>
      <c r="I696" s="24" t="s">
        <v>59</v>
      </c>
      <c r="J696" s="24" t="s">
        <v>60</v>
      </c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6">
        <v>28.0</v>
      </c>
      <c r="B697" s="35" t="str">
        <f t="array" ref="B697">INDEX('Báo cáo 75 trang đích'!$B$2:$B$76,$A697)</f>
        <v>https://techcombank.com/thong-tin/blog/cic-la-gi</v>
      </c>
      <c r="C697" s="5" t="str">
        <f t="array" ref="C697">INDEX('Báo cáo 75 trang đích'!$C$2:$C$76,$A697)</f>
        <v>CCB</v>
      </c>
      <c r="D697" s="20" t="s">
        <v>1226</v>
      </c>
      <c r="E697" s="22" t="s">
        <v>209</v>
      </c>
      <c r="F697" s="22" t="s">
        <v>81</v>
      </c>
      <c r="G697" s="22" t="s">
        <v>1427</v>
      </c>
      <c r="H697" s="24" t="s">
        <v>59</v>
      </c>
      <c r="I697" s="24" t="s">
        <v>59</v>
      </c>
      <c r="J697" s="24" t="s">
        <v>60</v>
      </c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6">
        <v>28.0</v>
      </c>
      <c r="B698" s="35" t="str">
        <f t="array" ref="B698">INDEX('Báo cáo 75 trang đích'!$B$2:$B$76,$A698)</f>
        <v>https://techcombank.com/thong-tin/blog/cic-la-gi</v>
      </c>
      <c r="C698" s="5" t="str">
        <f t="array" ref="C698">INDEX('Báo cáo 75 trang đích'!$C$2:$C$76,$A698)</f>
        <v>CCB</v>
      </c>
      <c r="D698" s="20" t="s">
        <v>1076</v>
      </c>
      <c r="E698" s="22" t="s">
        <v>726</v>
      </c>
      <c r="F698" s="22" t="s">
        <v>81</v>
      </c>
      <c r="G698" s="22" t="s">
        <v>1419</v>
      </c>
      <c r="H698" s="24" t="s">
        <v>59</v>
      </c>
      <c r="I698" s="24" t="s">
        <v>59</v>
      </c>
      <c r="J698" s="24" t="s">
        <v>60</v>
      </c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6">
        <v>29.0</v>
      </c>
      <c r="B699" s="35" t="str">
        <f t="array" ref="B699">INDEX('Báo cáo 75 trang đích'!$B$2:$B$76,$A699)</f>
        <v>https://techcombank.com/thong-tin/blog/rut-tien-mat-tu-the-tin-dung</v>
      </c>
      <c r="C699" s="5" t="str">
        <f t="array" ref="C699">INDEX('Báo cáo 75 trang đích'!$C$2:$C$76,$A699)</f>
        <v>CCB</v>
      </c>
      <c r="D699" s="20" t="s">
        <v>738</v>
      </c>
      <c r="E699" s="22" t="s">
        <v>213</v>
      </c>
      <c r="F699" s="22" t="s">
        <v>57</v>
      </c>
      <c r="G699" s="22" t="s">
        <v>1428</v>
      </c>
      <c r="H699" s="24" t="s">
        <v>59</v>
      </c>
      <c r="I699" s="24" t="s">
        <v>59</v>
      </c>
      <c r="J699" s="24" t="s">
        <v>60</v>
      </c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6">
        <v>29.0</v>
      </c>
      <c r="B700" s="35" t="str">
        <f t="array" ref="B700">INDEX('Báo cáo 75 trang đích'!$B$2:$B$76,$A700)</f>
        <v>https://techcombank.com/thong-tin/blog/rut-tien-mat-tu-the-tin-dung</v>
      </c>
      <c r="C700" s="5" t="str">
        <f t="array" ref="C700">INDEX('Báo cáo 75 trang đích'!$C$2:$C$76,$A700)</f>
        <v>CCB</v>
      </c>
      <c r="D700" s="20" t="s">
        <v>740</v>
      </c>
      <c r="E700" s="22" t="s">
        <v>742</v>
      </c>
      <c r="F700" s="22" t="s">
        <v>57</v>
      </c>
      <c r="G700" s="22" t="s">
        <v>1429</v>
      </c>
      <c r="H700" s="24" t="s">
        <v>59</v>
      </c>
      <c r="I700" s="24" t="s">
        <v>59</v>
      </c>
      <c r="J700" s="24" t="s">
        <v>60</v>
      </c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6">
        <v>29.0</v>
      </c>
      <c r="B701" s="35" t="str">
        <f t="array" ref="B701">INDEX('Báo cáo 75 trang đích'!$B$2:$B$76,$A701)</f>
        <v>https://techcombank.com/thong-tin/blog/rut-tien-mat-tu-the-tin-dung</v>
      </c>
      <c r="C701" s="5" t="str">
        <f t="array" ref="C701">INDEX('Báo cáo 75 trang đích'!$C$2:$C$76,$A701)</f>
        <v>CCB</v>
      </c>
      <c r="D701" s="20" t="s">
        <v>269</v>
      </c>
      <c r="E701" s="22" t="s">
        <v>744</v>
      </c>
      <c r="F701" s="22" t="s">
        <v>57</v>
      </c>
      <c r="G701" s="22" t="s">
        <v>1430</v>
      </c>
      <c r="H701" s="24" t="s">
        <v>59</v>
      </c>
      <c r="I701" s="24" t="s">
        <v>59</v>
      </c>
      <c r="J701" s="24" t="s">
        <v>60</v>
      </c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6">
        <v>29.0</v>
      </c>
      <c r="B702" s="35" t="str">
        <f t="array" ref="B702">INDEX('Báo cáo 75 trang đích'!$B$2:$B$76,$A702)</f>
        <v>https://techcombank.com/thong-tin/blog/rut-tien-mat-tu-the-tin-dung</v>
      </c>
      <c r="C702" s="5" t="str">
        <f t="array" ref="C702">INDEX('Báo cáo 75 trang đích'!$C$2:$C$76,$A702)</f>
        <v>CCB</v>
      </c>
      <c r="D702" s="20" t="s">
        <v>747</v>
      </c>
      <c r="E702" s="22" t="s">
        <v>213</v>
      </c>
      <c r="F702" s="22" t="s">
        <v>76</v>
      </c>
      <c r="G702" s="22" t="s">
        <v>1431</v>
      </c>
      <c r="H702" s="24" t="s">
        <v>59</v>
      </c>
      <c r="I702" s="24" t="s">
        <v>59</v>
      </c>
      <c r="J702" s="24" t="s">
        <v>60</v>
      </c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6">
        <v>29.0</v>
      </c>
      <c r="B703" s="35" t="str">
        <f t="array" ref="B703">INDEX('Báo cáo 75 trang đích'!$B$2:$B$76,$A703)</f>
        <v>https://techcombank.com/thong-tin/blog/rut-tien-mat-tu-the-tin-dung</v>
      </c>
      <c r="C703" s="5" t="str">
        <f t="array" ref="C703">INDEX('Báo cáo 75 trang đích'!$C$2:$C$76,$A703)</f>
        <v>CCB</v>
      </c>
      <c r="D703" s="20" t="s">
        <v>749</v>
      </c>
      <c r="E703" s="22" t="s">
        <v>742</v>
      </c>
      <c r="F703" s="22" t="s">
        <v>76</v>
      </c>
      <c r="G703" s="22" t="s">
        <v>1432</v>
      </c>
      <c r="H703" s="24" t="s">
        <v>59</v>
      </c>
      <c r="I703" s="24" t="s">
        <v>59</v>
      </c>
      <c r="J703" s="24" t="s">
        <v>60</v>
      </c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6">
        <v>29.0</v>
      </c>
      <c r="B704" s="35" t="str">
        <f t="array" ref="B704">INDEX('Báo cáo 75 trang đích'!$B$2:$B$76,$A704)</f>
        <v>https://techcombank.com/thong-tin/blog/rut-tien-mat-tu-the-tin-dung</v>
      </c>
      <c r="C704" s="5" t="str">
        <f t="array" ref="C704">INDEX('Báo cáo 75 trang đích'!$C$2:$C$76,$A704)</f>
        <v>CCB</v>
      </c>
      <c r="D704" s="20" t="s">
        <v>353</v>
      </c>
      <c r="E704" s="22" t="s">
        <v>744</v>
      </c>
      <c r="F704" s="22" t="s">
        <v>81</v>
      </c>
      <c r="G704" s="22" t="s">
        <v>1433</v>
      </c>
      <c r="H704" s="24" t="s">
        <v>59</v>
      </c>
      <c r="I704" s="24" t="s">
        <v>59</v>
      </c>
      <c r="J704" s="24" t="s">
        <v>60</v>
      </c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6">
        <v>29.0</v>
      </c>
      <c r="B705" s="35" t="str">
        <f t="array" ref="B705">INDEX('Báo cáo 75 trang đích'!$B$2:$B$76,$A705)</f>
        <v>https://techcombank.com/thong-tin/blog/rut-tien-mat-tu-the-tin-dung</v>
      </c>
      <c r="C705" s="5" t="str">
        <f t="array" ref="C705">INDEX('Báo cáo 75 trang đích'!$C$2:$C$76,$A705)</f>
        <v>CCB</v>
      </c>
      <c r="D705" s="20" t="s">
        <v>1434</v>
      </c>
      <c r="E705" s="22" t="s">
        <v>213</v>
      </c>
      <c r="F705" s="22" t="s">
        <v>81</v>
      </c>
      <c r="G705" s="22" t="s">
        <v>1433</v>
      </c>
      <c r="H705" s="24" t="s">
        <v>59</v>
      </c>
      <c r="I705" s="24" t="s">
        <v>59</v>
      </c>
      <c r="J705" s="24" t="s">
        <v>60</v>
      </c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6">
        <v>29.0</v>
      </c>
      <c r="B706" s="35" t="str">
        <f t="array" ref="B706">INDEX('Báo cáo 75 trang đích'!$B$2:$B$76,$A706)</f>
        <v>https://techcombank.com/thong-tin/blog/rut-tien-mat-tu-the-tin-dung</v>
      </c>
      <c r="C706" s="5" t="str">
        <f t="array" ref="C706">INDEX('Báo cáo 75 trang đích'!$C$2:$C$76,$A706)</f>
        <v>CCB</v>
      </c>
      <c r="D706" s="20" t="s">
        <v>350</v>
      </c>
      <c r="E706" s="22" t="s">
        <v>742</v>
      </c>
      <c r="F706" s="22" t="s">
        <v>81</v>
      </c>
      <c r="G706" s="22" t="s">
        <v>1433</v>
      </c>
      <c r="H706" s="24" t="s">
        <v>59</v>
      </c>
      <c r="I706" s="24" t="s">
        <v>59</v>
      </c>
      <c r="J706" s="24" t="s">
        <v>60</v>
      </c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6">
        <v>29.0</v>
      </c>
      <c r="B707" s="35" t="str">
        <f t="array" ref="B707">INDEX('Báo cáo 75 trang đích'!$B$2:$B$76,$A707)</f>
        <v>https://techcombank.com/thong-tin/blog/rut-tien-mat-tu-the-tin-dung</v>
      </c>
      <c r="C707" s="5" t="str">
        <f t="array" ref="C707">INDEX('Báo cáo 75 trang đích'!$C$2:$C$76,$A707)</f>
        <v>CCB</v>
      </c>
      <c r="D707" s="20" t="s">
        <v>1435</v>
      </c>
      <c r="E707" s="22" t="s">
        <v>744</v>
      </c>
      <c r="F707" s="22" t="s">
        <v>81</v>
      </c>
      <c r="G707" s="22" t="s">
        <v>1433</v>
      </c>
      <c r="H707" s="24" t="s">
        <v>59</v>
      </c>
      <c r="I707" s="24" t="s">
        <v>59</v>
      </c>
      <c r="J707" s="24" t="s">
        <v>60</v>
      </c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6">
        <v>29.0</v>
      </c>
      <c r="B708" s="35" t="str">
        <f t="array" ref="B708">INDEX('Báo cáo 75 trang đích'!$B$2:$B$76,$A708)</f>
        <v>https://techcombank.com/thong-tin/blog/rut-tien-mat-tu-the-tin-dung</v>
      </c>
      <c r="C708" s="5" t="str">
        <f t="array" ref="C708">INDEX('Báo cáo 75 trang đích'!$C$2:$C$76,$A708)</f>
        <v>CCB</v>
      </c>
      <c r="D708" s="20" t="s">
        <v>363</v>
      </c>
      <c r="E708" s="22" t="s">
        <v>213</v>
      </c>
      <c r="F708" s="22" t="s">
        <v>81</v>
      </c>
      <c r="G708" s="22" t="s">
        <v>1436</v>
      </c>
      <c r="H708" s="24" t="s">
        <v>59</v>
      </c>
      <c r="I708" s="24" t="s">
        <v>59</v>
      </c>
      <c r="J708" s="24" t="s">
        <v>60</v>
      </c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6">
        <v>29.0</v>
      </c>
      <c r="B709" s="35" t="str">
        <f t="array" ref="B709">INDEX('Báo cáo 75 trang đích'!$B$2:$B$76,$A709)</f>
        <v>https://techcombank.com/thong-tin/blog/rut-tien-mat-tu-the-tin-dung</v>
      </c>
      <c r="C709" s="5" t="str">
        <f t="array" ref="C709">INDEX('Báo cáo 75 trang đích'!$C$2:$C$76,$A709)</f>
        <v>CCB</v>
      </c>
      <c r="D709" s="20" t="s">
        <v>476</v>
      </c>
      <c r="E709" s="22" t="s">
        <v>742</v>
      </c>
      <c r="F709" s="22" t="s">
        <v>81</v>
      </c>
      <c r="G709" s="22" t="s">
        <v>1352</v>
      </c>
      <c r="H709" s="24" t="s">
        <v>59</v>
      </c>
      <c r="I709" s="24" t="s">
        <v>59</v>
      </c>
      <c r="J709" s="24" t="s">
        <v>60</v>
      </c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6">
        <v>29.0</v>
      </c>
      <c r="B710" s="35" t="str">
        <f t="array" ref="B710">INDEX('Báo cáo 75 trang đích'!$B$2:$B$76,$A710)</f>
        <v>https://techcombank.com/thong-tin/blog/rut-tien-mat-tu-the-tin-dung</v>
      </c>
      <c r="C710" s="5" t="str">
        <f t="array" ref="C710">INDEX('Báo cáo 75 trang đích'!$C$2:$C$76,$A710)</f>
        <v>CCB</v>
      </c>
      <c r="D710" s="20" t="s">
        <v>345</v>
      </c>
      <c r="E710" s="22" t="s">
        <v>744</v>
      </c>
      <c r="F710" s="22" t="s">
        <v>81</v>
      </c>
      <c r="G710" s="22" t="s">
        <v>1436</v>
      </c>
      <c r="H710" s="24" t="s">
        <v>59</v>
      </c>
      <c r="I710" s="24" t="s">
        <v>59</v>
      </c>
      <c r="J710" s="24" t="s">
        <v>60</v>
      </c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6">
        <v>29.0</v>
      </c>
      <c r="B711" s="35" t="str">
        <f t="array" ref="B711">INDEX('Báo cáo 75 trang đích'!$B$2:$B$76,$A711)</f>
        <v>https://techcombank.com/thong-tin/blog/rut-tien-mat-tu-the-tin-dung</v>
      </c>
      <c r="C711" s="5" t="str">
        <f t="array" ref="C711">INDEX('Báo cáo 75 trang đích'!$C$2:$C$76,$A711)</f>
        <v>CCB</v>
      </c>
      <c r="D711" s="20" t="s">
        <v>688</v>
      </c>
      <c r="E711" s="22" t="s">
        <v>213</v>
      </c>
      <c r="F711" s="22" t="s">
        <v>81</v>
      </c>
      <c r="G711" s="22" t="s">
        <v>1352</v>
      </c>
      <c r="H711" s="24" t="s">
        <v>59</v>
      </c>
      <c r="I711" s="24" t="s">
        <v>59</v>
      </c>
      <c r="J711" s="24" t="s">
        <v>60</v>
      </c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6">
        <v>29.0</v>
      </c>
      <c r="B712" s="35" t="str">
        <f t="array" ref="B712">INDEX('Báo cáo 75 trang đích'!$B$2:$B$76,$A712)</f>
        <v>https://techcombank.com/thong-tin/blog/rut-tien-mat-tu-the-tin-dung</v>
      </c>
      <c r="C712" s="5" t="str">
        <f t="array" ref="C712">INDEX('Báo cáo 75 trang đích'!$C$2:$C$76,$A712)</f>
        <v>CCB</v>
      </c>
      <c r="D712" s="20" t="s">
        <v>1184</v>
      </c>
      <c r="E712" s="22" t="s">
        <v>742</v>
      </c>
      <c r="F712" s="22" t="s">
        <v>81</v>
      </c>
      <c r="G712" s="22" t="s">
        <v>1437</v>
      </c>
      <c r="H712" s="24" t="s">
        <v>59</v>
      </c>
      <c r="I712" s="24" t="s">
        <v>59</v>
      </c>
      <c r="J712" s="24" t="s">
        <v>60</v>
      </c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6">
        <v>29.0</v>
      </c>
      <c r="B713" s="35" t="str">
        <f t="array" ref="B713">INDEX('Báo cáo 75 trang đích'!$B$2:$B$76,$A713)</f>
        <v>https://techcombank.com/thong-tin/blog/rut-tien-mat-tu-the-tin-dung</v>
      </c>
      <c r="C713" s="5" t="str">
        <f t="array" ref="C713">INDEX('Báo cáo 75 trang đích'!$C$2:$C$76,$A713)</f>
        <v>CCB</v>
      </c>
      <c r="D713" s="20" t="s">
        <v>1016</v>
      </c>
      <c r="E713" s="22" t="s">
        <v>744</v>
      </c>
      <c r="F713" s="22" t="s">
        <v>81</v>
      </c>
      <c r="G713" s="22" t="s">
        <v>1352</v>
      </c>
      <c r="H713" s="24" t="s">
        <v>59</v>
      </c>
      <c r="I713" s="24" t="s">
        <v>59</v>
      </c>
      <c r="J713" s="24" t="s">
        <v>60</v>
      </c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6">
        <v>29.0</v>
      </c>
      <c r="B714" s="35" t="str">
        <f t="array" ref="B714">INDEX('Báo cáo 75 trang đích'!$B$2:$B$76,$A714)</f>
        <v>https://techcombank.com/thong-tin/blog/rut-tien-mat-tu-the-tin-dung</v>
      </c>
      <c r="C714" s="5" t="str">
        <f t="array" ref="C714">INDEX('Báo cáo 75 trang đích'!$C$2:$C$76,$A714)</f>
        <v>CCB</v>
      </c>
      <c r="D714" s="20" t="s">
        <v>693</v>
      </c>
      <c r="E714" s="22" t="s">
        <v>213</v>
      </c>
      <c r="F714" s="22" t="s">
        <v>81</v>
      </c>
      <c r="G714" s="22" t="s">
        <v>1352</v>
      </c>
      <c r="H714" s="24" t="s">
        <v>59</v>
      </c>
      <c r="I714" s="24" t="s">
        <v>59</v>
      </c>
      <c r="J714" s="24" t="s">
        <v>60</v>
      </c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6">
        <v>29.0</v>
      </c>
      <c r="B715" s="35" t="str">
        <f t="array" ref="B715">INDEX('Báo cáo 75 trang đích'!$B$2:$B$76,$A715)</f>
        <v>https://techcombank.com/thong-tin/blog/rut-tien-mat-tu-the-tin-dung</v>
      </c>
      <c r="C715" s="5" t="str">
        <f t="array" ref="C715">INDEX('Báo cáo 75 trang đích'!$C$2:$C$76,$A715)</f>
        <v>CCB</v>
      </c>
      <c r="D715" s="20" t="s">
        <v>334</v>
      </c>
      <c r="E715" s="22" t="s">
        <v>742</v>
      </c>
      <c r="F715" s="22" t="s">
        <v>81</v>
      </c>
      <c r="G715" s="22" t="s">
        <v>1352</v>
      </c>
      <c r="H715" s="24" t="s">
        <v>59</v>
      </c>
      <c r="I715" s="24" t="s">
        <v>59</v>
      </c>
      <c r="J715" s="24" t="s">
        <v>60</v>
      </c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6">
        <v>29.0</v>
      </c>
      <c r="B716" s="35" t="str">
        <f t="array" ref="B716">INDEX('Báo cáo 75 trang đích'!$B$2:$B$76,$A716)</f>
        <v>https://techcombank.com/thong-tin/blog/rut-tien-mat-tu-the-tin-dung</v>
      </c>
      <c r="C716" s="5" t="str">
        <f t="array" ref="C716">INDEX('Báo cáo 75 trang đích'!$C$2:$C$76,$A716)</f>
        <v>CCB</v>
      </c>
      <c r="D716" s="20" t="s">
        <v>166</v>
      </c>
      <c r="E716" s="22" t="s">
        <v>744</v>
      </c>
      <c r="F716" s="22" t="s">
        <v>81</v>
      </c>
      <c r="G716" s="22" t="s">
        <v>1352</v>
      </c>
      <c r="H716" s="24" t="s">
        <v>59</v>
      </c>
      <c r="I716" s="24" t="s">
        <v>59</v>
      </c>
      <c r="J716" s="24" t="s">
        <v>60</v>
      </c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6">
        <v>29.0</v>
      </c>
      <c r="B717" s="35" t="str">
        <f t="array" ref="B717">INDEX('Báo cáo 75 trang đích'!$B$2:$B$76,$A717)</f>
        <v>https://techcombank.com/thong-tin/blog/rut-tien-mat-tu-the-tin-dung</v>
      </c>
      <c r="C717" s="5" t="str">
        <f t="array" ref="C717">INDEX('Báo cáo 75 trang đích'!$C$2:$C$76,$A717)</f>
        <v>CCB</v>
      </c>
      <c r="D717" s="20" t="s">
        <v>1438</v>
      </c>
      <c r="E717" s="22" t="s">
        <v>213</v>
      </c>
      <c r="F717" s="22" t="s">
        <v>81</v>
      </c>
      <c r="G717" s="22" t="s">
        <v>1433</v>
      </c>
      <c r="H717" s="24" t="s">
        <v>59</v>
      </c>
      <c r="I717" s="24" t="s">
        <v>59</v>
      </c>
      <c r="J717" s="24" t="s">
        <v>60</v>
      </c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6">
        <v>29.0</v>
      </c>
      <c r="B718" s="35" t="str">
        <f t="array" ref="B718">INDEX('Báo cáo 75 trang đích'!$B$2:$B$76,$A718)</f>
        <v>https://techcombank.com/thong-tin/blog/rut-tien-mat-tu-the-tin-dung</v>
      </c>
      <c r="C718" s="5" t="str">
        <f t="array" ref="C718">INDEX('Báo cáo 75 trang đích'!$C$2:$C$76,$A718)</f>
        <v>CCB</v>
      </c>
      <c r="D718" s="20" t="s">
        <v>1439</v>
      </c>
      <c r="E718" s="22" t="s">
        <v>742</v>
      </c>
      <c r="F718" s="22" t="s">
        <v>81</v>
      </c>
      <c r="G718" s="22" t="s">
        <v>1433</v>
      </c>
      <c r="H718" s="24" t="s">
        <v>59</v>
      </c>
      <c r="I718" s="24" t="s">
        <v>59</v>
      </c>
      <c r="J718" s="24" t="s">
        <v>60</v>
      </c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6">
        <v>29.0</v>
      </c>
      <c r="B719" s="35" t="str">
        <f t="array" ref="B719">INDEX('Báo cáo 75 trang đích'!$B$2:$B$76,$A719)</f>
        <v>https://techcombank.com/thong-tin/blog/rut-tien-mat-tu-the-tin-dung</v>
      </c>
      <c r="C719" s="5" t="str">
        <f t="array" ref="C719">INDEX('Báo cáo 75 trang đích'!$C$2:$C$76,$A719)</f>
        <v>CCB</v>
      </c>
      <c r="D719" s="20" t="s">
        <v>697</v>
      </c>
      <c r="E719" s="22" t="s">
        <v>744</v>
      </c>
      <c r="F719" s="22" t="s">
        <v>81</v>
      </c>
      <c r="G719" s="22" t="s">
        <v>1352</v>
      </c>
      <c r="H719" s="24" t="s">
        <v>59</v>
      </c>
      <c r="I719" s="24" t="s">
        <v>59</v>
      </c>
      <c r="J719" s="24" t="s">
        <v>60</v>
      </c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6">
        <v>29.0</v>
      </c>
      <c r="B720" s="35" t="str">
        <f t="array" ref="B720">INDEX('Báo cáo 75 trang đích'!$B$2:$B$76,$A720)</f>
        <v>https://techcombank.com/thong-tin/blog/rut-tien-mat-tu-the-tin-dung</v>
      </c>
      <c r="C720" s="5" t="str">
        <f t="array" ref="C720">INDEX('Báo cáo 75 trang đích'!$C$2:$C$76,$A720)</f>
        <v>CCB</v>
      </c>
      <c r="D720" s="20" t="s">
        <v>1440</v>
      </c>
      <c r="E720" s="22" t="s">
        <v>213</v>
      </c>
      <c r="F720" s="22" t="s">
        <v>81</v>
      </c>
      <c r="G720" s="22" t="s">
        <v>1433</v>
      </c>
      <c r="H720" s="24" t="s">
        <v>59</v>
      </c>
      <c r="I720" s="24" t="s">
        <v>59</v>
      </c>
      <c r="J720" s="24" t="s">
        <v>60</v>
      </c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6">
        <v>29.0</v>
      </c>
      <c r="B721" s="35" t="str">
        <f t="array" ref="B721">INDEX('Báo cáo 75 trang đích'!$B$2:$B$76,$A721)</f>
        <v>https://techcombank.com/thong-tin/blog/rut-tien-mat-tu-the-tin-dung</v>
      </c>
      <c r="C721" s="5" t="str">
        <f t="array" ref="C721">INDEX('Báo cáo 75 trang đích'!$C$2:$C$76,$A721)</f>
        <v>CCB</v>
      </c>
      <c r="D721" s="20" t="s">
        <v>752</v>
      </c>
      <c r="E721" s="22" t="s">
        <v>742</v>
      </c>
      <c r="F721" s="22" t="s">
        <v>81</v>
      </c>
      <c r="G721" s="22" t="s">
        <v>1436</v>
      </c>
      <c r="H721" s="24" t="s">
        <v>59</v>
      </c>
      <c r="I721" s="24" t="s">
        <v>59</v>
      </c>
      <c r="J721" s="24" t="s">
        <v>60</v>
      </c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6">
        <v>29.0</v>
      </c>
      <c r="B722" s="35" t="str">
        <f t="array" ref="B722">INDEX('Báo cáo 75 trang đích'!$B$2:$B$76,$A722)</f>
        <v>https://techcombank.com/thong-tin/blog/rut-tien-mat-tu-the-tin-dung</v>
      </c>
      <c r="C722" s="5" t="str">
        <f t="array" ref="C722">INDEX('Báo cáo 75 trang đích'!$C$2:$C$76,$A722)</f>
        <v>CCB</v>
      </c>
      <c r="D722" s="20" t="s">
        <v>786</v>
      </c>
      <c r="E722" s="22" t="s">
        <v>744</v>
      </c>
      <c r="F722" s="22" t="s">
        <v>81</v>
      </c>
      <c r="G722" s="22" t="s">
        <v>1352</v>
      </c>
      <c r="H722" s="24" t="s">
        <v>59</v>
      </c>
      <c r="I722" s="24" t="s">
        <v>59</v>
      </c>
      <c r="J722" s="24" t="s">
        <v>60</v>
      </c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6">
        <v>29.0</v>
      </c>
      <c r="B723" s="35" t="str">
        <f t="array" ref="B723">INDEX('Báo cáo 75 trang đích'!$B$2:$B$76,$A723)</f>
        <v>https://techcombank.com/thong-tin/blog/rut-tien-mat-tu-the-tin-dung</v>
      </c>
      <c r="C723" s="5" t="str">
        <f t="array" ref="C723">INDEX('Báo cáo 75 trang đích'!$C$2:$C$76,$A723)</f>
        <v>CCB</v>
      </c>
      <c r="D723" s="20" t="s">
        <v>1283</v>
      </c>
      <c r="E723" s="22" t="s">
        <v>213</v>
      </c>
      <c r="F723" s="22" t="s">
        <v>81</v>
      </c>
      <c r="G723" s="22" t="s">
        <v>1437</v>
      </c>
      <c r="H723" s="24" t="s">
        <v>59</v>
      </c>
      <c r="I723" s="24" t="s">
        <v>59</v>
      </c>
      <c r="J723" s="24" t="s">
        <v>60</v>
      </c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6">
        <v>29.0</v>
      </c>
      <c r="B724" s="35" t="str">
        <f t="array" ref="B724">INDEX('Báo cáo 75 trang đích'!$B$2:$B$76,$A724)</f>
        <v>https://techcombank.com/thong-tin/blog/rut-tien-mat-tu-the-tin-dung</v>
      </c>
      <c r="C724" s="5" t="str">
        <f t="array" ref="C724">INDEX('Báo cáo 75 trang đích'!$C$2:$C$76,$A724)</f>
        <v>CCB</v>
      </c>
      <c r="D724" s="20" t="s">
        <v>1441</v>
      </c>
      <c r="E724" s="22" t="s">
        <v>742</v>
      </c>
      <c r="F724" s="22" t="s">
        <v>81</v>
      </c>
      <c r="G724" s="22" t="s">
        <v>1433</v>
      </c>
      <c r="H724" s="24" t="s">
        <v>59</v>
      </c>
      <c r="I724" s="24" t="s">
        <v>59</v>
      </c>
      <c r="J724" s="24" t="s">
        <v>60</v>
      </c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6">
        <v>29.0</v>
      </c>
      <c r="B725" s="35" t="str">
        <f t="array" ref="B725">INDEX('Báo cáo 75 trang đích'!$B$2:$B$76,$A725)</f>
        <v>https://techcombank.com/thong-tin/blog/rut-tien-mat-tu-the-tin-dung</v>
      </c>
      <c r="C725" s="5" t="str">
        <f t="array" ref="C725">INDEX('Báo cáo 75 trang đích'!$C$2:$C$76,$A725)</f>
        <v>CCB</v>
      </c>
      <c r="D725" s="20" t="s">
        <v>690</v>
      </c>
      <c r="E725" s="22" t="s">
        <v>744</v>
      </c>
      <c r="F725" s="22" t="s">
        <v>81</v>
      </c>
      <c r="G725" s="22" t="s">
        <v>1352</v>
      </c>
      <c r="H725" s="24" t="s">
        <v>59</v>
      </c>
      <c r="I725" s="24" t="s">
        <v>59</v>
      </c>
      <c r="J725" s="24" t="s">
        <v>60</v>
      </c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6">
        <v>29.0</v>
      </c>
      <c r="B726" s="35" t="str">
        <f t="array" ref="B726">INDEX('Báo cáo 75 trang đích'!$B$2:$B$76,$A726)</f>
        <v>https://techcombank.com/thong-tin/blog/rut-tien-mat-tu-the-tin-dung</v>
      </c>
      <c r="C726" s="5" t="str">
        <f t="array" ref="C726">INDEX('Báo cáo 75 trang đích'!$C$2:$C$76,$A726)</f>
        <v>CCB</v>
      </c>
      <c r="D726" s="20" t="s">
        <v>1362</v>
      </c>
      <c r="E726" s="22" t="s">
        <v>213</v>
      </c>
      <c r="F726" s="22" t="s">
        <v>81</v>
      </c>
      <c r="G726" s="22" t="s">
        <v>1352</v>
      </c>
      <c r="H726" s="24" t="s">
        <v>59</v>
      </c>
      <c r="I726" s="24" t="s">
        <v>59</v>
      </c>
      <c r="J726" s="24" t="s">
        <v>60</v>
      </c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6">
        <v>29.0</v>
      </c>
      <c r="B727" s="35" t="str">
        <f t="array" ref="B727">INDEX('Báo cáo 75 trang đích'!$B$2:$B$76,$A727)</f>
        <v>https://techcombank.com/thong-tin/blog/rut-tien-mat-tu-the-tin-dung</v>
      </c>
      <c r="C727" s="5" t="str">
        <f t="array" ref="C727">INDEX('Báo cáo 75 trang đích'!$C$2:$C$76,$A727)</f>
        <v>CCB</v>
      </c>
      <c r="D727" s="20" t="s">
        <v>853</v>
      </c>
      <c r="E727" s="22" t="s">
        <v>742</v>
      </c>
      <c r="F727" s="22" t="s">
        <v>81</v>
      </c>
      <c r="G727" s="22" t="s">
        <v>1352</v>
      </c>
      <c r="H727" s="24" t="s">
        <v>59</v>
      </c>
      <c r="I727" s="24" t="s">
        <v>59</v>
      </c>
      <c r="J727" s="24" t="s">
        <v>60</v>
      </c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6">
        <v>29.0</v>
      </c>
      <c r="B728" s="35" t="str">
        <f t="array" ref="B728">INDEX('Báo cáo 75 trang đích'!$B$2:$B$76,$A728)</f>
        <v>https://techcombank.com/thong-tin/blog/rut-tien-mat-tu-the-tin-dung</v>
      </c>
      <c r="C728" s="5" t="str">
        <f t="array" ref="C728">INDEX('Báo cáo 75 trang đích'!$C$2:$C$76,$A728)</f>
        <v>CCB</v>
      </c>
      <c r="D728" s="20" t="s">
        <v>1442</v>
      </c>
      <c r="E728" s="22" t="s">
        <v>744</v>
      </c>
      <c r="F728" s="22" t="s">
        <v>81</v>
      </c>
      <c r="G728" s="22" t="s">
        <v>1433</v>
      </c>
      <c r="H728" s="24" t="s">
        <v>59</v>
      </c>
      <c r="I728" s="24" t="s">
        <v>59</v>
      </c>
      <c r="J728" s="24" t="s">
        <v>60</v>
      </c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6">
        <v>29.0</v>
      </c>
      <c r="B729" s="35" t="str">
        <f t="array" ref="B729">INDEX('Báo cáo 75 trang đích'!$B$2:$B$76,$A729)</f>
        <v>https://techcombank.com/thong-tin/blog/rut-tien-mat-tu-the-tin-dung</v>
      </c>
      <c r="C729" s="5" t="str">
        <f t="array" ref="C729">INDEX('Báo cáo 75 trang đích'!$C$2:$C$76,$A729)</f>
        <v>CCB</v>
      </c>
      <c r="D729" s="20" t="s">
        <v>1443</v>
      </c>
      <c r="E729" s="22" t="s">
        <v>213</v>
      </c>
      <c r="F729" s="22" t="s">
        <v>81</v>
      </c>
      <c r="G729" s="22" t="s">
        <v>1433</v>
      </c>
      <c r="H729" s="24" t="s">
        <v>59</v>
      </c>
      <c r="I729" s="24" t="s">
        <v>59</v>
      </c>
      <c r="J729" s="24" t="s">
        <v>60</v>
      </c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6">
        <v>29.0</v>
      </c>
      <c r="B730" s="35" t="str">
        <f t="array" ref="B730">INDEX('Báo cáo 75 trang đích'!$B$2:$B$76,$A730)</f>
        <v>https://techcombank.com/thong-tin/blog/rut-tien-mat-tu-the-tin-dung</v>
      </c>
      <c r="C730" s="5" t="str">
        <f t="array" ref="C730">INDEX('Báo cáo 75 trang đích'!$C$2:$C$76,$A730)</f>
        <v>CCB</v>
      </c>
      <c r="D730" s="20" t="s">
        <v>655</v>
      </c>
      <c r="E730" s="22" t="s">
        <v>742</v>
      </c>
      <c r="F730" s="22" t="s">
        <v>81</v>
      </c>
      <c r="G730" s="22" t="s">
        <v>1352</v>
      </c>
      <c r="H730" s="24" t="s">
        <v>59</v>
      </c>
      <c r="I730" s="24" t="s">
        <v>59</v>
      </c>
      <c r="J730" s="24" t="s">
        <v>60</v>
      </c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6">
        <v>29.0</v>
      </c>
      <c r="B731" s="35" t="str">
        <f t="array" ref="B731">INDEX('Báo cáo 75 trang đích'!$B$2:$B$76,$A731)</f>
        <v>https://techcombank.com/thong-tin/blog/rut-tien-mat-tu-the-tin-dung</v>
      </c>
      <c r="C731" s="5" t="str">
        <f t="array" ref="C731">INDEX('Báo cáo 75 trang đích'!$C$2:$C$76,$A731)</f>
        <v>CCB</v>
      </c>
      <c r="D731" s="20" t="s">
        <v>1175</v>
      </c>
      <c r="E731" s="22" t="s">
        <v>744</v>
      </c>
      <c r="F731" s="22" t="s">
        <v>81</v>
      </c>
      <c r="G731" s="22" t="s">
        <v>1433</v>
      </c>
      <c r="H731" s="24" t="s">
        <v>59</v>
      </c>
      <c r="I731" s="24" t="s">
        <v>59</v>
      </c>
      <c r="J731" s="24" t="s">
        <v>60</v>
      </c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6">
        <v>29.0</v>
      </c>
      <c r="B732" s="35" t="str">
        <f t="array" ref="B732">INDEX('Báo cáo 75 trang đích'!$B$2:$B$76,$A732)</f>
        <v>https://techcombank.com/thong-tin/blog/rut-tien-mat-tu-the-tin-dung</v>
      </c>
      <c r="C732" s="5" t="str">
        <f t="array" ref="C732">INDEX('Báo cáo 75 trang đích'!$C$2:$C$76,$A732)</f>
        <v>CCB</v>
      </c>
      <c r="D732" s="20" t="s">
        <v>1364</v>
      </c>
      <c r="E732" s="22" t="s">
        <v>213</v>
      </c>
      <c r="F732" s="22" t="s">
        <v>81</v>
      </c>
      <c r="G732" s="22" t="s">
        <v>1352</v>
      </c>
      <c r="H732" s="24" t="s">
        <v>59</v>
      </c>
      <c r="I732" s="24" t="s">
        <v>59</v>
      </c>
      <c r="J732" s="24" t="s">
        <v>60</v>
      </c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6">
        <v>29.0</v>
      </c>
      <c r="B733" s="35" t="str">
        <f t="array" ref="B733">INDEX('Báo cáo 75 trang đích'!$B$2:$B$76,$A733)</f>
        <v>https://techcombank.com/thong-tin/blog/rut-tien-mat-tu-the-tin-dung</v>
      </c>
      <c r="C733" s="5" t="str">
        <f t="array" ref="C733">INDEX('Báo cáo 75 trang đích'!$C$2:$C$76,$A733)</f>
        <v>CCB</v>
      </c>
      <c r="D733" s="20" t="s">
        <v>1365</v>
      </c>
      <c r="E733" s="22" t="s">
        <v>742</v>
      </c>
      <c r="F733" s="22" t="s">
        <v>81</v>
      </c>
      <c r="G733" s="22" t="s">
        <v>1352</v>
      </c>
      <c r="H733" s="24" t="s">
        <v>59</v>
      </c>
      <c r="I733" s="24" t="s">
        <v>59</v>
      </c>
      <c r="J733" s="24" t="s">
        <v>60</v>
      </c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6">
        <v>29.0</v>
      </c>
      <c r="B734" s="35" t="str">
        <f t="array" ref="B734">INDEX('Báo cáo 75 trang đích'!$B$2:$B$76,$A734)</f>
        <v>https://techcombank.com/thong-tin/blog/rut-tien-mat-tu-the-tin-dung</v>
      </c>
      <c r="C734" s="5" t="str">
        <f t="array" ref="C734">INDEX('Báo cáo 75 trang đích'!$C$2:$C$76,$A734)</f>
        <v>CCB</v>
      </c>
      <c r="D734" s="20" t="s">
        <v>1093</v>
      </c>
      <c r="E734" s="22" t="s">
        <v>744</v>
      </c>
      <c r="F734" s="22" t="s">
        <v>81</v>
      </c>
      <c r="G734" s="22" t="s">
        <v>1352</v>
      </c>
      <c r="H734" s="24" t="s">
        <v>59</v>
      </c>
      <c r="I734" s="24" t="s">
        <v>59</v>
      </c>
      <c r="J734" s="24" t="s">
        <v>60</v>
      </c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6">
        <v>30.0</v>
      </c>
      <c r="B735" s="35" t="str">
        <f t="array" ref="B735">INDEX('Báo cáo 75 trang đích'!$B$2:$B$76,$A735)</f>
        <v>https://techcombank.com/thong-tin/blog/lam-the-tin-dung</v>
      </c>
      <c r="C735" s="5" t="str">
        <f t="array" ref="C735">INDEX('Báo cáo 75 trang đích'!$C$2:$C$76,$A735)</f>
        <v>CCB</v>
      </c>
      <c r="D735" s="20" t="s">
        <v>752</v>
      </c>
      <c r="E735" s="22" t="s">
        <v>218</v>
      </c>
      <c r="F735" s="22" t="s">
        <v>57</v>
      </c>
      <c r="G735" s="22" t="s">
        <v>1444</v>
      </c>
      <c r="H735" s="24" t="s">
        <v>59</v>
      </c>
      <c r="I735" s="24" t="s">
        <v>59</v>
      </c>
      <c r="J735" s="24" t="s">
        <v>60</v>
      </c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6">
        <v>30.0</v>
      </c>
      <c r="B736" s="35" t="str">
        <f t="array" ref="B736">INDEX('Báo cáo 75 trang đích'!$B$2:$B$76,$A736)</f>
        <v>https://techcombank.com/thong-tin/blog/lam-the-tin-dung</v>
      </c>
      <c r="C736" s="5" t="str">
        <f t="array" ref="C736">INDEX('Báo cáo 75 trang đích'!$C$2:$C$76,$A736)</f>
        <v>CCB</v>
      </c>
      <c r="D736" s="20" t="s">
        <v>755</v>
      </c>
      <c r="E736" s="22" t="s">
        <v>757</v>
      </c>
      <c r="F736" s="22" t="s">
        <v>57</v>
      </c>
      <c r="G736" s="22" t="s">
        <v>1445</v>
      </c>
      <c r="H736" s="24" t="s">
        <v>59</v>
      </c>
      <c r="I736" s="24" t="s">
        <v>59</v>
      </c>
      <c r="J736" s="24" t="s">
        <v>60</v>
      </c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6">
        <v>30.0</v>
      </c>
      <c r="B737" s="35" t="str">
        <f t="array" ref="B737">INDEX('Báo cáo 75 trang đích'!$B$2:$B$76,$A737)</f>
        <v>https://techcombank.com/thong-tin/blog/lam-the-tin-dung</v>
      </c>
      <c r="C737" s="5" t="str">
        <f t="array" ref="C737">INDEX('Báo cáo 75 trang đích'!$C$2:$C$76,$A737)</f>
        <v>CCB</v>
      </c>
      <c r="D737" s="20" t="s">
        <v>758</v>
      </c>
      <c r="E737" s="22" t="s">
        <v>218</v>
      </c>
      <c r="F737" s="22" t="s">
        <v>57</v>
      </c>
      <c r="G737" s="22" t="s">
        <v>1446</v>
      </c>
      <c r="H737" s="24" t="s">
        <v>59</v>
      </c>
      <c r="I737" s="24" t="s">
        <v>59</v>
      </c>
      <c r="J737" s="24" t="s">
        <v>60</v>
      </c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6">
        <v>30.0</v>
      </c>
      <c r="B738" s="35" t="str">
        <f t="array" ref="B738">INDEX('Báo cáo 75 trang đích'!$B$2:$B$76,$A738)</f>
        <v>https://techcombank.com/thong-tin/blog/lam-the-tin-dung</v>
      </c>
      <c r="C738" s="5" t="str">
        <f t="array" ref="C738">INDEX('Báo cáo 75 trang đích'!$C$2:$C$76,$A738)</f>
        <v>CCB</v>
      </c>
      <c r="D738" s="20" t="s">
        <v>760</v>
      </c>
      <c r="E738" s="22" t="s">
        <v>757</v>
      </c>
      <c r="F738" s="22" t="s">
        <v>57</v>
      </c>
      <c r="G738" s="22" t="s">
        <v>1447</v>
      </c>
      <c r="H738" s="24" t="s">
        <v>59</v>
      </c>
      <c r="I738" s="24" t="s">
        <v>59</v>
      </c>
      <c r="J738" s="24" t="s">
        <v>60</v>
      </c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6">
        <v>30.0</v>
      </c>
      <c r="B739" s="35" t="str">
        <f t="array" ref="B739">INDEX('Báo cáo 75 trang đích'!$B$2:$B$76,$A739)</f>
        <v>https://techcombank.com/thong-tin/blog/lam-the-tin-dung</v>
      </c>
      <c r="C739" s="5" t="str">
        <f t="array" ref="C739">INDEX('Báo cáo 75 trang đích'!$C$2:$C$76,$A739)</f>
        <v>CCB</v>
      </c>
      <c r="D739" s="20" t="s">
        <v>763</v>
      </c>
      <c r="E739" s="22" t="s">
        <v>218</v>
      </c>
      <c r="F739" s="22" t="s">
        <v>76</v>
      </c>
      <c r="G739" s="22" t="s">
        <v>1448</v>
      </c>
      <c r="H739" s="24" t="s">
        <v>59</v>
      </c>
      <c r="I739" s="24" t="s">
        <v>59</v>
      </c>
      <c r="J739" s="24" t="s">
        <v>60</v>
      </c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6">
        <v>30.0</v>
      </c>
      <c r="B740" s="35" t="str">
        <f t="array" ref="B740">INDEX('Báo cáo 75 trang đích'!$B$2:$B$76,$A740)</f>
        <v>https://techcombank.com/thong-tin/blog/lam-the-tin-dung</v>
      </c>
      <c r="C740" s="5" t="str">
        <f t="array" ref="C740">INDEX('Báo cáo 75 trang đích'!$C$2:$C$76,$A740)</f>
        <v>CCB</v>
      </c>
      <c r="D740" s="20" t="s">
        <v>360</v>
      </c>
      <c r="E740" s="22" t="s">
        <v>757</v>
      </c>
      <c r="F740" s="22" t="s">
        <v>81</v>
      </c>
      <c r="G740" s="22" t="s">
        <v>1449</v>
      </c>
      <c r="H740" s="24" t="s">
        <v>59</v>
      </c>
      <c r="I740" s="24" t="s">
        <v>59</v>
      </c>
      <c r="J740" s="24" t="s">
        <v>60</v>
      </c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6">
        <v>30.0</v>
      </c>
      <c r="B741" s="35" t="str">
        <f t="array" ref="B741">INDEX('Báo cáo 75 trang đích'!$B$2:$B$76,$A741)</f>
        <v>https://techcombank.com/thong-tin/blog/lam-the-tin-dung</v>
      </c>
      <c r="C741" s="5" t="str">
        <f t="array" ref="C741">INDEX('Báo cáo 75 trang đích'!$C$2:$C$76,$A741)</f>
        <v>CCB</v>
      </c>
      <c r="D741" s="20" t="s">
        <v>1165</v>
      </c>
      <c r="E741" s="22" t="s">
        <v>218</v>
      </c>
      <c r="F741" s="22" t="s">
        <v>81</v>
      </c>
      <c r="G741" s="22" t="s">
        <v>1449</v>
      </c>
      <c r="H741" s="24" t="s">
        <v>59</v>
      </c>
      <c r="I741" s="24" t="s">
        <v>59</v>
      </c>
      <c r="J741" s="24" t="s">
        <v>60</v>
      </c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6">
        <v>30.0</v>
      </c>
      <c r="B742" s="35" t="str">
        <f t="array" ref="B742">INDEX('Báo cáo 75 trang đích'!$B$2:$B$76,$A742)</f>
        <v>https://techcombank.com/thong-tin/blog/lam-the-tin-dung</v>
      </c>
      <c r="C742" s="5" t="str">
        <f t="array" ref="C742">INDEX('Báo cáo 75 trang đích'!$C$2:$C$76,$A742)</f>
        <v>CCB</v>
      </c>
      <c r="D742" s="20" t="s">
        <v>1275</v>
      </c>
      <c r="E742" s="22" t="s">
        <v>757</v>
      </c>
      <c r="F742" s="22" t="s">
        <v>81</v>
      </c>
      <c r="G742" s="22" t="s">
        <v>1449</v>
      </c>
      <c r="H742" s="24" t="s">
        <v>59</v>
      </c>
      <c r="I742" s="24" t="s">
        <v>59</v>
      </c>
      <c r="J742" s="24" t="s">
        <v>60</v>
      </c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6">
        <v>30.0</v>
      </c>
      <c r="B743" s="35" t="str">
        <f t="array" ref="B743">INDEX('Báo cáo 75 trang đích'!$B$2:$B$76,$A743)</f>
        <v>https://techcombank.com/thong-tin/blog/lam-the-tin-dung</v>
      </c>
      <c r="C743" s="5" t="str">
        <f t="array" ref="C743">INDEX('Báo cáo 75 trang đích'!$C$2:$C$76,$A743)</f>
        <v>CCB</v>
      </c>
      <c r="D743" s="20" t="s">
        <v>774</v>
      </c>
      <c r="E743" s="22" t="s">
        <v>218</v>
      </c>
      <c r="F743" s="22" t="s">
        <v>81</v>
      </c>
      <c r="G743" s="22" t="s">
        <v>1450</v>
      </c>
      <c r="H743" s="24" t="s">
        <v>59</v>
      </c>
      <c r="I743" s="24" t="s">
        <v>59</v>
      </c>
      <c r="J743" s="24" t="s">
        <v>60</v>
      </c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6">
        <v>30.0</v>
      </c>
      <c r="B744" s="35" t="str">
        <f t="array" ref="B744">INDEX('Báo cáo 75 trang đích'!$B$2:$B$76,$A744)</f>
        <v>https://techcombank.com/thong-tin/blog/lam-the-tin-dung</v>
      </c>
      <c r="C744" s="5" t="str">
        <f t="array" ref="C744">INDEX('Báo cáo 75 trang đích'!$C$2:$C$76,$A744)</f>
        <v>CCB</v>
      </c>
      <c r="D744" s="20" t="s">
        <v>784</v>
      </c>
      <c r="E744" s="22" t="s">
        <v>757</v>
      </c>
      <c r="F744" s="22" t="s">
        <v>81</v>
      </c>
      <c r="G744" s="22" t="s">
        <v>1450</v>
      </c>
      <c r="H744" s="24" t="s">
        <v>59</v>
      </c>
      <c r="I744" s="24" t="s">
        <v>59</v>
      </c>
      <c r="J744" s="24" t="s">
        <v>60</v>
      </c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6">
        <v>30.0</v>
      </c>
      <c r="B745" s="35" t="str">
        <f t="array" ref="B745">INDEX('Báo cáo 75 trang đích'!$B$2:$B$76,$A745)</f>
        <v>https://techcombank.com/thong-tin/blog/lam-the-tin-dung</v>
      </c>
      <c r="C745" s="5" t="str">
        <f t="array" ref="C745">INDEX('Báo cáo 75 trang đích'!$C$2:$C$76,$A745)</f>
        <v>CCB</v>
      </c>
      <c r="D745" s="20" t="s">
        <v>1451</v>
      </c>
      <c r="E745" s="22" t="s">
        <v>218</v>
      </c>
      <c r="F745" s="22" t="s">
        <v>81</v>
      </c>
      <c r="G745" s="22" t="s">
        <v>1449</v>
      </c>
      <c r="H745" s="24" t="s">
        <v>59</v>
      </c>
      <c r="I745" s="24" t="s">
        <v>59</v>
      </c>
      <c r="J745" s="24" t="s">
        <v>60</v>
      </c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6">
        <v>30.0</v>
      </c>
      <c r="B746" s="35" t="str">
        <f t="array" ref="B746">INDEX('Báo cáo 75 trang đích'!$B$2:$B$76,$A746)</f>
        <v>https://techcombank.com/thong-tin/blog/lam-the-tin-dung</v>
      </c>
      <c r="C746" s="5" t="str">
        <f t="array" ref="C746">INDEX('Báo cáo 75 trang đích'!$C$2:$C$76,$A746)</f>
        <v>CCB</v>
      </c>
      <c r="D746" s="20" t="s">
        <v>1452</v>
      </c>
      <c r="E746" s="22" t="s">
        <v>757</v>
      </c>
      <c r="F746" s="22" t="s">
        <v>81</v>
      </c>
      <c r="G746" s="22" t="s">
        <v>1449</v>
      </c>
      <c r="H746" s="24" t="s">
        <v>59</v>
      </c>
      <c r="I746" s="24" t="s">
        <v>59</v>
      </c>
      <c r="J746" s="24" t="s">
        <v>60</v>
      </c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6">
        <v>30.0</v>
      </c>
      <c r="B747" s="35" t="str">
        <f t="array" ref="B747">INDEX('Báo cáo 75 trang đích'!$B$2:$B$76,$A747)</f>
        <v>https://techcombank.com/thong-tin/blog/lam-the-tin-dung</v>
      </c>
      <c r="C747" s="5" t="str">
        <f t="array" ref="C747">INDEX('Báo cáo 75 trang đích'!$C$2:$C$76,$A747)</f>
        <v>CCB</v>
      </c>
      <c r="D747" s="20" t="s">
        <v>1453</v>
      </c>
      <c r="E747" s="22" t="s">
        <v>218</v>
      </c>
      <c r="F747" s="22" t="s">
        <v>81</v>
      </c>
      <c r="G747" s="22" t="s">
        <v>1449</v>
      </c>
      <c r="H747" s="24" t="s">
        <v>59</v>
      </c>
      <c r="I747" s="24" t="s">
        <v>59</v>
      </c>
      <c r="J747" s="24" t="s">
        <v>60</v>
      </c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6">
        <v>30.0</v>
      </c>
      <c r="B748" s="35" t="str">
        <f t="array" ref="B748">INDEX('Báo cáo 75 trang đích'!$B$2:$B$76,$A748)</f>
        <v>https://techcombank.com/thong-tin/blog/lam-the-tin-dung</v>
      </c>
      <c r="C748" s="5" t="str">
        <f t="array" ref="C748">INDEX('Báo cáo 75 trang đích'!$C$2:$C$76,$A748)</f>
        <v>CCB</v>
      </c>
      <c r="D748" s="20" t="s">
        <v>1009</v>
      </c>
      <c r="E748" s="22" t="s">
        <v>757</v>
      </c>
      <c r="F748" s="22" t="s">
        <v>81</v>
      </c>
      <c r="G748" s="22" t="s">
        <v>1011</v>
      </c>
      <c r="H748" s="24" t="s">
        <v>59</v>
      </c>
      <c r="I748" s="24" t="s">
        <v>59</v>
      </c>
      <c r="J748" s="24" t="s">
        <v>60</v>
      </c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6">
        <v>30.0</v>
      </c>
      <c r="B749" s="35" t="str">
        <f t="array" ref="B749">INDEX('Báo cáo 75 trang đích'!$B$2:$B$76,$A749)</f>
        <v>https://techcombank.com/thong-tin/blog/lam-the-tin-dung</v>
      </c>
      <c r="C749" s="5" t="str">
        <f t="array" ref="C749">INDEX('Báo cáo 75 trang đích'!$C$2:$C$76,$A749)</f>
        <v>CCB</v>
      </c>
      <c r="D749" s="20" t="s">
        <v>766</v>
      </c>
      <c r="E749" s="22" t="s">
        <v>218</v>
      </c>
      <c r="F749" s="22" t="s">
        <v>81</v>
      </c>
      <c r="G749" s="22" t="s">
        <v>1449</v>
      </c>
      <c r="H749" s="24" t="s">
        <v>59</v>
      </c>
      <c r="I749" s="24" t="s">
        <v>59</v>
      </c>
      <c r="J749" s="24" t="s">
        <v>60</v>
      </c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6">
        <v>30.0</v>
      </c>
      <c r="B750" s="35" t="str">
        <f t="array" ref="B750">INDEX('Báo cáo 75 trang đích'!$B$2:$B$76,$A750)</f>
        <v>https://techcombank.com/thong-tin/blog/lam-the-tin-dung</v>
      </c>
      <c r="C750" s="5" t="str">
        <f t="array" ref="C750">INDEX('Báo cáo 75 trang đích'!$C$2:$C$76,$A750)</f>
        <v>CCB</v>
      </c>
      <c r="D750" s="20" t="s">
        <v>1395</v>
      </c>
      <c r="E750" s="22" t="s">
        <v>757</v>
      </c>
      <c r="F750" s="22" t="s">
        <v>81</v>
      </c>
      <c r="G750" s="22" t="s">
        <v>1449</v>
      </c>
      <c r="H750" s="24" t="s">
        <v>59</v>
      </c>
      <c r="I750" s="24" t="s">
        <v>59</v>
      </c>
      <c r="J750" s="24" t="s">
        <v>60</v>
      </c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6">
        <v>30.0</v>
      </c>
      <c r="B751" s="35" t="str">
        <f t="array" ref="B751">INDEX('Báo cáo 75 trang đích'!$B$2:$B$76,$A751)</f>
        <v>https://techcombank.com/thong-tin/blog/lam-the-tin-dung</v>
      </c>
      <c r="C751" s="5" t="str">
        <f t="array" ref="C751">INDEX('Báo cáo 75 trang đích'!$C$2:$C$76,$A751)</f>
        <v>CCB</v>
      </c>
      <c r="D751" s="20" t="s">
        <v>184</v>
      </c>
      <c r="E751" s="22" t="s">
        <v>218</v>
      </c>
      <c r="F751" s="22" t="s">
        <v>81</v>
      </c>
      <c r="G751" s="22" t="s">
        <v>1454</v>
      </c>
      <c r="H751" s="24" t="s">
        <v>59</v>
      </c>
      <c r="I751" s="24" t="s">
        <v>59</v>
      </c>
      <c r="J751" s="24" t="s">
        <v>60</v>
      </c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6">
        <v>30.0</v>
      </c>
      <c r="B752" s="35" t="str">
        <f t="array" ref="B752">INDEX('Báo cáo 75 trang đích'!$B$2:$B$76,$A752)</f>
        <v>https://techcombank.com/thong-tin/blog/lam-the-tin-dung</v>
      </c>
      <c r="C752" s="5" t="str">
        <f t="array" ref="C752">INDEX('Báo cáo 75 trang đích'!$C$2:$C$76,$A752)</f>
        <v>CCB</v>
      </c>
      <c r="D752" s="20" t="s">
        <v>1455</v>
      </c>
      <c r="E752" s="22" t="s">
        <v>757</v>
      </c>
      <c r="F752" s="22" t="s">
        <v>81</v>
      </c>
      <c r="G752" s="22" t="s">
        <v>1450</v>
      </c>
      <c r="H752" s="24" t="s">
        <v>59</v>
      </c>
      <c r="I752" s="24" t="s">
        <v>59</v>
      </c>
      <c r="J752" s="24" t="s">
        <v>60</v>
      </c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6">
        <v>30.0</v>
      </c>
      <c r="B753" s="35" t="str">
        <f t="array" ref="B753">INDEX('Báo cáo 75 trang đích'!$B$2:$B$76,$A753)</f>
        <v>https://techcombank.com/thong-tin/blog/lam-the-tin-dung</v>
      </c>
      <c r="C753" s="5" t="str">
        <f t="array" ref="C753">INDEX('Báo cáo 75 trang đích'!$C$2:$C$76,$A753)</f>
        <v>CCB</v>
      </c>
      <c r="D753" s="20" t="s">
        <v>637</v>
      </c>
      <c r="E753" s="22" t="s">
        <v>218</v>
      </c>
      <c r="F753" s="22" t="s">
        <v>81</v>
      </c>
      <c r="G753" s="22" t="s">
        <v>1011</v>
      </c>
      <c r="H753" s="24" t="s">
        <v>59</v>
      </c>
      <c r="I753" s="24" t="s">
        <v>59</v>
      </c>
      <c r="J753" s="24" t="s">
        <v>60</v>
      </c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6">
        <v>30.0</v>
      </c>
      <c r="B754" s="35" t="str">
        <f t="array" ref="B754">INDEX('Báo cáo 75 trang đích'!$B$2:$B$76,$A754)</f>
        <v>https://techcombank.com/thong-tin/blog/lam-the-tin-dung</v>
      </c>
      <c r="C754" s="5" t="str">
        <f t="array" ref="C754">INDEX('Báo cáo 75 trang đích'!$C$2:$C$76,$A754)</f>
        <v>CCB</v>
      </c>
      <c r="D754" s="20" t="s">
        <v>1325</v>
      </c>
      <c r="E754" s="22" t="s">
        <v>757</v>
      </c>
      <c r="F754" s="22" t="s">
        <v>81</v>
      </c>
      <c r="G754" s="22" t="s">
        <v>1449</v>
      </c>
      <c r="H754" s="24" t="s">
        <v>59</v>
      </c>
      <c r="I754" s="24" t="s">
        <v>59</v>
      </c>
      <c r="J754" s="24" t="s">
        <v>60</v>
      </c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6">
        <v>30.0</v>
      </c>
      <c r="B755" s="35" t="str">
        <f t="array" ref="B755">INDEX('Báo cáo 75 trang đích'!$B$2:$B$76,$A755)</f>
        <v>https://techcombank.com/thong-tin/blog/lam-the-tin-dung</v>
      </c>
      <c r="C755" s="5" t="str">
        <f t="array" ref="C755">INDEX('Báo cáo 75 trang đích'!$C$2:$C$76,$A755)</f>
        <v>CCB</v>
      </c>
      <c r="D755" s="20" t="s">
        <v>1456</v>
      </c>
      <c r="E755" s="22" t="s">
        <v>218</v>
      </c>
      <c r="F755" s="22" t="s">
        <v>81</v>
      </c>
      <c r="G755" s="22" t="s">
        <v>1449</v>
      </c>
      <c r="H755" s="24" t="s">
        <v>59</v>
      </c>
      <c r="I755" s="24" t="s">
        <v>59</v>
      </c>
      <c r="J755" s="24" t="s">
        <v>60</v>
      </c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6">
        <v>30.0</v>
      </c>
      <c r="B756" s="35" t="str">
        <f t="array" ref="B756">INDEX('Báo cáo 75 trang đích'!$B$2:$B$76,$A756)</f>
        <v>https://techcombank.com/thong-tin/blog/lam-the-tin-dung</v>
      </c>
      <c r="C756" s="5" t="str">
        <f t="array" ref="C756">INDEX('Báo cáo 75 trang đích'!$C$2:$C$76,$A756)</f>
        <v>CCB</v>
      </c>
      <c r="D756" s="20" t="s">
        <v>1184</v>
      </c>
      <c r="E756" s="22" t="s">
        <v>757</v>
      </c>
      <c r="F756" s="22" t="s">
        <v>81</v>
      </c>
      <c r="G756" s="22" t="s">
        <v>1449</v>
      </c>
      <c r="H756" s="24" t="s">
        <v>59</v>
      </c>
      <c r="I756" s="24" t="s">
        <v>59</v>
      </c>
      <c r="J756" s="24" t="s">
        <v>60</v>
      </c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6">
        <v>30.0</v>
      </c>
      <c r="B757" s="35" t="str">
        <f t="array" ref="B757">INDEX('Báo cáo 75 trang đích'!$B$2:$B$76,$A757)</f>
        <v>https://techcombank.com/thong-tin/blog/lam-the-tin-dung</v>
      </c>
      <c r="C757" s="5" t="str">
        <f t="array" ref="C757">INDEX('Báo cáo 75 trang đích'!$C$2:$C$76,$A757)</f>
        <v>CCB</v>
      </c>
      <c r="D757" s="20" t="s">
        <v>1016</v>
      </c>
      <c r="E757" s="22" t="s">
        <v>218</v>
      </c>
      <c r="F757" s="22" t="s">
        <v>81</v>
      </c>
      <c r="G757" s="22" t="s">
        <v>1011</v>
      </c>
      <c r="H757" s="24" t="s">
        <v>59</v>
      </c>
      <c r="I757" s="24" t="s">
        <v>59</v>
      </c>
      <c r="J757" s="24" t="s">
        <v>60</v>
      </c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6">
        <v>30.0</v>
      </c>
      <c r="B758" s="35" t="str">
        <f t="array" ref="B758">INDEX('Báo cáo 75 trang đích'!$B$2:$B$76,$A758)</f>
        <v>https://techcombank.com/thong-tin/blog/lam-the-tin-dung</v>
      </c>
      <c r="C758" s="5" t="str">
        <f t="array" ref="C758">INDEX('Báo cáo 75 trang đích'!$C$2:$C$76,$A758)</f>
        <v>CCB</v>
      </c>
      <c r="D758" s="20" t="s">
        <v>1396</v>
      </c>
      <c r="E758" s="22" t="s">
        <v>757</v>
      </c>
      <c r="F758" s="22" t="s">
        <v>81</v>
      </c>
      <c r="G758" s="22" t="s">
        <v>1449</v>
      </c>
      <c r="H758" s="24" t="s">
        <v>59</v>
      </c>
      <c r="I758" s="24" t="s">
        <v>59</v>
      </c>
      <c r="J758" s="24" t="s">
        <v>60</v>
      </c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6">
        <v>30.0</v>
      </c>
      <c r="B759" s="35" t="str">
        <f t="array" ref="B759">INDEX('Báo cáo 75 trang đích'!$B$2:$B$76,$A759)</f>
        <v>https://techcombank.com/thong-tin/blog/lam-the-tin-dung</v>
      </c>
      <c r="C759" s="5" t="str">
        <f t="array" ref="C759">INDEX('Báo cáo 75 trang đích'!$C$2:$C$76,$A759)</f>
        <v>CCB</v>
      </c>
      <c r="D759" s="20" t="s">
        <v>802</v>
      </c>
      <c r="E759" s="22" t="s">
        <v>218</v>
      </c>
      <c r="F759" s="22" t="s">
        <v>81</v>
      </c>
      <c r="G759" s="22" t="s">
        <v>1449</v>
      </c>
      <c r="H759" s="24" t="s">
        <v>59</v>
      </c>
      <c r="I759" s="24" t="s">
        <v>59</v>
      </c>
      <c r="J759" s="24" t="s">
        <v>60</v>
      </c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6">
        <v>30.0</v>
      </c>
      <c r="B760" s="35" t="str">
        <f t="array" ref="B760">INDEX('Báo cáo 75 trang đích'!$B$2:$B$76,$A760)</f>
        <v>https://techcombank.com/thong-tin/blog/lam-the-tin-dung</v>
      </c>
      <c r="C760" s="5" t="str">
        <f t="array" ref="C760">INDEX('Báo cáo 75 trang đích'!$C$2:$C$76,$A760)</f>
        <v>CCB</v>
      </c>
      <c r="D760" s="20" t="s">
        <v>207</v>
      </c>
      <c r="E760" s="22" t="s">
        <v>757</v>
      </c>
      <c r="F760" s="22" t="s">
        <v>81</v>
      </c>
      <c r="G760" s="22" t="s">
        <v>1449</v>
      </c>
      <c r="H760" s="24" t="s">
        <v>59</v>
      </c>
      <c r="I760" s="24" t="s">
        <v>59</v>
      </c>
      <c r="J760" s="24" t="s">
        <v>60</v>
      </c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6">
        <v>30.0</v>
      </c>
      <c r="B761" s="35" t="str">
        <f t="array" ref="B761">INDEX('Báo cáo 75 trang đích'!$B$2:$B$76,$A761)</f>
        <v>https://techcombank.com/thong-tin/blog/lam-the-tin-dung</v>
      </c>
      <c r="C761" s="5" t="str">
        <f t="array" ref="C761">INDEX('Báo cáo 75 trang đích'!$C$2:$C$76,$A761)</f>
        <v>CCB</v>
      </c>
      <c r="D761" s="20" t="s">
        <v>987</v>
      </c>
      <c r="E761" s="22" t="s">
        <v>218</v>
      </c>
      <c r="F761" s="22" t="s">
        <v>81</v>
      </c>
      <c r="G761" s="22" t="s">
        <v>1457</v>
      </c>
      <c r="H761" s="24" t="s">
        <v>59</v>
      </c>
      <c r="I761" s="24" t="s">
        <v>59</v>
      </c>
      <c r="J761" s="24" t="s">
        <v>60</v>
      </c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6">
        <v>30.0</v>
      </c>
      <c r="B762" s="35" t="str">
        <f t="array" ref="B762">INDEX('Báo cáo 75 trang đích'!$B$2:$B$76,$A762)</f>
        <v>https://techcombank.com/thong-tin/blog/lam-the-tin-dung</v>
      </c>
      <c r="C762" s="5" t="str">
        <f t="array" ref="C762">INDEX('Báo cáo 75 trang đích'!$C$2:$C$76,$A762)</f>
        <v>CCB</v>
      </c>
      <c r="D762" s="20" t="s">
        <v>1458</v>
      </c>
      <c r="E762" s="22" t="s">
        <v>757</v>
      </c>
      <c r="F762" s="22" t="s">
        <v>81</v>
      </c>
      <c r="G762" s="22" t="s">
        <v>1454</v>
      </c>
      <c r="H762" s="24" t="s">
        <v>59</v>
      </c>
      <c r="I762" s="24" t="s">
        <v>59</v>
      </c>
      <c r="J762" s="24" t="s">
        <v>60</v>
      </c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6">
        <v>30.0</v>
      </c>
      <c r="B763" s="35" t="str">
        <f t="array" ref="B763">INDEX('Báo cáo 75 trang đích'!$B$2:$B$76,$A763)</f>
        <v>https://techcombank.com/thong-tin/blog/lam-the-tin-dung</v>
      </c>
      <c r="C763" s="5" t="str">
        <f t="array" ref="C763">INDEX('Báo cáo 75 trang đích'!$C$2:$C$76,$A763)</f>
        <v>CCB</v>
      </c>
      <c r="D763" s="20" t="s">
        <v>1459</v>
      </c>
      <c r="E763" s="22" t="s">
        <v>218</v>
      </c>
      <c r="F763" s="22" t="s">
        <v>81</v>
      </c>
      <c r="G763" s="22" t="s">
        <v>1449</v>
      </c>
      <c r="H763" s="24" t="s">
        <v>59</v>
      </c>
      <c r="I763" s="24" t="s">
        <v>59</v>
      </c>
      <c r="J763" s="24" t="s">
        <v>60</v>
      </c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6">
        <v>30.0</v>
      </c>
      <c r="B764" s="35" t="str">
        <f t="array" ref="B764">INDEX('Báo cáo 75 trang đích'!$B$2:$B$76,$A764)</f>
        <v>https://techcombank.com/thong-tin/blog/lam-the-tin-dung</v>
      </c>
      <c r="C764" s="5" t="str">
        <f t="array" ref="C764">INDEX('Báo cáo 75 trang đích'!$C$2:$C$76,$A764)</f>
        <v>CCB</v>
      </c>
      <c r="D764" s="20" t="s">
        <v>1460</v>
      </c>
      <c r="E764" s="22" t="s">
        <v>757</v>
      </c>
      <c r="F764" s="22" t="s">
        <v>81</v>
      </c>
      <c r="G764" s="22" t="s">
        <v>1450</v>
      </c>
      <c r="H764" s="24" t="s">
        <v>59</v>
      </c>
      <c r="I764" s="24" t="s">
        <v>59</v>
      </c>
      <c r="J764" s="24" t="s">
        <v>60</v>
      </c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6">
        <v>30.0</v>
      </c>
      <c r="B765" s="35" t="str">
        <f t="array" ref="B765">INDEX('Báo cáo 75 trang đích'!$B$2:$B$76,$A765)</f>
        <v>https://techcombank.com/thong-tin/blog/lam-the-tin-dung</v>
      </c>
      <c r="C765" s="5" t="str">
        <f t="array" ref="C765">INDEX('Báo cáo 75 trang đích'!$C$2:$C$76,$A765)</f>
        <v>CCB</v>
      </c>
      <c r="D765" s="20" t="s">
        <v>639</v>
      </c>
      <c r="E765" s="22" t="s">
        <v>218</v>
      </c>
      <c r="F765" s="22" t="s">
        <v>81</v>
      </c>
      <c r="G765" s="22" t="s">
        <v>1457</v>
      </c>
      <c r="H765" s="24" t="s">
        <v>59</v>
      </c>
      <c r="I765" s="24" t="s">
        <v>59</v>
      </c>
      <c r="J765" s="24" t="s">
        <v>60</v>
      </c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6">
        <v>30.0</v>
      </c>
      <c r="B766" s="35" t="str">
        <f t="array" ref="B766">INDEX('Báo cáo 75 trang đích'!$B$2:$B$76,$A766)</f>
        <v>https://techcombank.com/thong-tin/blog/lam-the-tin-dung</v>
      </c>
      <c r="C766" s="5" t="str">
        <f t="array" ref="C766">INDEX('Báo cáo 75 trang đích'!$C$2:$C$76,$A766)</f>
        <v>CCB</v>
      </c>
      <c r="D766" s="20" t="s">
        <v>813</v>
      </c>
      <c r="E766" s="22" t="s">
        <v>757</v>
      </c>
      <c r="F766" s="22" t="s">
        <v>81</v>
      </c>
      <c r="G766" s="22" t="s">
        <v>1449</v>
      </c>
      <c r="H766" s="24" t="s">
        <v>59</v>
      </c>
      <c r="I766" s="24" t="s">
        <v>59</v>
      </c>
      <c r="J766" s="24" t="s">
        <v>60</v>
      </c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6">
        <v>30.0</v>
      </c>
      <c r="B767" s="35" t="str">
        <f t="array" ref="B767">INDEX('Báo cáo 75 trang đích'!$B$2:$B$76,$A767)</f>
        <v>https://techcombank.com/thong-tin/blog/lam-the-tin-dung</v>
      </c>
      <c r="C767" s="5" t="str">
        <f t="array" ref="C767">INDEX('Báo cáo 75 trang đích'!$C$2:$C$76,$A767)</f>
        <v>CCB</v>
      </c>
      <c r="D767" s="20" t="s">
        <v>738</v>
      </c>
      <c r="E767" s="22" t="s">
        <v>218</v>
      </c>
      <c r="F767" s="22" t="s">
        <v>81</v>
      </c>
      <c r="G767" s="22" t="s">
        <v>1449</v>
      </c>
      <c r="H767" s="24" t="s">
        <v>59</v>
      </c>
      <c r="I767" s="24" t="s">
        <v>59</v>
      </c>
      <c r="J767" s="24" t="s">
        <v>60</v>
      </c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6">
        <v>30.0</v>
      </c>
      <c r="B768" s="35" t="str">
        <f t="array" ref="B768">INDEX('Báo cáo 75 trang đích'!$B$2:$B$76,$A768)</f>
        <v>https://techcombank.com/thong-tin/blog/lam-the-tin-dung</v>
      </c>
      <c r="C768" s="5" t="str">
        <f t="array" ref="C768">INDEX('Báo cáo 75 trang đích'!$C$2:$C$76,$A768)</f>
        <v>CCB</v>
      </c>
      <c r="D768" s="20" t="s">
        <v>281</v>
      </c>
      <c r="E768" s="22" t="s">
        <v>757</v>
      </c>
      <c r="F768" s="22" t="s">
        <v>81</v>
      </c>
      <c r="G768" s="22" t="s">
        <v>1449</v>
      </c>
      <c r="H768" s="24" t="s">
        <v>59</v>
      </c>
      <c r="I768" s="24" t="s">
        <v>59</v>
      </c>
      <c r="J768" s="24" t="s">
        <v>60</v>
      </c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6">
        <v>30.0</v>
      </c>
      <c r="B769" s="35" t="str">
        <f t="array" ref="B769">INDEX('Báo cáo 75 trang đích'!$B$2:$B$76,$A769)</f>
        <v>https://techcombank.com/thong-tin/blog/lam-the-tin-dung</v>
      </c>
      <c r="C769" s="5" t="str">
        <f t="array" ref="C769">INDEX('Báo cáo 75 trang đích'!$C$2:$C$76,$A769)</f>
        <v>CCB</v>
      </c>
      <c r="D769" s="20" t="s">
        <v>215</v>
      </c>
      <c r="E769" s="22" t="s">
        <v>218</v>
      </c>
      <c r="F769" s="22" t="s">
        <v>81</v>
      </c>
      <c r="G769" s="22" t="s">
        <v>1449</v>
      </c>
      <c r="H769" s="24" t="s">
        <v>59</v>
      </c>
      <c r="I769" s="24" t="s">
        <v>59</v>
      </c>
      <c r="J769" s="24" t="s">
        <v>60</v>
      </c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6">
        <v>30.0</v>
      </c>
      <c r="B770" s="35" t="str">
        <f t="array" ref="B770">INDEX('Báo cáo 75 trang đích'!$B$2:$B$76,$A770)</f>
        <v>https://techcombank.com/thong-tin/blog/lam-the-tin-dung</v>
      </c>
      <c r="C770" s="5" t="str">
        <f t="array" ref="C770">INDEX('Báo cáo 75 trang đích'!$C$2:$C$76,$A770)</f>
        <v>CCB</v>
      </c>
      <c r="D770" s="20" t="s">
        <v>1461</v>
      </c>
      <c r="E770" s="22" t="s">
        <v>757</v>
      </c>
      <c r="F770" s="22" t="s">
        <v>81</v>
      </c>
      <c r="G770" s="22" t="s">
        <v>1450</v>
      </c>
      <c r="H770" s="24" t="s">
        <v>59</v>
      </c>
      <c r="I770" s="24" t="s">
        <v>59</v>
      </c>
      <c r="J770" s="24" t="s">
        <v>60</v>
      </c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6">
        <v>30.0</v>
      </c>
      <c r="B771" s="35" t="str">
        <f t="array" ref="B771">INDEX('Báo cáo 75 trang đích'!$B$2:$B$76,$A771)</f>
        <v>https://techcombank.com/thong-tin/blog/lam-the-tin-dung</v>
      </c>
      <c r="C771" s="5" t="str">
        <f t="array" ref="C771">INDEX('Báo cáo 75 trang đích'!$C$2:$C$76,$A771)</f>
        <v>CCB</v>
      </c>
      <c r="D771" s="20" t="s">
        <v>1399</v>
      </c>
      <c r="E771" s="22" t="s">
        <v>218</v>
      </c>
      <c r="F771" s="22" t="s">
        <v>81</v>
      </c>
      <c r="G771" s="22" t="s">
        <v>1454</v>
      </c>
      <c r="H771" s="24" t="s">
        <v>59</v>
      </c>
      <c r="I771" s="24" t="s">
        <v>59</v>
      </c>
      <c r="J771" s="24" t="s">
        <v>60</v>
      </c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6">
        <v>30.0</v>
      </c>
      <c r="B772" s="35" t="str">
        <f t="array" ref="B772">INDEX('Báo cáo 75 trang đích'!$B$2:$B$76,$A772)</f>
        <v>https://techcombank.com/thong-tin/blog/lam-the-tin-dung</v>
      </c>
      <c r="C772" s="5" t="str">
        <f t="array" ref="C772">INDEX('Báo cáo 75 trang đích'!$C$2:$C$76,$A772)</f>
        <v>CCB</v>
      </c>
      <c r="D772" s="20" t="s">
        <v>1462</v>
      </c>
      <c r="E772" s="22" t="s">
        <v>757</v>
      </c>
      <c r="F772" s="22" t="s">
        <v>81</v>
      </c>
      <c r="G772" s="22" t="s">
        <v>1449</v>
      </c>
      <c r="H772" s="24" t="s">
        <v>59</v>
      </c>
      <c r="I772" s="24" t="s">
        <v>59</v>
      </c>
      <c r="J772" s="24" t="s">
        <v>60</v>
      </c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6">
        <v>30.0</v>
      </c>
      <c r="B773" s="35" t="str">
        <f t="array" ref="B773">INDEX('Báo cáo 75 trang đích'!$B$2:$B$76,$A773)</f>
        <v>https://techcombank.com/thong-tin/blog/lam-the-tin-dung</v>
      </c>
      <c r="C773" s="5" t="str">
        <f t="array" ref="C773">INDEX('Báo cáo 75 trang đích'!$C$2:$C$76,$A773)</f>
        <v>CCB</v>
      </c>
      <c r="D773" s="20" t="s">
        <v>1032</v>
      </c>
      <c r="E773" s="22" t="s">
        <v>218</v>
      </c>
      <c r="F773" s="22" t="s">
        <v>81</v>
      </c>
      <c r="G773" s="22" t="s">
        <v>1457</v>
      </c>
      <c r="H773" s="24" t="s">
        <v>59</v>
      </c>
      <c r="I773" s="24" t="s">
        <v>59</v>
      </c>
      <c r="J773" s="24" t="s">
        <v>60</v>
      </c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6">
        <v>30.0</v>
      </c>
      <c r="B774" s="35" t="str">
        <f t="array" ref="B774">INDEX('Báo cáo 75 trang đích'!$B$2:$B$76,$A774)</f>
        <v>https://techcombank.com/thong-tin/blog/lam-the-tin-dung</v>
      </c>
      <c r="C774" s="5" t="str">
        <f t="array" ref="C774">INDEX('Báo cáo 75 trang đích'!$C$2:$C$76,$A774)</f>
        <v>CCB</v>
      </c>
      <c r="D774" s="20" t="s">
        <v>1400</v>
      </c>
      <c r="E774" s="22" t="s">
        <v>757</v>
      </c>
      <c r="F774" s="22" t="s">
        <v>81</v>
      </c>
      <c r="G774" s="22" t="s">
        <v>1454</v>
      </c>
      <c r="H774" s="24" t="s">
        <v>59</v>
      </c>
      <c r="I774" s="24" t="s">
        <v>59</v>
      </c>
      <c r="J774" s="24" t="s">
        <v>60</v>
      </c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6">
        <v>30.0</v>
      </c>
      <c r="B775" s="35" t="str">
        <f t="array" ref="B775">INDEX('Báo cáo 75 trang đích'!$B$2:$B$76,$A775)</f>
        <v>https://techcombank.com/thong-tin/blog/lam-the-tin-dung</v>
      </c>
      <c r="C775" s="5" t="str">
        <f t="array" ref="C775">INDEX('Báo cáo 75 trang đích'!$C$2:$C$76,$A775)</f>
        <v>CCB</v>
      </c>
      <c r="D775" s="20" t="s">
        <v>1463</v>
      </c>
      <c r="E775" s="22" t="s">
        <v>218</v>
      </c>
      <c r="F775" s="22" t="s">
        <v>81</v>
      </c>
      <c r="G775" s="22" t="s">
        <v>1449</v>
      </c>
      <c r="H775" s="24" t="s">
        <v>59</v>
      </c>
      <c r="I775" s="24" t="s">
        <v>59</v>
      </c>
      <c r="J775" s="24" t="s">
        <v>60</v>
      </c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6">
        <v>30.0</v>
      </c>
      <c r="B776" s="35" t="str">
        <f t="array" ref="B776">INDEX('Báo cáo 75 trang đích'!$B$2:$B$76,$A776)</f>
        <v>https://techcombank.com/thong-tin/blog/lam-the-tin-dung</v>
      </c>
      <c r="C776" s="5" t="str">
        <f t="array" ref="C776">INDEX('Báo cáo 75 trang đích'!$C$2:$C$76,$A776)</f>
        <v>CCB</v>
      </c>
      <c r="D776" s="20" t="s">
        <v>646</v>
      </c>
      <c r="E776" s="22" t="s">
        <v>757</v>
      </c>
      <c r="F776" s="22" t="s">
        <v>81</v>
      </c>
      <c r="G776" s="22" t="s">
        <v>1450</v>
      </c>
      <c r="H776" s="24" t="s">
        <v>59</v>
      </c>
      <c r="I776" s="24" t="s">
        <v>59</v>
      </c>
      <c r="J776" s="24" t="s">
        <v>60</v>
      </c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6">
        <v>30.0</v>
      </c>
      <c r="B777" s="35" t="str">
        <f t="array" ref="B777">INDEX('Báo cáo 75 trang đích'!$B$2:$B$76,$A777)</f>
        <v>https://techcombank.com/thong-tin/blog/lam-the-tin-dung</v>
      </c>
      <c r="C777" s="5" t="str">
        <f t="array" ref="C777">INDEX('Báo cáo 75 trang đích'!$C$2:$C$76,$A777)</f>
        <v>CCB</v>
      </c>
      <c r="D777" s="20" t="s">
        <v>269</v>
      </c>
      <c r="E777" s="22" t="s">
        <v>218</v>
      </c>
      <c r="F777" s="22" t="s">
        <v>81</v>
      </c>
      <c r="G777" s="22" t="s">
        <v>1449</v>
      </c>
      <c r="H777" s="24" t="s">
        <v>59</v>
      </c>
      <c r="I777" s="24" t="s">
        <v>59</v>
      </c>
      <c r="J777" s="24" t="s">
        <v>60</v>
      </c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6">
        <v>30.0</v>
      </c>
      <c r="B778" s="35" t="str">
        <f t="array" ref="B778">INDEX('Báo cáo 75 trang đích'!$B$2:$B$76,$A778)</f>
        <v>https://techcombank.com/thong-tin/blog/lam-the-tin-dung</v>
      </c>
      <c r="C778" s="5" t="str">
        <f t="array" ref="C778">INDEX('Báo cáo 75 trang đích'!$C$2:$C$76,$A778)</f>
        <v>CCB</v>
      </c>
      <c r="D778" s="20" t="s">
        <v>1401</v>
      </c>
      <c r="E778" s="22" t="s">
        <v>757</v>
      </c>
      <c r="F778" s="22" t="s">
        <v>81</v>
      </c>
      <c r="G778" s="22" t="s">
        <v>1449</v>
      </c>
      <c r="H778" s="24" t="s">
        <v>59</v>
      </c>
      <c r="I778" s="24" t="s">
        <v>59</v>
      </c>
      <c r="J778" s="24" t="s">
        <v>60</v>
      </c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6">
        <v>30.0</v>
      </c>
      <c r="B779" s="35" t="str">
        <f t="array" ref="B779">INDEX('Báo cáo 75 trang đích'!$B$2:$B$76,$A779)</f>
        <v>https://techcombank.com/thong-tin/blog/lam-the-tin-dung</v>
      </c>
      <c r="C779" s="5" t="str">
        <f t="array" ref="C779">INDEX('Báo cáo 75 trang đích'!$C$2:$C$76,$A779)</f>
        <v>CCB</v>
      </c>
      <c r="D779" s="20" t="s">
        <v>1280</v>
      </c>
      <c r="E779" s="22" t="s">
        <v>218</v>
      </c>
      <c r="F779" s="22" t="s">
        <v>81</v>
      </c>
      <c r="G779" s="22" t="s">
        <v>1450</v>
      </c>
      <c r="H779" s="24" t="s">
        <v>59</v>
      </c>
      <c r="I779" s="24" t="s">
        <v>59</v>
      </c>
      <c r="J779" s="24" t="s">
        <v>60</v>
      </c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6">
        <v>30.0</v>
      </c>
      <c r="B780" s="35" t="str">
        <f t="array" ref="B780">INDEX('Báo cáo 75 trang đích'!$B$2:$B$76,$A780)</f>
        <v>https://techcombank.com/thong-tin/blog/lam-the-tin-dung</v>
      </c>
      <c r="C780" s="5" t="str">
        <f t="array" ref="C780">INDEX('Báo cáo 75 trang đích'!$C$2:$C$76,$A780)</f>
        <v>CCB</v>
      </c>
      <c r="D780" s="20" t="s">
        <v>771</v>
      </c>
      <c r="E780" s="22" t="s">
        <v>757</v>
      </c>
      <c r="F780" s="22" t="s">
        <v>81</v>
      </c>
      <c r="G780" s="22" t="s">
        <v>1449</v>
      </c>
      <c r="H780" s="24" t="s">
        <v>59</v>
      </c>
      <c r="I780" s="24" t="s">
        <v>59</v>
      </c>
      <c r="J780" s="24" t="s">
        <v>60</v>
      </c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6">
        <v>30.0</v>
      </c>
      <c r="B781" s="35" t="str">
        <f t="array" ref="B781">INDEX('Báo cáo 75 trang đích'!$B$2:$B$76,$A781)</f>
        <v>https://techcombank.com/thong-tin/blog/lam-the-tin-dung</v>
      </c>
      <c r="C781" s="5" t="str">
        <f t="array" ref="C781">INDEX('Báo cáo 75 trang đích'!$C$2:$C$76,$A781)</f>
        <v>CCB</v>
      </c>
      <c r="D781" s="20" t="s">
        <v>1464</v>
      </c>
      <c r="E781" s="22" t="s">
        <v>218</v>
      </c>
      <c r="F781" s="22" t="s">
        <v>81</v>
      </c>
      <c r="G781" s="22" t="s">
        <v>1449</v>
      </c>
      <c r="H781" s="24" t="s">
        <v>59</v>
      </c>
      <c r="I781" s="24" t="s">
        <v>59</v>
      </c>
      <c r="J781" s="24" t="s">
        <v>60</v>
      </c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6">
        <v>30.0</v>
      </c>
      <c r="B782" s="35" t="str">
        <f t="array" ref="B782">INDEX('Báo cáo 75 trang đích'!$B$2:$B$76,$A782)</f>
        <v>https://techcombank.com/thong-tin/blog/lam-the-tin-dung</v>
      </c>
      <c r="C782" s="5" t="str">
        <f t="array" ref="C782">INDEX('Báo cáo 75 trang đích'!$C$2:$C$76,$A782)</f>
        <v>CCB</v>
      </c>
      <c r="D782" s="20" t="s">
        <v>1037</v>
      </c>
      <c r="E782" s="22" t="s">
        <v>757</v>
      </c>
      <c r="F782" s="22" t="s">
        <v>81</v>
      </c>
      <c r="G782" s="22" t="s">
        <v>1457</v>
      </c>
      <c r="H782" s="24" t="s">
        <v>59</v>
      </c>
      <c r="I782" s="24" t="s">
        <v>59</v>
      </c>
      <c r="J782" s="24" t="s">
        <v>60</v>
      </c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6">
        <v>30.0</v>
      </c>
      <c r="B783" s="35" t="str">
        <f t="array" ref="B783">INDEX('Báo cáo 75 trang đích'!$B$2:$B$76,$A783)</f>
        <v>https://techcombank.com/thong-tin/blog/lam-the-tin-dung</v>
      </c>
      <c r="C783" s="5" t="str">
        <f t="array" ref="C783">INDEX('Báo cáo 75 trang đích'!$C$2:$C$76,$A783)</f>
        <v>CCB</v>
      </c>
      <c r="D783" s="20" t="s">
        <v>749</v>
      </c>
      <c r="E783" s="22" t="s">
        <v>218</v>
      </c>
      <c r="F783" s="22" t="s">
        <v>81</v>
      </c>
      <c r="G783" s="22" t="s">
        <v>1449</v>
      </c>
      <c r="H783" s="24" t="s">
        <v>59</v>
      </c>
      <c r="I783" s="24" t="s">
        <v>59</v>
      </c>
      <c r="J783" s="24" t="s">
        <v>60</v>
      </c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6">
        <v>30.0</v>
      </c>
      <c r="B784" s="35" t="str">
        <f t="array" ref="B784">INDEX('Báo cáo 75 trang đích'!$B$2:$B$76,$A784)</f>
        <v>https://techcombank.com/thong-tin/blog/lam-the-tin-dung</v>
      </c>
      <c r="C784" s="5" t="str">
        <f t="array" ref="C784">INDEX('Báo cáo 75 trang đích'!$C$2:$C$76,$A784)</f>
        <v>CCB</v>
      </c>
      <c r="D784" s="20" t="s">
        <v>776</v>
      </c>
      <c r="E784" s="22" t="s">
        <v>757</v>
      </c>
      <c r="F784" s="22" t="s">
        <v>81</v>
      </c>
      <c r="G784" s="22" t="s">
        <v>1449</v>
      </c>
      <c r="H784" s="24" t="s">
        <v>59</v>
      </c>
      <c r="I784" s="24" t="s">
        <v>59</v>
      </c>
      <c r="J784" s="24" t="s">
        <v>60</v>
      </c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6">
        <v>30.0</v>
      </c>
      <c r="B785" s="35" t="str">
        <f t="array" ref="B785">INDEX('Báo cáo 75 trang đích'!$B$2:$B$76,$A785)</f>
        <v>https://techcombank.com/thong-tin/blog/lam-the-tin-dung</v>
      </c>
      <c r="C785" s="5" t="str">
        <f t="array" ref="C785">INDEX('Báo cáo 75 trang đích'!$C$2:$C$76,$A785)</f>
        <v>CCB</v>
      </c>
      <c r="D785" s="20" t="s">
        <v>1465</v>
      </c>
      <c r="E785" s="22" t="s">
        <v>218</v>
      </c>
      <c r="F785" s="22" t="s">
        <v>81</v>
      </c>
      <c r="G785" s="22" t="s">
        <v>1450</v>
      </c>
      <c r="H785" s="24" t="s">
        <v>59</v>
      </c>
      <c r="I785" s="24" t="s">
        <v>59</v>
      </c>
      <c r="J785" s="24" t="s">
        <v>60</v>
      </c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6">
        <v>30.0</v>
      </c>
      <c r="B786" s="35" t="str">
        <f t="array" ref="B786">INDEX('Báo cáo 75 trang đích'!$B$2:$B$76,$A786)</f>
        <v>https://techcombank.com/thong-tin/blog/lam-the-tin-dung</v>
      </c>
      <c r="C786" s="5" t="str">
        <f t="array" ref="C786">INDEX('Báo cáo 75 trang đích'!$C$2:$C$76,$A786)</f>
        <v>CCB</v>
      </c>
      <c r="D786" s="20" t="s">
        <v>811</v>
      </c>
      <c r="E786" s="22" t="s">
        <v>757</v>
      </c>
      <c r="F786" s="22" t="s">
        <v>81</v>
      </c>
      <c r="G786" s="22" t="s">
        <v>1449</v>
      </c>
      <c r="H786" s="24" t="s">
        <v>59</v>
      </c>
      <c r="I786" s="24" t="s">
        <v>59</v>
      </c>
      <c r="J786" s="24" t="s">
        <v>60</v>
      </c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6">
        <v>30.0</v>
      </c>
      <c r="B787" s="35" t="str">
        <f t="array" ref="B787">INDEX('Báo cáo 75 trang đích'!$B$2:$B$76,$A787)</f>
        <v>https://techcombank.com/thong-tin/blog/lam-the-tin-dung</v>
      </c>
      <c r="C787" s="5" t="str">
        <f t="array" ref="C787">INDEX('Báo cáo 75 trang đích'!$C$2:$C$76,$A787)</f>
        <v>CCB</v>
      </c>
      <c r="D787" s="20" t="s">
        <v>1466</v>
      </c>
      <c r="E787" s="22" t="s">
        <v>218</v>
      </c>
      <c r="F787" s="22" t="s">
        <v>81</v>
      </c>
      <c r="G787" s="22" t="s">
        <v>1449</v>
      </c>
      <c r="H787" s="24" t="s">
        <v>59</v>
      </c>
      <c r="I787" s="24" t="s">
        <v>59</v>
      </c>
      <c r="J787" s="24" t="s">
        <v>60</v>
      </c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6">
        <v>30.0</v>
      </c>
      <c r="B788" s="35" t="str">
        <f t="array" ref="B788">INDEX('Báo cáo 75 trang đích'!$B$2:$B$76,$A788)</f>
        <v>https://techcombank.com/thong-tin/blog/lam-the-tin-dung</v>
      </c>
      <c r="C788" s="5" t="str">
        <f t="array" ref="C788">INDEX('Báo cáo 75 trang đích'!$C$2:$C$76,$A788)</f>
        <v>CCB</v>
      </c>
      <c r="D788" s="20" t="s">
        <v>431</v>
      </c>
      <c r="E788" s="22" t="s">
        <v>757</v>
      </c>
      <c r="F788" s="22" t="s">
        <v>81</v>
      </c>
      <c r="G788" s="22" t="s">
        <v>1449</v>
      </c>
      <c r="H788" s="24" t="s">
        <v>59</v>
      </c>
      <c r="I788" s="24" t="s">
        <v>59</v>
      </c>
      <c r="J788" s="24" t="s">
        <v>60</v>
      </c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6">
        <v>30.0</v>
      </c>
      <c r="B789" s="35" t="str">
        <f t="array" ref="B789">INDEX('Báo cáo 75 trang đích'!$B$2:$B$76,$A789)</f>
        <v>https://techcombank.com/thong-tin/blog/lam-the-tin-dung</v>
      </c>
      <c r="C789" s="5" t="str">
        <f t="array" ref="C789">INDEX('Báo cáo 75 trang đích'!$C$2:$C$76,$A789)</f>
        <v>CCB</v>
      </c>
      <c r="D789" s="20" t="s">
        <v>1467</v>
      </c>
      <c r="E789" s="22" t="s">
        <v>218</v>
      </c>
      <c r="F789" s="22" t="s">
        <v>81</v>
      </c>
      <c r="G789" s="22" t="s">
        <v>1454</v>
      </c>
      <c r="H789" s="24" t="s">
        <v>59</v>
      </c>
      <c r="I789" s="24" t="s">
        <v>59</v>
      </c>
      <c r="J789" s="24" t="s">
        <v>60</v>
      </c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6">
        <v>30.0</v>
      </c>
      <c r="B790" s="35" t="str">
        <f t="array" ref="B790">INDEX('Báo cáo 75 trang đích'!$B$2:$B$76,$A790)</f>
        <v>https://techcombank.com/thong-tin/blog/lam-the-tin-dung</v>
      </c>
      <c r="C790" s="5" t="str">
        <f t="array" ref="C790">INDEX('Báo cáo 75 trang đích'!$C$2:$C$76,$A790)</f>
        <v>CCB</v>
      </c>
      <c r="D790" s="20" t="s">
        <v>1331</v>
      </c>
      <c r="E790" s="22" t="s">
        <v>757</v>
      </c>
      <c r="F790" s="22" t="s">
        <v>81</v>
      </c>
      <c r="G790" s="22" t="s">
        <v>1449</v>
      </c>
      <c r="H790" s="24" t="s">
        <v>59</v>
      </c>
      <c r="I790" s="24" t="s">
        <v>59</v>
      </c>
      <c r="J790" s="24" t="s">
        <v>60</v>
      </c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6">
        <v>30.0</v>
      </c>
      <c r="B791" s="35" t="str">
        <f t="array" ref="B791">INDEX('Báo cáo 75 trang đích'!$B$2:$B$76,$A791)</f>
        <v>https://techcombank.com/thong-tin/blog/lam-the-tin-dung</v>
      </c>
      <c r="C791" s="5" t="str">
        <f t="array" ref="C791">INDEX('Báo cáo 75 trang đích'!$C$2:$C$76,$A791)</f>
        <v>CCB</v>
      </c>
      <c r="D791" s="20" t="s">
        <v>1468</v>
      </c>
      <c r="E791" s="22" t="s">
        <v>218</v>
      </c>
      <c r="F791" s="22" t="s">
        <v>81</v>
      </c>
      <c r="G791" s="22" t="s">
        <v>1449</v>
      </c>
      <c r="H791" s="24" t="s">
        <v>59</v>
      </c>
      <c r="I791" s="24" t="s">
        <v>59</v>
      </c>
      <c r="J791" s="24" t="s">
        <v>60</v>
      </c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6">
        <v>30.0</v>
      </c>
      <c r="B792" s="35" t="str">
        <f t="array" ref="B792">INDEX('Báo cáo 75 trang đích'!$B$2:$B$76,$A792)</f>
        <v>https://techcombank.com/thong-tin/blog/lam-the-tin-dung</v>
      </c>
      <c r="C792" s="5" t="str">
        <f t="array" ref="C792">INDEX('Báo cáo 75 trang đích'!$C$2:$C$76,$A792)</f>
        <v>CCB</v>
      </c>
      <c r="D792" s="20" t="s">
        <v>1469</v>
      </c>
      <c r="E792" s="22" t="s">
        <v>757</v>
      </c>
      <c r="F792" s="22" t="s">
        <v>81</v>
      </c>
      <c r="G792" s="22" t="s">
        <v>1449</v>
      </c>
      <c r="H792" s="24" t="s">
        <v>59</v>
      </c>
      <c r="I792" s="24" t="s">
        <v>59</v>
      </c>
      <c r="J792" s="24" t="s">
        <v>60</v>
      </c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6">
        <v>30.0</v>
      </c>
      <c r="B793" s="35" t="str">
        <f t="array" ref="B793">INDEX('Báo cáo 75 trang đích'!$B$2:$B$76,$A793)</f>
        <v>https://techcombank.com/thong-tin/blog/lam-the-tin-dung</v>
      </c>
      <c r="C793" s="5" t="str">
        <f t="array" ref="C793">INDEX('Báo cáo 75 trang đích'!$C$2:$C$76,$A793)</f>
        <v>CCB</v>
      </c>
      <c r="D793" s="20" t="s">
        <v>187</v>
      </c>
      <c r="E793" s="22" t="s">
        <v>218</v>
      </c>
      <c r="F793" s="22" t="s">
        <v>81</v>
      </c>
      <c r="G793" s="22" t="s">
        <v>1450</v>
      </c>
      <c r="H793" s="24" t="s">
        <v>59</v>
      </c>
      <c r="I793" s="24" t="s">
        <v>59</v>
      </c>
      <c r="J793" s="24" t="s">
        <v>60</v>
      </c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6">
        <v>30.0</v>
      </c>
      <c r="B794" s="35" t="str">
        <f t="array" ref="B794">INDEX('Báo cáo 75 trang đích'!$B$2:$B$76,$A794)</f>
        <v>https://techcombank.com/thong-tin/blog/lam-the-tin-dung</v>
      </c>
      <c r="C794" s="5" t="str">
        <f t="array" ref="C794">INDEX('Báo cáo 75 trang đích'!$C$2:$C$76,$A794)</f>
        <v>CCB</v>
      </c>
      <c r="D794" s="20" t="s">
        <v>1054</v>
      </c>
      <c r="E794" s="22" t="s">
        <v>757</v>
      </c>
      <c r="F794" s="22" t="s">
        <v>81</v>
      </c>
      <c r="G794" s="22" t="s">
        <v>1011</v>
      </c>
      <c r="H794" s="24" t="s">
        <v>59</v>
      </c>
      <c r="I794" s="24" t="s">
        <v>59</v>
      </c>
      <c r="J794" s="24" t="s">
        <v>60</v>
      </c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6">
        <v>30.0</v>
      </c>
      <c r="B795" s="35" t="str">
        <f t="array" ref="B795">INDEX('Báo cáo 75 trang đích'!$B$2:$B$76,$A795)</f>
        <v>https://techcombank.com/thong-tin/blog/lam-the-tin-dung</v>
      </c>
      <c r="C795" s="5" t="str">
        <f t="array" ref="C795">INDEX('Báo cáo 75 trang đích'!$C$2:$C$76,$A795)</f>
        <v>CCB</v>
      </c>
      <c r="D795" s="20" t="s">
        <v>817</v>
      </c>
      <c r="E795" s="22" t="s">
        <v>218</v>
      </c>
      <c r="F795" s="22" t="s">
        <v>81</v>
      </c>
      <c r="G795" s="22" t="s">
        <v>1449</v>
      </c>
      <c r="H795" s="24" t="s">
        <v>59</v>
      </c>
      <c r="I795" s="24" t="s">
        <v>59</v>
      </c>
      <c r="J795" s="24" t="s">
        <v>60</v>
      </c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6">
        <v>30.0</v>
      </c>
      <c r="B796" s="35" t="str">
        <f t="array" ref="B796">INDEX('Báo cáo 75 trang đích'!$B$2:$B$76,$A796)</f>
        <v>https://techcombank.com/thong-tin/blog/lam-the-tin-dung</v>
      </c>
      <c r="C796" s="5" t="str">
        <f t="array" ref="C796">INDEX('Báo cáo 75 trang đích'!$C$2:$C$76,$A796)</f>
        <v>CCB</v>
      </c>
      <c r="D796" s="20" t="s">
        <v>1470</v>
      </c>
      <c r="E796" s="22" t="s">
        <v>757</v>
      </c>
      <c r="F796" s="22" t="s">
        <v>81</v>
      </c>
      <c r="G796" s="22" t="s">
        <v>1449</v>
      </c>
      <c r="H796" s="24" t="s">
        <v>59</v>
      </c>
      <c r="I796" s="24" t="s">
        <v>59</v>
      </c>
      <c r="J796" s="24" t="s">
        <v>60</v>
      </c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6">
        <v>30.0</v>
      </c>
      <c r="B797" s="35" t="str">
        <f t="array" ref="B797">INDEX('Báo cáo 75 trang đích'!$B$2:$B$76,$A797)</f>
        <v>https://techcombank.com/thong-tin/blog/lam-the-tin-dung</v>
      </c>
      <c r="C797" s="5" t="str">
        <f t="array" ref="C797">INDEX('Báo cáo 75 trang đích'!$C$2:$C$76,$A797)</f>
        <v>CCB</v>
      </c>
      <c r="D797" s="20" t="s">
        <v>1471</v>
      </c>
      <c r="E797" s="22" t="s">
        <v>218</v>
      </c>
      <c r="F797" s="22" t="s">
        <v>81</v>
      </c>
      <c r="G797" s="22" t="s">
        <v>1449</v>
      </c>
      <c r="H797" s="24" t="s">
        <v>59</v>
      </c>
      <c r="I797" s="24" t="s">
        <v>59</v>
      </c>
      <c r="J797" s="24" t="s">
        <v>60</v>
      </c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6">
        <v>30.0</v>
      </c>
      <c r="B798" s="35" t="str">
        <f t="array" ref="B798">INDEX('Báo cáo 75 trang đích'!$B$2:$B$76,$A798)</f>
        <v>https://techcombank.com/thong-tin/blog/lam-the-tin-dung</v>
      </c>
      <c r="C798" s="5" t="str">
        <f t="array" ref="C798">INDEX('Báo cáo 75 trang đích'!$C$2:$C$76,$A798)</f>
        <v>CCB</v>
      </c>
      <c r="D798" s="20" t="s">
        <v>633</v>
      </c>
      <c r="E798" s="22" t="s">
        <v>757</v>
      </c>
      <c r="F798" s="22" t="s">
        <v>81</v>
      </c>
      <c r="G798" s="22" t="s">
        <v>1454</v>
      </c>
      <c r="H798" s="24" t="s">
        <v>59</v>
      </c>
      <c r="I798" s="24" t="s">
        <v>59</v>
      </c>
      <c r="J798" s="24" t="s">
        <v>60</v>
      </c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6">
        <v>30.0</v>
      </c>
      <c r="B799" s="35" t="str">
        <f t="array" ref="B799">INDEX('Báo cáo 75 trang đích'!$B$2:$B$76,$A799)</f>
        <v>https://techcombank.com/thong-tin/blog/lam-the-tin-dung</v>
      </c>
      <c r="C799" s="5" t="str">
        <f t="array" ref="C799">INDEX('Báo cáo 75 trang đích'!$C$2:$C$76,$A799)</f>
        <v>CCB</v>
      </c>
      <c r="D799" s="20" t="s">
        <v>1059</v>
      </c>
      <c r="E799" s="22" t="s">
        <v>218</v>
      </c>
      <c r="F799" s="22" t="s">
        <v>81</v>
      </c>
      <c r="G799" s="22" t="s">
        <v>1457</v>
      </c>
      <c r="H799" s="24" t="s">
        <v>59</v>
      </c>
      <c r="I799" s="24" t="s">
        <v>59</v>
      </c>
      <c r="J799" s="24" t="s">
        <v>60</v>
      </c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6">
        <v>30.0</v>
      </c>
      <c r="B800" s="35" t="str">
        <f t="array" ref="B800">INDEX('Báo cáo 75 trang đích'!$B$2:$B$76,$A800)</f>
        <v>https://techcombank.com/thong-tin/blog/lam-the-tin-dung</v>
      </c>
      <c r="C800" s="5" t="str">
        <f t="array" ref="C800">INDEX('Báo cáo 75 trang đích'!$C$2:$C$76,$A800)</f>
        <v>CCB</v>
      </c>
      <c r="D800" s="20" t="s">
        <v>786</v>
      </c>
      <c r="E800" s="22" t="s">
        <v>757</v>
      </c>
      <c r="F800" s="22" t="s">
        <v>81</v>
      </c>
      <c r="G800" s="22" t="s">
        <v>1449</v>
      </c>
      <c r="H800" s="24" t="s">
        <v>59</v>
      </c>
      <c r="I800" s="24" t="s">
        <v>59</v>
      </c>
      <c r="J800" s="24" t="s">
        <v>60</v>
      </c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6">
        <v>30.0</v>
      </c>
      <c r="B801" s="35" t="str">
        <f t="array" ref="B801">INDEX('Báo cáo 75 trang đích'!$B$2:$B$76,$A801)</f>
        <v>https://techcombank.com/thong-tin/blog/lam-the-tin-dung</v>
      </c>
      <c r="C801" s="5" t="str">
        <f t="array" ref="C801">INDEX('Báo cáo 75 trang đích'!$C$2:$C$76,$A801)</f>
        <v>CCB</v>
      </c>
      <c r="D801" s="20" t="s">
        <v>747</v>
      </c>
      <c r="E801" s="22" t="s">
        <v>218</v>
      </c>
      <c r="F801" s="22" t="s">
        <v>81</v>
      </c>
      <c r="G801" s="22" t="s">
        <v>1449</v>
      </c>
      <c r="H801" s="24" t="s">
        <v>59</v>
      </c>
      <c r="I801" s="24" t="s">
        <v>59</v>
      </c>
      <c r="J801" s="24" t="s">
        <v>60</v>
      </c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6">
        <v>30.0</v>
      </c>
      <c r="B802" s="35" t="str">
        <f t="array" ref="B802">INDEX('Báo cáo 75 trang đích'!$B$2:$B$76,$A802)</f>
        <v>https://techcombank.com/thong-tin/blog/lam-the-tin-dung</v>
      </c>
      <c r="C802" s="5" t="str">
        <f t="array" ref="C802">INDEX('Báo cáo 75 trang đích'!$C$2:$C$76,$A802)</f>
        <v>CCB</v>
      </c>
      <c r="D802" s="20" t="s">
        <v>1283</v>
      </c>
      <c r="E802" s="22" t="s">
        <v>757</v>
      </c>
      <c r="F802" s="22" t="s">
        <v>81</v>
      </c>
      <c r="G802" s="22" t="s">
        <v>1449</v>
      </c>
      <c r="H802" s="24" t="s">
        <v>59</v>
      </c>
      <c r="I802" s="24" t="s">
        <v>59</v>
      </c>
      <c r="J802" s="24" t="s">
        <v>60</v>
      </c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6">
        <v>30.0</v>
      </c>
      <c r="B803" s="35" t="str">
        <f t="array" ref="B803">INDEX('Báo cáo 75 trang đích'!$B$2:$B$76,$A803)</f>
        <v>https://techcombank.com/thong-tin/blog/lam-the-tin-dung</v>
      </c>
      <c r="C803" s="5" t="str">
        <f t="array" ref="C803">INDEX('Báo cáo 75 trang đích'!$C$2:$C$76,$A803)</f>
        <v>CCB</v>
      </c>
      <c r="D803" s="20" t="s">
        <v>700</v>
      </c>
      <c r="E803" s="22" t="s">
        <v>218</v>
      </c>
      <c r="F803" s="22" t="s">
        <v>81</v>
      </c>
      <c r="G803" s="22" t="s">
        <v>1449</v>
      </c>
      <c r="H803" s="24" t="s">
        <v>59</v>
      </c>
      <c r="I803" s="24" t="s">
        <v>59</v>
      </c>
      <c r="J803" s="24" t="s">
        <v>60</v>
      </c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6">
        <v>30.0</v>
      </c>
      <c r="B804" s="35" t="str">
        <f t="array" ref="B804">INDEX('Báo cáo 75 trang đích'!$B$2:$B$76,$A804)</f>
        <v>https://techcombank.com/thong-tin/blog/lam-the-tin-dung</v>
      </c>
      <c r="C804" s="5" t="str">
        <f t="array" ref="C804">INDEX('Báo cáo 75 trang đích'!$C$2:$C$76,$A804)</f>
        <v>CCB</v>
      </c>
      <c r="D804" s="20" t="s">
        <v>1472</v>
      </c>
      <c r="E804" s="22" t="s">
        <v>757</v>
      </c>
      <c r="F804" s="22" t="s">
        <v>81</v>
      </c>
      <c r="G804" s="22" t="s">
        <v>1449</v>
      </c>
      <c r="H804" s="24" t="s">
        <v>59</v>
      </c>
      <c r="I804" s="24" t="s">
        <v>59</v>
      </c>
      <c r="J804" s="24" t="s">
        <v>60</v>
      </c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6">
        <v>30.0</v>
      </c>
      <c r="B805" s="35" t="str">
        <f t="array" ref="B805">INDEX('Báo cáo 75 trang đích'!$B$2:$B$76,$A805)</f>
        <v>https://techcombank.com/thong-tin/blog/lam-the-tin-dung</v>
      </c>
      <c r="C805" s="5" t="str">
        <f t="array" ref="C805">INDEX('Báo cáo 75 trang đích'!$C$2:$C$76,$A805)</f>
        <v>CCB</v>
      </c>
      <c r="D805" s="20" t="s">
        <v>1473</v>
      </c>
      <c r="E805" s="22" t="s">
        <v>218</v>
      </c>
      <c r="F805" s="22" t="s">
        <v>81</v>
      </c>
      <c r="G805" s="22" t="s">
        <v>1449</v>
      </c>
      <c r="H805" s="24" t="s">
        <v>59</v>
      </c>
      <c r="I805" s="24" t="s">
        <v>59</v>
      </c>
      <c r="J805" s="24" t="s">
        <v>60</v>
      </c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6">
        <v>30.0</v>
      </c>
      <c r="B806" s="35" t="str">
        <f t="array" ref="B806">INDEX('Báo cáo 75 trang đích'!$B$2:$B$76,$A806)</f>
        <v>https://techcombank.com/thong-tin/blog/lam-the-tin-dung</v>
      </c>
      <c r="C806" s="5" t="str">
        <f t="array" ref="C806">INDEX('Báo cáo 75 trang đích'!$C$2:$C$76,$A806)</f>
        <v>CCB</v>
      </c>
      <c r="D806" s="20" t="s">
        <v>800</v>
      </c>
      <c r="E806" s="22" t="s">
        <v>757</v>
      </c>
      <c r="F806" s="22" t="s">
        <v>81</v>
      </c>
      <c r="G806" s="22" t="s">
        <v>1449</v>
      </c>
      <c r="H806" s="24" t="s">
        <v>59</v>
      </c>
      <c r="I806" s="24" t="s">
        <v>59</v>
      </c>
      <c r="J806" s="24" t="s">
        <v>60</v>
      </c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6">
        <v>30.0</v>
      </c>
      <c r="B807" s="35" t="str">
        <f t="array" ref="B807">INDEX('Báo cáo 75 trang đích'!$B$2:$B$76,$A807)</f>
        <v>https://techcombank.com/thong-tin/blog/lam-the-tin-dung</v>
      </c>
      <c r="C807" s="5" t="str">
        <f t="array" ref="C807">INDEX('Báo cáo 75 trang đích'!$C$2:$C$76,$A807)</f>
        <v>CCB</v>
      </c>
      <c r="D807" s="20" t="s">
        <v>1223</v>
      </c>
      <c r="E807" s="22" t="s">
        <v>218</v>
      </c>
      <c r="F807" s="22" t="s">
        <v>81</v>
      </c>
      <c r="G807" s="22" t="s">
        <v>1450</v>
      </c>
      <c r="H807" s="24" t="s">
        <v>59</v>
      </c>
      <c r="I807" s="24" t="s">
        <v>59</v>
      </c>
      <c r="J807" s="24" t="s">
        <v>60</v>
      </c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6">
        <v>30.0</v>
      </c>
      <c r="B808" s="35" t="str">
        <f t="array" ref="B808">INDEX('Báo cáo 75 trang đích'!$B$2:$B$76,$A808)</f>
        <v>https://techcombank.com/thong-tin/blog/lam-the-tin-dung</v>
      </c>
      <c r="C808" s="5" t="str">
        <f t="array" ref="C808">INDEX('Báo cáo 75 trang đích'!$C$2:$C$76,$A808)</f>
        <v>CCB</v>
      </c>
      <c r="D808" s="20" t="s">
        <v>820</v>
      </c>
      <c r="E808" s="22" t="s">
        <v>757</v>
      </c>
      <c r="F808" s="22" t="s">
        <v>81</v>
      </c>
      <c r="G808" s="22" t="s">
        <v>1449</v>
      </c>
      <c r="H808" s="24" t="s">
        <v>59</v>
      </c>
      <c r="I808" s="24" t="s">
        <v>59</v>
      </c>
      <c r="J808" s="24" t="s">
        <v>60</v>
      </c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6">
        <v>30.0</v>
      </c>
      <c r="B809" s="35" t="str">
        <f t="array" ref="B809">INDEX('Báo cáo 75 trang đích'!$B$2:$B$76,$A809)</f>
        <v>https://techcombank.com/thong-tin/blog/lam-the-tin-dung</v>
      </c>
      <c r="C809" s="5" t="str">
        <f t="array" ref="C809">INDEX('Báo cáo 75 trang đích'!$C$2:$C$76,$A809)</f>
        <v>CCB</v>
      </c>
      <c r="D809" s="20" t="s">
        <v>640</v>
      </c>
      <c r="E809" s="22" t="s">
        <v>218</v>
      </c>
      <c r="F809" s="22" t="s">
        <v>81</v>
      </c>
      <c r="G809" s="22" t="s">
        <v>1454</v>
      </c>
      <c r="H809" s="24" t="s">
        <v>59</v>
      </c>
      <c r="I809" s="24" t="s">
        <v>59</v>
      </c>
      <c r="J809" s="24" t="s">
        <v>60</v>
      </c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6">
        <v>30.0</v>
      </c>
      <c r="B810" s="35" t="str">
        <f t="array" ref="B810">INDEX('Báo cáo 75 trang đích'!$B$2:$B$76,$A810)</f>
        <v>https://techcombank.com/thong-tin/blog/lam-the-tin-dung</v>
      </c>
      <c r="C810" s="5" t="str">
        <f t="array" ref="C810">INDEX('Báo cáo 75 trang đích'!$C$2:$C$76,$A810)</f>
        <v>CCB</v>
      </c>
      <c r="D810" s="20" t="s">
        <v>1426</v>
      </c>
      <c r="E810" s="22" t="s">
        <v>757</v>
      </c>
      <c r="F810" s="22" t="s">
        <v>81</v>
      </c>
      <c r="G810" s="22" t="s">
        <v>1450</v>
      </c>
      <c r="H810" s="24" t="s">
        <v>59</v>
      </c>
      <c r="I810" s="24" t="s">
        <v>59</v>
      </c>
      <c r="J810" s="24" t="s">
        <v>60</v>
      </c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6">
        <v>30.0</v>
      </c>
      <c r="B811" s="35" t="str">
        <f t="array" ref="B811">INDEX('Báo cáo 75 trang đích'!$B$2:$B$76,$A811)</f>
        <v>https://techcombank.com/thong-tin/blog/lam-the-tin-dung</v>
      </c>
      <c r="C811" s="5" t="str">
        <f t="array" ref="C811">INDEX('Báo cáo 75 trang đích'!$C$2:$C$76,$A811)</f>
        <v>CCB</v>
      </c>
      <c r="D811" s="20" t="s">
        <v>768</v>
      </c>
      <c r="E811" s="22" t="s">
        <v>218</v>
      </c>
      <c r="F811" s="22" t="s">
        <v>81</v>
      </c>
      <c r="G811" s="22" t="s">
        <v>1449</v>
      </c>
      <c r="H811" s="24" t="s">
        <v>59</v>
      </c>
      <c r="I811" s="24" t="s">
        <v>59</v>
      </c>
      <c r="J811" s="24" t="s">
        <v>60</v>
      </c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6">
        <v>30.0</v>
      </c>
      <c r="B812" s="35" t="str">
        <f t="array" ref="B812">INDEX('Báo cáo 75 trang đích'!$B$2:$B$76,$A812)</f>
        <v>https://techcombank.com/thong-tin/blog/lam-the-tin-dung</v>
      </c>
      <c r="C812" s="5" t="str">
        <f t="array" ref="C812">INDEX('Báo cáo 75 trang đích'!$C$2:$C$76,$A812)</f>
        <v>CCB</v>
      </c>
      <c r="D812" s="20" t="s">
        <v>1071</v>
      </c>
      <c r="E812" s="22" t="s">
        <v>757</v>
      </c>
      <c r="F812" s="22" t="s">
        <v>81</v>
      </c>
      <c r="G812" s="22" t="s">
        <v>1011</v>
      </c>
      <c r="H812" s="24" t="s">
        <v>59</v>
      </c>
      <c r="I812" s="24" t="s">
        <v>59</v>
      </c>
      <c r="J812" s="24" t="s">
        <v>60</v>
      </c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6">
        <v>30.0</v>
      </c>
      <c r="B813" s="35" t="str">
        <f t="array" ref="B813">INDEX('Báo cáo 75 trang đích'!$B$2:$B$76,$A813)</f>
        <v>https://techcombank.com/thong-tin/blog/lam-the-tin-dung</v>
      </c>
      <c r="C813" s="5" t="str">
        <f t="array" ref="C813">INDEX('Báo cáo 75 trang đích'!$C$2:$C$76,$A813)</f>
        <v>CCB</v>
      </c>
      <c r="D813" s="20" t="s">
        <v>709</v>
      </c>
      <c r="E813" s="22" t="s">
        <v>218</v>
      </c>
      <c r="F813" s="22" t="s">
        <v>81</v>
      </c>
      <c r="G813" s="22" t="s">
        <v>1449</v>
      </c>
      <c r="H813" s="24" t="s">
        <v>59</v>
      </c>
      <c r="I813" s="24" t="s">
        <v>59</v>
      </c>
      <c r="J813" s="24" t="s">
        <v>60</v>
      </c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6">
        <v>30.0</v>
      </c>
      <c r="B814" s="35" t="str">
        <f t="array" ref="B814">INDEX('Báo cáo 75 trang đích'!$B$2:$B$76,$A814)</f>
        <v>https://techcombank.com/thong-tin/blog/lam-the-tin-dung</v>
      </c>
      <c r="C814" s="5" t="str">
        <f t="array" ref="C814">INDEX('Báo cáo 75 trang đích'!$C$2:$C$76,$A814)</f>
        <v>CCB</v>
      </c>
      <c r="D814" s="20" t="s">
        <v>1474</v>
      </c>
      <c r="E814" s="22" t="s">
        <v>757</v>
      </c>
      <c r="F814" s="22" t="s">
        <v>81</v>
      </c>
      <c r="G814" s="22" t="s">
        <v>1449</v>
      </c>
      <c r="H814" s="24" t="s">
        <v>59</v>
      </c>
      <c r="I814" s="24" t="s">
        <v>59</v>
      </c>
      <c r="J814" s="24" t="s">
        <v>60</v>
      </c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6">
        <v>30.0</v>
      </c>
      <c r="B815" s="35" t="str">
        <f t="array" ref="B815">INDEX('Báo cáo 75 trang đích'!$B$2:$B$76,$A815)</f>
        <v>https://techcombank.com/thong-tin/blog/lam-the-tin-dung</v>
      </c>
      <c r="C815" s="5" t="str">
        <f t="array" ref="C815">INDEX('Báo cáo 75 trang đích'!$C$2:$C$76,$A815)</f>
        <v>CCB</v>
      </c>
      <c r="D815" s="20" t="s">
        <v>1290</v>
      </c>
      <c r="E815" s="22" t="s">
        <v>218</v>
      </c>
      <c r="F815" s="22" t="s">
        <v>81</v>
      </c>
      <c r="G815" s="22" t="s">
        <v>1449</v>
      </c>
      <c r="H815" s="24" t="s">
        <v>59</v>
      </c>
      <c r="I815" s="24" t="s">
        <v>59</v>
      </c>
      <c r="J815" s="24" t="s">
        <v>60</v>
      </c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6">
        <v>30.0</v>
      </c>
      <c r="B816" s="35" t="str">
        <f t="array" ref="B816">INDEX('Báo cáo 75 trang đích'!$B$2:$B$76,$A816)</f>
        <v>https://techcombank.com/thong-tin/blog/lam-the-tin-dung</v>
      </c>
      <c r="C816" s="5" t="str">
        <f t="array" ref="C816">INDEX('Báo cáo 75 trang đích'!$C$2:$C$76,$A816)</f>
        <v>CCB</v>
      </c>
      <c r="D816" s="20" t="s">
        <v>194</v>
      </c>
      <c r="E816" s="22" t="s">
        <v>757</v>
      </c>
      <c r="F816" s="22" t="s">
        <v>81</v>
      </c>
      <c r="G816" s="22" t="s">
        <v>1449</v>
      </c>
      <c r="H816" s="24" t="s">
        <v>59</v>
      </c>
      <c r="I816" s="24" t="s">
        <v>59</v>
      </c>
      <c r="J816" s="24" t="s">
        <v>60</v>
      </c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6">
        <v>30.0</v>
      </c>
      <c r="B817" s="35" t="str">
        <f t="array" ref="B817">INDEX('Báo cáo 75 trang đích'!$B$2:$B$76,$A817)</f>
        <v>https://techcombank.com/thong-tin/blog/lam-the-tin-dung</v>
      </c>
      <c r="C817" s="5" t="str">
        <f t="array" ref="C817">INDEX('Báo cáo 75 trang đích'!$C$2:$C$76,$A817)</f>
        <v>CCB</v>
      </c>
      <c r="D817" s="20" t="s">
        <v>1252</v>
      </c>
      <c r="E817" s="22" t="s">
        <v>218</v>
      </c>
      <c r="F817" s="22" t="s">
        <v>81</v>
      </c>
      <c r="G817" s="22" t="s">
        <v>1454</v>
      </c>
      <c r="H817" s="24" t="s">
        <v>59</v>
      </c>
      <c r="I817" s="24" t="s">
        <v>59</v>
      </c>
      <c r="J817" s="24" t="s">
        <v>60</v>
      </c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6">
        <v>30.0</v>
      </c>
      <c r="B818" s="35" t="str">
        <f t="array" ref="B818">INDEX('Báo cáo 75 trang đích'!$B$2:$B$76,$A818)</f>
        <v>https://techcombank.com/thong-tin/blog/lam-the-tin-dung</v>
      </c>
      <c r="C818" s="5" t="str">
        <f t="array" ref="C818">INDEX('Báo cáo 75 trang đích'!$C$2:$C$76,$A818)</f>
        <v>CCB</v>
      </c>
      <c r="D818" s="20" t="s">
        <v>1475</v>
      </c>
      <c r="E818" s="22" t="s">
        <v>757</v>
      </c>
      <c r="F818" s="22" t="s">
        <v>81</v>
      </c>
      <c r="G818" s="22" t="s">
        <v>1449</v>
      </c>
      <c r="H818" s="24" t="s">
        <v>59</v>
      </c>
      <c r="I818" s="24" t="s">
        <v>59</v>
      </c>
      <c r="J818" s="24" t="s">
        <v>60</v>
      </c>
      <c r="K818" s="22" t="s">
        <v>97</v>
      </c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6">
        <v>30.0</v>
      </c>
      <c r="B819" s="35" t="str">
        <f t="array" ref="B819">INDEX('Báo cáo 75 trang đích'!$B$2:$B$76,$A819)</f>
        <v>https://techcombank.com/thong-tin/blog/lam-the-tin-dung</v>
      </c>
      <c r="C819" s="5" t="str">
        <f t="array" ref="C819">INDEX('Báo cáo 75 trang đích'!$C$2:$C$76,$A819)</f>
        <v>CCB</v>
      </c>
      <c r="D819" s="20" t="s">
        <v>734</v>
      </c>
      <c r="E819" s="22" t="s">
        <v>218</v>
      </c>
      <c r="F819" s="22" t="s">
        <v>81</v>
      </c>
      <c r="G819" s="22" t="s">
        <v>1450</v>
      </c>
      <c r="H819" s="24" t="s">
        <v>59</v>
      </c>
      <c r="I819" s="24" t="s">
        <v>59</v>
      </c>
      <c r="J819" s="24" t="s">
        <v>60</v>
      </c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6">
        <v>30.0</v>
      </c>
      <c r="B820" s="35" t="str">
        <f t="array" ref="B820">INDEX('Báo cáo 75 trang đích'!$B$2:$B$76,$A820)</f>
        <v>https://techcombank.com/thong-tin/blog/lam-the-tin-dung</v>
      </c>
      <c r="C820" s="5" t="str">
        <f t="array" ref="C820">INDEX('Báo cáo 75 trang đích'!$C$2:$C$76,$A820)</f>
        <v>CCB</v>
      </c>
      <c r="D820" s="20" t="s">
        <v>720</v>
      </c>
      <c r="E820" s="22" t="s">
        <v>757</v>
      </c>
      <c r="F820" s="22" t="s">
        <v>81</v>
      </c>
      <c r="G820" s="22" t="s">
        <v>1450</v>
      </c>
      <c r="H820" s="24" t="s">
        <v>59</v>
      </c>
      <c r="I820" s="24" t="s">
        <v>59</v>
      </c>
      <c r="J820" s="24" t="s">
        <v>60</v>
      </c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6">
        <v>30.0</v>
      </c>
      <c r="B821" s="35" t="str">
        <f t="array" ref="B821">INDEX('Báo cáo 75 trang đích'!$B$2:$B$76,$A821)</f>
        <v>https://techcombank.com/thong-tin/blog/lam-the-tin-dung</v>
      </c>
      <c r="C821" s="5" t="str">
        <f t="array" ref="C821">INDEX('Báo cáo 75 trang đích'!$C$2:$C$76,$A821)</f>
        <v>CCB</v>
      </c>
      <c r="D821" s="20" t="s">
        <v>1476</v>
      </c>
      <c r="E821" s="22" t="s">
        <v>218</v>
      </c>
      <c r="F821" s="22" t="s">
        <v>81</v>
      </c>
      <c r="G821" s="22" t="s">
        <v>1449</v>
      </c>
      <c r="H821" s="24" t="s">
        <v>59</v>
      </c>
      <c r="I821" s="24" t="s">
        <v>59</v>
      </c>
      <c r="J821" s="24" t="s">
        <v>60</v>
      </c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6">
        <v>30.0</v>
      </c>
      <c r="B822" s="35" t="str">
        <f t="array" ref="B822">INDEX('Báo cáo 75 trang đích'!$B$2:$B$76,$A822)</f>
        <v>https://techcombank.com/thong-tin/blog/lam-the-tin-dung</v>
      </c>
      <c r="C822" s="5" t="str">
        <f t="array" ref="C822">INDEX('Báo cáo 75 trang đích'!$C$2:$C$76,$A822)</f>
        <v>CCB</v>
      </c>
      <c r="D822" s="20" t="s">
        <v>793</v>
      </c>
      <c r="E822" s="22" t="s">
        <v>757</v>
      </c>
      <c r="F822" s="22" t="s">
        <v>81</v>
      </c>
      <c r="G822" s="22" t="s">
        <v>1449</v>
      </c>
      <c r="H822" s="24" t="s">
        <v>59</v>
      </c>
      <c r="I822" s="24" t="s">
        <v>59</v>
      </c>
      <c r="J822" s="24" t="s">
        <v>60</v>
      </c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6">
        <v>30.0</v>
      </c>
      <c r="B823" s="35" t="str">
        <f t="array" ref="B823">INDEX('Báo cáo 75 trang đích'!$B$2:$B$76,$A823)</f>
        <v>https://techcombank.com/thong-tin/blog/lam-the-tin-dung</v>
      </c>
      <c r="C823" s="5" t="str">
        <f t="array" ref="C823">INDEX('Báo cáo 75 trang đích'!$C$2:$C$76,$A823)</f>
        <v>CCB</v>
      </c>
      <c r="D823" s="20" t="s">
        <v>1477</v>
      </c>
      <c r="E823" s="22" t="s">
        <v>218</v>
      </c>
      <c r="F823" s="22" t="s">
        <v>81</v>
      </c>
      <c r="G823" s="22" t="s">
        <v>1449</v>
      </c>
      <c r="H823" s="24" t="s">
        <v>59</v>
      </c>
      <c r="I823" s="24" t="s">
        <v>59</v>
      </c>
      <c r="J823" s="24" t="s">
        <v>60</v>
      </c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6">
        <v>30.0</v>
      </c>
      <c r="B824" s="35" t="str">
        <f t="array" ref="B824">INDEX('Báo cáo 75 trang đích'!$B$2:$B$76,$A824)</f>
        <v>https://techcombank.com/thong-tin/blog/lam-the-tin-dung</v>
      </c>
      <c r="C824" s="5" t="str">
        <f t="array" ref="C824">INDEX('Báo cáo 75 trang đích'!$C$2:$C$76,$A824)</f>
        <v>CCB</v>
      </c>
      <c r="D824" s="20" t="s">
        <v>1293</v>
      </c>
      <c r="E824" s="22" t="s">
        <v>757</v>
      </c>
      <c r="F824" s="22" t="s">
        <v>81</v>
      </c>
      <c r="G824" s="22" t="s">
        <v>1449</v>
      </c>
      <c r="H824" s="24" t="s">
        <v>59</v>
      </c>
      <c r="I824" s="24" t="s">
        <v>59</v>
      </c>
      <c r="J824" s="24" t="s">
        <v>60</v>
      </c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6">
        <v>30.0</v>
      </c>
      <c r="B825" s="35" t="str">
        <f t="array" ref="B825">INDEX('Báo cáo 75 trang đích'!$B$2:$B$76,$A825)</f>
        <v>https://techcombank.com/thong-tin/blog/lam-the-tin-dung</v>
      </c>
      <c r="C825" s="5" t="str">
        <f t="array" ref="C825">INDEX('Báo cáo 75 trang đích'!$C$2:$C$76,$A825)</f>
        <v>CCB</v>
      </c>
      <c r="D825" s="20" t="s">
        <v>204</v>
      </c>
      <c r="E825" s="22" t="s">
        <v>218</v>
      </c>
      <c r="F825" s="22" t="s">
        <v>81</v>
      </c>
      <c r="G825" s="22" t="s">
        <v>1449</v>
      </c>
      <c r="H825" s="24" t="s">
        <v>59</v>
      </c>
      <c r="I825" s="24" t="s">
        <v>59</v>
      </c>
      <c r="J825" s="24" t="s">
        <v>60</v>
      </c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6">
        <v>30.0</v>
      </c>
      <c r="B826" s="35" t="str">
        <f t="array" ref="B826">INDEX('Báo cáo 75 trang đích'!$B$2:$B$76,$A826)</f>
        <v>https://techcombank.com/thong-tin/blog/lam-the-tin-dung</v>
      </c>
      <c r="C826" s="5" t="str">
        <f t="array" ref="C826">INDEX('Báo cáo 75 trang đích'!$C$2:$C$76,$A826)</f>
        <v>CCB</v>
      </c>
      <c r="D826" s="20" t="s">
        <v>1478</v>
      </c>
      <c r="E826" s="22" t="s">
        <v>757</v>
      </c>
      <c r="F826" s="22" t="s">
        <v>81</v>
      </c>
      <c r="G826" s="22" t="s">
        <v>1449</v>
      </c>
      <c r="H826" s="24" t="s">
        <v>59</v>
      </c>
      <c r="I826" s="24" t="s">
        <v>59</v>
      </c>
      <c r="J826" s="24" t="s">
        <v>60</v>
      </c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6">
        <v>30.0</v>
      </c>
      <c r="B827" s="35" t="str">
        <f t="array" ref="B827">INDEX('Báo cáo 75 trang đích'!$B$2:$B$76,$A827)</f>
        <v>https://techcombank.com/thong-tin/blog/lam-the-tin-dung</v>
      </c>
      <c r="C827" s="5" t="str">
        <f t="array" ref="C827">INDEX('Báo cáo 75 trang đích'!$C$2:$C$76,$A827)</f>
        <v>CCB</v>
      </c>
      <c r="D827" s="20" t="s">
        <v>495</v>
      </c>
      <c r="E827" s="22" t="s">
        <v>218</v>
      </c>
      <c r="F827" s="22" t="s">
        <v>81</v>
      </c>
      <c r="G827" s="22" t="s">
        <v>1449</v>
      </c>
      <c r="H827" s="24" t="s">
        <v>59</v>
      </c>
      <c r="I827" s="24" t="s">
        <v>59</v>
      </c>
      <c r="J827" s="24" t="s">
        <v>60</v>
      </c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6">
        <v>31.0</v>
      </c>
      <c r="B828" s="35" t="str">
        <f t="array" ref="B828">INDEX('Báo cáo 75 trang đích'!$B$2:$B$76,$A828)</f>
        <v>https://techcombank.com/khach-hang-ca-nhan/chi-tieu/the/the-tin-dung/techcombank-everyday</v>
      </c>
      <c r="C828" s="5" t="str">
        <f t="array" ref="C828">INDEX('Báo cáo 75 trang đích'!$C$2:$C$76,$A828)</f>
        <v>CCB</v>
      </c>
      <c r="D828" s="20" t="s">
        <v>766</v>
      </c>
      <c r="E828" s="22" t="s">
        <v>222</v>
      </c>
      <c r="F828" s="22" t="s">
        <v>57</v>
      </c>
      <c r="G828" s="22" t="s">
        <v>1479</v>
      </c>
      <c r="H828" s="24" t="s">
        <v>59</v>
      </c>
      <c r="I828" s="24" t="s">
        <v>59</v>
      </c>
      <c r="J828" s="24" t="s">
        <v>60</v>
      </c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6">
        <v>31.0</v>
      </c>
      <c r="B829" s="35" t="str">
        <f t="array" ref="B829">INDEX('Báo cáo 75 trang đích'!$B$2:$B$76,$A829)</f>
        <v>https://techcombank.com/khach-hang-ca-nhan/chi-tieu/the/the-tin-dung/techcombank-everyday</v>
      </c>
      <c r="C829" s="5" t="str">
        <f t="array" ref="C829">INDEX('Báo cáo 75 trang đích'!$C$2:$C$76,$A829)</f>
        <v>CCB</v>
      </c>
      <c r="D829" s="20" t="s">
        <v>768</v>
      </c>
      <c r="E829" s="22" t="s">
        <v>770</v>
      </c>
      <c r="F829" s="22" t="s">
        <v>57</v>
      </c>
      <c r="G829" s="22" t="s">
        <v>1480</v>
      </c>
      <c r="H829" s="24" t="s">
        <v>59</v>
      </c>
      <c r="I829" s="24" t="s">
        <v>59</v>
      </c>
      <c r="J829" s="24" t="s">
        <v>60</v>
      </c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6">
        <v>31.0</v>
      </c>
      <c r="B830" s="35" t="str">
        <f t="array" ref="B830">INDEX('Báo cáo 75 trang đích'!$B$2:$B$76,$A830)</f>
        <v>https://techcombank.com/khach-hang-ca-nhan/chi-tieu/the/the-tin-dung/techcombank-everyday</v>
      </c>
      <c r="C830" s="5" t="str">
        <f t="array" ref="C830">INDEX('Báo cáo 75 trang đích'!$C$2:$C$76,$A830)</f>
        <v>CCB</v>
      </c>
      <c r="D830" s="20" t="s">
        <v>771</v>
      </c>
      <c r="E830" s="22" t="s">
        <v>222</v>
      </c>
      <c r="F830" s="22" t="s">
        <v>76</v>
      </c>
      <c r="G830" s="22" t="s">
        <v>1481</v>
      </c>
      <c r="H830" s="24" t="s">
        <v>59</v>
      </c>
      <c r="I830" s="24" t="s">
        <v>59</v>
      </c>
      <c r="J830" s="24" t="s">
        <v>60</v>
      </c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6">
        <v>31.0</v>
      </c>
      <c r="B831" s="35" t="str">
        <f t="array" ref="B831">INDEX('Báo cáo 75 trang đích'!$B$2:$B$76,$A831)</f>
        <v>https://techcombank.com/khach-hang-ca-nhan/chi-tieu/the/the-tin-dung/techcombank-everyday</v>
      </c>
      <c r="C831" s="5" t="str">
        <f t="array" ref="C831">INDEX('Báo cáo 75 trang đích'!$C$2:$C$76,$A831)</f>
        <v>CCB</v>
      </c>
      <c r="D831" s="20" t="s">
        <v>774</v>
      </c>
      <c r="E831" s="22" t="s">
        <v>770</v>
      </c>
      <c r="F831" s="22" t="s">
        <v>76</v>
      </c>
      <c r="G831" s="22" t="s">
        <v>1482</v>
      </c>
      <c r="H831" s="24" t="s">
        <v>59</v>
      </c>
      <c r="I831" s="24" t="s">
        <v>59</v>
      </c>
      <c r="J831" s="24" t="s">
        <v>60</v>
      </c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6">
        <v>31.0</v>
      </c>
      <c r="B832" s="35" t="str">
        <f t="array" ref="B832">INDEX('Báo cáo 75 trang đích'!$B$2:$B$76,$A832)</f>
        <v>https://techcombank.com/khach-hang-ca-nhan/chi-tieu/the/the-tin-dung/techcombank-everyday</v>
      </c>
      <c r="C832" s="5" t="str">
        <f t="array" ref="C832">INDEX('Báo cáo 75 trang đích'!$C$2:$C$76,$A832)</f>
        <v>CCB</v>
      </c>
      <c r="D832" s="20" t="s">
        <v>776</v>
      </c>
      <c r="E832" s="22" t="s">
        <v>222</v>
      </c>
      <c r="F832" s="22" t="s">
        <v>76</v>
      </c>
      <c r="G832" s="22" t="s">
        <v>1483</v>
      </c>
      <c r="H832" s="24" t="s">
        <v>59</v>
      </c>
      <c r="I832" s="24" t="s">
        <v>59</v>
      </c>
      <c r="J832" s="24" t="s">
        <v>60</v>
      </c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6">
        <v>31.0</v>
      </c>
      <c r="B833" s="35" t="str">
        <f t="array" ref="B833">INDEX('Báo cáo 75 trang đích'!$B$2:$B$76,$A833)</f>
        <v>https://techcombank.com/khach-hang-ca-nhan/chi-tieu/the/the-tin-dung/techcombank-everyday</v>
      </c>
      <c r="C833" s="5" t="str">
        <f t="array" ref="C833">INDEX('Báo cáo 75 trang đích'!$C$2:$C$76,$A833)</f>
        <v>CCB</v>
      </c>
      <c r="D833" s="20" t="s">
        <v>360</v>
      </c>
      <c r="E833" s="22" t="s">
        <v>770</v>
      </c>
      <c r="F833" s="22" t="s">
        <v>81</v>
      </c>
      <c r="G833" s="22" t="s">
        <v>1449</v>
      </c>
      <c r="H833" s="24" t="s">
        <v>59</v>
      </c>
      <c r="I833" s="24" t="s">
        <v>59</v>
      </c>
      <c r="J833" s="24" t="s">
        <v>60</v>
      </c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6">
        <v>31.0</v>
      </c>
      <c r="B834" s="35" t="str">
        <f t="array" ref="B834">INDEX('Báo cáo 75 trang đích'!$B$2:$B$76,$A834)</f>
        <v>https://techcombank.com/khach-hang-ca-nhan/chi-tieu/the/the-tin-dung/techcombank-everyday</v>
      </c>
      <c r="C834" s="5" t="str">
        <f t="array" ref="C834">INDEX('Báo cáo 75 trang đích'!$C$2:$C$76,$A834)</f>
        <v>CCB</v>
      </c>
      <c r="D834" s="20" t="s">
        <v>1165</v>
      </c>
      <c r="E834" s="22" t="s">
        <v>222</v>
      </c>
      <c r="F834" s="22" t="s">
        <v>81</v>
      </c>
      <c r="G834" s="22" t="s">
        <v>1449</v>
      </c>
      <c r="H834" s="24" t="s">
        <v>59</v>
      </c>
      <c r="I834" s="24" t="s">
        <v>59</v>
      </c>
      <c r="J834" s="24" t="s">
        <v>60</v>
      </c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6">
        <v>31.0</v>
      </c>
      <c r="B835" s="35" t="str">
        <f t="array" ref="B835">INDEX('Báo cáo 75 trang đích'!$B$2:$B$76,$A835)</f>
        <v>https://techcombank.com/khach-hang-ca-nhan/chi-tieu/the/the-tin-dung/techcombank-everyday</v>
      </c>
      <c r="C835" s="5" t="str">
        <f t="array" ref="C835">INDEX('Báo cáo 75 trang đích'!$C$2:$C$76,$A835)</f>
        <v>CCB</v>
      </c>
      <c r="D835" s="20" t="s">
        <v>1275</v>
      </c>
      <c r="E835" s="22" t="s">
        <v>770</v>
      </c>
      <c r="F835" s="22" t="s">
        <v>81</v>
      </c>
      <c r="G835" s="22" t="s">
        <v>1449</v>
      </c>
      <c r="H835" s="24" t="s">
        <v>59</v>
      </c>
      <c r="I835" s="24" t="s">
        <v>59</v>
      </c>
      <c r="J835" s="24" t="s">
        <v>60</v>
      </c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6">
        <v>31.0</v>
      </c>
      <c r="B836" s="35" t="str">
        <f t="array" ref="B836">INDEX('Báo cáo 75 trang đích'!$B$2:$B$76,$A836)</f>
        <v>https://techcombank.com/khach-hang-ca-nhan/chi-tieu/the/the-tin-dung/techcombank-everyday</v>
      </c>
      <c r="C836" s="5" t="str">
        <f t="array" ref="C836">INDEX('Báo cáo 75 trang đích'!$C$2:$C$76,$A836)</f>
        <v>CCB</v>
      </c>
      <c r="D836" s="20" t="s">
        <v>784</v>
      </c>
      <c r="E836" s="22" t="s">
        <v>222</v>
      </c>
      <c r="F836" s="22" t="s">
        <v>81</v>
      </c>
      <c r="G836" s="22" t="s">
        <v>1484</v>
      </c>
      <c r="H836" s="24" t="s">
        <v>59</v>
      </c>
      <c r="I836" s="24" t="s">
        <v>59</v>
      </c>
      <c r="J836" s="24" t="s">
        <v>60</v>
      </c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6">
        <v>31.0</v>
      </c>
      <c r="B837" s="35" t="str">
        <f t="array" ref="B837">INDEX('Báo cáo 75 trang đích'!$B$2:$B$76,$A837)</f>
        <v>https://techcombank.com/khach-hang-ca-nhan/chi-tieu/the/the-tin-dung/techcombank-everyday</v>
      </c>
      <c r="C837" s="5" t="str">
        <f t="array" ref="C837">INDEX('Báo cáo 75 trang đích'!$C$2:$C$76,$A837)</f>
        <v>CCB</v>
      </c>
      <c r="D837" s="20" t="s">
        <v>1451</v>
      </c>
      <c r="E837" s="22" t="s">
        <v>770</v>
      </c>
      <c r="F837" s="22" t="s">
        <v>81</v>
      </c>
      <c r="G837" s="22" t="s">
        <v>1449</v>
      </c>
      <c r="H837" s="24" t="s">
        <v>59</v>
      </c>
      <c r="I837" s="24" t="s">
        <v>59</v>
      </c>
      <c r="J837" s="24" t="s">
        <v>60</v>
      </c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6">
        <v>31.0</v>
      </c>
      <c r="B838" s="35" t="str">
        <f t="array" ref="B838">INDEX('Báo cáo 75 trang đích'!$B$2:$B$76,$A838)</f>
        <v>https://techcombank.com/khach-hang-ca-nhan/chi-tieu/the/the-tin-dung/techcombank-everyday</v>
      </c>
      <c r="C838" s="5" t="str">
        <f t="array" ref="C838">INDEX('Báo cáo 75 trang đích'!$C$2:$C$76,$A838)</f>
        <v>CCB</v>
      </c>
      <c r="D838" s="20" t="s">
        <v>1452</v>
      </c>
      <c r="E838" s="22" t="s">
        <v>222</v>
      </c>
      <c r="F838" s="22" t="s">
        <v>81</v>
      </c>
      <c r="G838" s="22" t="s">
        <v>1449</v>
      </c>
      <c r="H838" s="24" t="s">
        <v>59</v>
      </c>
      <c r="I838" s="24" t="s">
        <v>59</v>
      </c>
      <c r="J838" s="24" t="s">
        <v>60</v>
      </c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6">
        <v>31.0</v>
      </c>
      <c r="B839" s="35" t="str">
        <f t="array" ref="B839">INDEX('Báo cáo 75 trang đích'!$B$2:$B$76,$A839)</f>
        <v>https://techcombank.com/khach-hang-ca-nhan/chi-tieu/the/the-tin-dung/techcombank-everyday</v>
      </c>
      <c r="C839" s="5" t="str">
        <f t="array" ref="C839">INDEX('Báo cáo 75 trang đích'!$C$2:$C$76,$A839)</f>
        <v>CCB</v>
      </c>
      <c r="D839" s="20" t="s">
        <v>1453</v>
      </c>
      <c r="E839" s="22" t="s">
        <v>770</v>
      </c>
      <c r="F839" s="22" t="s">
        <v>81</v>
      </c>
      <c r="G839" s="22" t="s">
        <v>1449</v>
      </c>
      <c r="H839" s="24" t="s">
        <v>59</v>
      </c>
      <c r="I839" s="24" t="s">
        <v>59</v>
      </c>
      <c r="J839" s="24" t="s">
        <v>60</v>
      </c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6">
        <v>31.0</v>
      </c>
      <c r="B840" s="35" t="str">
        <f t="array" ref="B840">INDEX('Báo cáo 75 trang đích'!$B$2:$B$76,$A840)</f>
        <v>https://techcombank.com/khach-hang-ca-nhan/chi-tieu/the/the-tin-dung/techcombank-everyday</v>
      </c>
      <c r="C840" s="5" t="str">
        <f t="array" ref="C840">INDEX('Báo cáo 75 trang đích'!$C$2:$C$76,$A840)</f>
        <v>CCB</v>
      </c>
      <c r="D840" s="20" t="s">
        <v>1395</v>
      </c>
      <c r="E840" s="22" t="s">
        <v>222</v>
      </c>
      <c r="F840" s="22" t="s">
        <v>81</v>
      </c>
      <c r="G840" s="22" t="s">
        <v>1449</v>
      </c>
      <c r="H840" s="24" t="s">
        <v>59</v>
      </c>
      <c r="I840" s="24" t="s">
        <v>59</v>
      </c>
      <c r="J840" s="24" t="s">
        <v>60</v>
      </c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6">
        <v>31.0</v>
      </c>
      <c r="B841" s="35" t="str">
        <f t="array" ref="B841">INDEX('Báo cáo 75 trang đích'!$B$2:$B$76,$A841)</f>
        <v>https://techcombank.com/khach-hang-ca-nhan/chi-tieu/the/the-tin-dung/techcombank-everyday</v>
      </c>
      <c r="C841" s="5" t="str">
        <f t="array" ref="C841">INDEX('Báo cáo 75 trang đích'!$C$2:$C$76,$A841)</f>
        <v>CCB</v>
      </c>
      <c r="D841" s="20" t="s">
        <v>1455</v>
      </c>
      <c r="E841" s="22" t="s">
        <v>770</v>
      </c>
      <c r="F841" s="22" t="s">
        <v>81</v>
      </c>
      <c r="G841" s="22" t="s">
        <v>1449</v>
      </c>
      <c r="H841" s="24" t="s">
        <v>59</v>
      </c>
      <c r="I841" s="24" t="s">
        <v>59</v>
      </c>
      <c r="J841" s="24" t="s">
        <v>60</v>
      </c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6">
        <v>31.0</v>
      </c>
      <c r="B842" s="35" t="str">
        <f t="array" ref="B842">INDEX('Báo cáo 75 trang đích'!$B$2:$B$76,$A842)</f>
        <v>https://techcombank.com/khach-hang-ca-nhan/chi-tieu/the/the-tin-dung/techcombank-everyday</v>
      </c>
      <c r="C842" s="5" t="str">
        <f t="array" ref="C842">INDEX('Báo cáo 75 trang đích'!$C$2:$C$76,$A842)</f>
        <v>CCB</v>
      </c>
      <c r="D842" s="20" t="s">
        <v>1325</v>
      </c>
      <c r="E842" s="22" t="s">
        <v>222</v>
      </c>
      <c r="F842" s="22" t="s">
        <v>81</v>
      </c>
      <c r="G842" s="22" t="s">
        <v>1449</v>
      </c>
      <c r="H842" s="24" t="s">
        <v>59</v>
      </c>
      <c r="I842" s="24" t="s">
        <v>59</v>
      </c>
      <c r="J842" s="24" t="s">
        <v>60</v>
      </c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6">
        <v>31.0</v>
      </c>
      <c r="B843" s="35" t="str">
        <f t="array" ref="B843">INDEX('Báo cáo 75 trang đích'!$B$2:$B$76,$A843)</f>
        <v>https://techcombank.com/khach-hang-ca-nhan/chi-tieu/the/the-tin-dung/techcombank-everyday</v>
      </c>
      <c r="C843" s="5" t="str">
        <f t="array" ref="C843">INDEX('Báo cáo 75 trang đích'!$C$2:$C$76,$A843)</f>
        <v>CCB</v>
      </c>
      <c r="D843" s="20" t="s">
        <v>1456</v>
      </c>
      <c r="E843" s="22" t="s">
        <v>770</v>
      </c>
      <c r="F843" s="22" t="s">
        <v>81</v>
      </c>
      <c r="G843" s="22" t="s">
        <v>1449</v>
      </c>
      <c r="H843" s="24" t="s">
        <v>59</v>
      </c>
      <c r="I843" s="24" t="s">
        <v>59</v>
      </c>
      <c r="J843" s="24" t="s">
        <v>60</v>
      </c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6">
        <v>31.0</v>
      </c>
      <c r="B844" s="35" t="str">
        <f t="array" ref="B844">INDEX('Báo cáo 75 trang đích'!$B$2:$B$76,$A844)</f>
        <v>https://techcombank.com/khach-hang-ca-nhan/chi-tieu/the/the-tin-dung/techcombank-everyday</v>
      </c>
      <c r="C844" s="5" t="str">
        <f t="array" ref="C844">INDEX('Báo cáo 75 trang đích'!$C$2:$C$76,$A844)</f>
        <v>CCB</v>
      </c>
      <c r="D844" s="20" t="s">
        <v>1184</v>
      </c>
      <c r="E844" s="22" t="s">
        <v>222</v>
      </c>
      <c r="F844" s="22" t="s">
        <v>81</v>
      </c>
      <c r="G844" s="22" t="s">
        <v>1449</v>
      </c>
      <c r="H844" s="24" t="s">
        <v>59</v>
      </c>
      <c r="I844" s="24" t="s">
        <v>59</v>
      </c>
      <c r="J844" s="24" t="s">
        <v>60</v>
      </c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6">
        <v>31.0</v>
      </c>
      <c r="B845" s="35" t="str">
        <f t="array" ref="B845">INDEX('Báo cáo 75 trang đích'!$B$2:$B$76,$A845)</f>
        <v>https://techcombank.com/khach-hang-ca-nhan/chi-tieu/the/the-tin-dung/techcombank-everyday</v>
      </c>
      <c r="C845" s="5" t="str">
        <f t="array" ref="C845">INDEX('Báo cáo 75 trang đích'!$C$2:$C$76,$A845)</f>
        <v>CCB</v>
      </c>
      <c r="D845" s="20" t="s">
        <v>1396</v>
      </c>
      <c r="E845" s="22" t="s">
        <v>770</v>
      </c>
      <c r="F845" s="22" t="s">
        <v>81</v>
      </c>
      <c r="G845" s="22" t="s">
        <v>1449</v>
      </c>
      <c r="H845" s="24" t="s">
        <v>59</v>
      </c>
      <c r="I845" s="24" t="s">
        <v>59</v>
      </c>
      <c r="J845" s="24" t="s">
        <v>60</v>
      </c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6">
        <v>31.0</v>
      </c>
      <c r="B846" s="35" t="str">
        <f t="array" ref="B846">INDEX('Báo cáo 75 trang đích'!$B$2:$B$76,$A846)</f>
        <v>https://techcombank.com/khach-hang-ca-nhan/chi-tieu/the/the-tin-dung/techcombank-everyday</v>
      </c>
      <c r="C846" s="5" t="str">
        <f t="array" ref="C846">INDEX('Báo cáo 75 trang đích'!$C$2:$C$76,$A846)</f>
        <v>CCB</v>
      </c>
      <c r="D846" s="20" t="s">
        <v>802</v>
      </c>
      <c r="E846" s="22" t="s">
        <v>222</v>
      </c>
      <c r="F846" s="22" t="s">
        <v>81</v>
      </c>
      <c r="G846" s="22" t="s">
        <v>1449</v>
      </c>
      <c r="H846" s="24" t="s">
        <v>59</v>
      </c>
      <c r="I846" s="24" t="s">
        <v>59</v>
      </c>
      <c r="J846" s="24" t="s">
        <v>60</v>
      </c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6">
        <v>31.0</v>
      </c>
      <c r="B847" s="35" t="str">
        <f t="array" ref="B847">INDEX('Báo cáo 75 trang đích'!$B$2:$B$76,$A847)</f>
        <v>https://techcombank.com/khach-hang-ca-nhan/chi-tieu/the/the-tin-dung/techcombank-everyday</v>
      </c>
      <c r="C847" s="5" t="str">
        <f t="array" ref="C847">INDEX('Báo cáo 75 trang đích'!$C$2:$C$76,$A847)</f>
        <v>CCB</v>
      </c>
      <c r="D847" s="20" t="s">
        <v>207</v>
      </c>
      <c r="E847" s="22" t="s">
        <v>770</v>
      </c>
      <c r="F847" s="22" t="s">
        <v>81</v>
      </c>
      <c r="G847" s="22" t="s">
        <v>1449</v>
      </c>
      <c r="H847" s="24" t="s">
        <v>59</v>
      </c>
      <c r="I847" s="24" t="s">
        <v>59</v>
      </c>
      <c r="J847" s="24" t="s">
        <v>60</v>
      </c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6">
        <v>31.0</v>
      </c>
      <c r="B848" s="35" t="str">
        <f t="array" ref="B848">INDEX('Báo cáo 75 trang đích'!$B$2:$B$76,$A848)</f>
        <v>https://techcombank.com/khach-hang-ca-nhan/chi-tieu/the/the-tin-dung/techcombank-everyday</v>
      </c>
      <c r="C848" s="5" t="str">
        <f t="array" ref="C848">INDEX('Báo cáo 75 trang đích'!$C$2:$C$76,$A848)</f>
        <v>CCB</v>
      </c>
      <c r="D848" s="20" t="s">
        <v>763</v>
      </c>
      <c r="E848" s="22" t="s">
        <v>222</v>
      </c>
      <c r="F848" s="22" t="s">
        <v>81</v>
      </c>
      <c r="G848" s="22" t="s">
        <v>1449</v>
      </c>
      <c r="H848" s="24" t="s">
        <v>59</v>
      </c>
      <c r="I848" s="24" t="s">
        <v>59</v>
      </c>
      <c r="J848" s="24" t="s">
        <v>60</v>
      </c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6">
        <v>31.0</v>
      </c>
      <c r="B849" s="35" t="str">
        <f t="array" ref="B849">INDEX('Báo cáo 75 trang đích'!$B$2:$B$76,$A849)</f>
        <v>https://techcombank.com/khach-hang-ca-nhan/chi-tieu/the/the-tin-dung/techcombank-everyday</v>
      </c>
      <c r="C849" s="5" t="str">
        <f t="array" ref="C849">INDEX('Báo cáo 75 trang đích'!$C$2:$C$76,$A849)</f>
        <v>CCB</v>
      </c>
      <c r="D849" s="20" t="s">
        <v>1459</v>
      </c>
      <c r="E849" s="22" t="s">
        <v>770</v>
      </c>
      <c r="F849" s="22" t="s">
        <v>81</v>
      </c>
      <c r="G849" s="22" t="s">
        <v>1449</v>
      </c>
      <c r="H849" s="24" t="s">
        <v>59</v>
      </c>
      <c r="I849" s="24" t="s">
        <v>59</v>
      </c>
      <c r="J849" s="24" t="s">
        <v>60</v>
      </c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6">
        <v>31.0</v>
      </c>
      <c r="B850" s="35" t="str">
        <f t="array" ref="B850">INDEX('Báo cáo 75 trang đích'!$B$2:$B$76,$A850)</f>
        <v>https://techcombank.com/khach-hang-ca-nhan/chi-tieu/the/the-tin-dung/techcombank-everyday</v>
      </c>
      <c r="C850" s="5" t="str">
        <f t="array" ref="C850">INDEX('Báo cáo 75 trang đích'!$C$2:$C$76,$A850)</f>
        <v>CCB</v>
      </c>
      <c r="D850" s="20" t="s">
        <v>1460</v>
      </c>
      <c r="E850" s="22" t="s">
        <v>222</v>
      </c>
      <c r="F850" s="22" t="s">
        <v>81</v>
      </c>
      <c r="G850" s="22" t="s">
        <v>1449</v>
      </c>
      <c r="H850" s="24" t="s">
        <v>59</v>
      </c>
      <c r="I850" s="24" t="s">
        <v>59</v>
      </c>
      <c r="J850" s="24" t="s">
        <v>60</v>
      </c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6">
        <v>31.0</v>
      </c>
      <c r="B851" s="35" t="str">
        <f t="array" ref="B851">INDEX('Báo cáo 75 trang đích'!$B$2:$B$76,$A851)</f>
        <v>https://techcombank.com/khach-hang-ca-nhan/chi-tieu/the/the-tin-dung/techcombank-everyday</v>
      </c>
      <c r="C851" s="5" t="str">
        <f t="array" ref="C851">INDEX('Báo cáo 75 trang đích'!$C$2:$C$76,$A851)</f>
        <v>CCB</v>
      </c>
      <c r="D851" s="20" t="s">
        <v>813</v>
      </c>
      <c r="E851" s="22" t="s">
        <v>770</v>
      </c>
      <c r="F851" s="22" t="s">
        <v>81</v>
      </c>
      <c r="G851" s="22" t="s">
        <v>1449</v>
      </c>
      <c r="H851" s="24" t="s">
        <v>59</v>
      </c>
      <c r="I851" s="24" t="s">
        <v>59</v>
      </c>
      <c r="J851" s="24" t="s">
        <v>60</v>
      </c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6">
        <v>31.0</v>
      </c>
      <c r="B852" s="35" t="str">
        <f t="array" ref="B852">INDEX('Báo cáo 75 trang đích'!$B$2:$B$76,$A852)</f>
        <v>https://techcombank.com/khach-hang-ca-nhan/chi-tieu/the/the-tin-dung/techcombank-everyday</v>
      </c>
      <c r="C852" s="5" t="str">
        <f t="array" ref="C852">INDEX('Báo cáo 75 trang đích'!$C$2:$C$76,$A852)</f>
        <v>CCB</v>
      </c>
      <c r="D852" s="20" t="s">
        <v>738</v>
      </c>
      <c r="E852" s="22" t="s">
        <v>222</v>
      </c>
      <c r="F852" s="22" t="s">
        <v>81</v>
      </c>
      <c r="G852" s="22" t="s">
        <v>1449</v>
      </c>
      <c r="H852" s="24" t="s">
        <v>59</v>
      </c>
      <c r="I852" s="24" t="s">
        <v>59</v>
      </c>
      <c r="J852" s="24" t="s">
        <v>60</v>
      </c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6">
        <v>31.0</v>
      </c>
      <c r="B853" s="35" t="str">
        <f t="array" ref="B853">INDEX('Báo cáo 75 trang đích'!$B$2:$B$76,$A853)</f>
        <v>https://techcombank.com/khach-hang-ca-nhan/chi-tieu/the/the-tin-dung/techcombank-everyday</v>
      </c>
      <c r="C853" s="5" t="str">
        <f t="array" ref="C853">INDEX('Báo cáo 75 trang đích'!$C$2:$C$76,$A853)</f>
        <v>CCB</v>
      </c>
      <c r="D853" s="20" t="s">
        <v>1277</v>
      </c>
      <c r="E853" s="22" t="s">
        <v>770</v>
      </c>
      <c r="F853" s="22" t="s">
        <v>81</v>
      </c>
      <c r="G853" s="22" t="s">
        <v>1485</v>
      </c>
      <c r="H853" s="24" t="s">
        <v>59</v>
      </c>
      <c r="I853" s="24" t="s">
        <v>59</v>
      </c>
      <c r="J853" s="24" t="s">
        <v>60</v>
      </c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6">
        <v>31.0</v>
      </c>
      <c r="B854" s="35" t="str">
        <f t="array" ref="B854">INDEX('Báo cáo 75 trang đích'!$B$2:$B$76,$A854)</f>
        <v>https://techcombank.com/khach-hang-ca-nhan/chi-tieu/the/the-tin-dung/techcombank-everyday</v>
      </c>
      <c r="C854" s="5" t="str">
        <f t="array" ref="C854">INDEX('Báo cáo 75 trang đích'!$C$2:$C$76,$A854)</f>
        <v>CCB</v>
      </c>
      <c r="D854" s="20" t="s">
        <v>281</v>
      </c>
      <c r="E854" s="22" t="s">
        <v>222</v>
      </c>
      <c r="F854" s="22" t="s">
        <v>81</v>
      </c>
      <c r="G854" s="22" t="s">
        <v>1484</v>
      </c>
      <c r="H854" s="24" t="s">
        <v>59</v>
      </c>
      <c r="I854" s="24" t="s">
        <v>59</v>
      </c>
      <c r="J854" s="24" t="s">
        <v>60</v>
      </c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6">
        <v>31.0</v>
      </c>
      <c r="B855" s="35" t="str">
        <f t="array" ref="B855">INDEX('Báo cáo 75 trang đích'!$B$2:$B$76,$A855)</f>
        <v>https://techcombank.com/khach-hang-ca-nhan/chi-tieu/the/the-tin-dung/techcombank-everyday</v>
      </c>
      <c r="C855" s="5" t="str">
        <f t="array" ref="C855">INDEX('Báo cáo 75 trang đích'!$C$2:$C$76,$A855)</f>
        <v>CCB</v>
      </c>
      <c r="D855" s="20" t="s">
        <v>215</v>
      </c>
      <c r="E855" s="22" t="s">
        <v>770</v>
      </c>
      <c r="F855" s="22" t="s">
        <v>81</v>
      </c>
      <c r="G855" s="22" t="s">
        <v>1449</v>
      </c>
      <c r="H855" s="24" t="s">
        <v>59</v>
      </c>
      <c r="I855" s="24" t="s">
        <v>59</v>
      </c>
      <c r="J855" s="24" t="s">
        <v>60</v>
      </c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6">
        <v>31.0</v>
      </c>
      <c r="B856" s="35" t="str">
        <f t="array" ref="B856">INDEX('Báo cáo 75 trang đích'!$B$2:$B$76,$A856)</f>
        <v>https://techcombank.com/khach-hang-ca-nhan/chi-tieu/the/the-tin-dung/techcombank-everyday</v>
      </c>
      <c r="C856" s="5" t="str">
        <f t="array" ref="C856">INDEX('Báo cáo 75 trang đích'!$C$2:$C$76,$A856)</f>
        <v>CCB</v>
      </c>
      <c r="D856" s="20" t="s">
        <v>1461</v>
      </c>
      <c r="E856" s="22" t="s">
        <v>222</v>
      </c>
      <c r="F856" s="22" t="s">
        <v>81</v>
      </c>
      <c r="G856" s="22" t="s">
        <v>1449</v>
      </c>
      <c r="H856" s="24" t="s">
        <v>59</v>
      </c>
      <c r="I856" s="24" t="s">
        <v>59</v>
      </c>
      <c r="J856" s="24" t="s">
        <v>60</v>
      </c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6">
        <v>31.0</v>
      </c>
      <c r="B857" s="35" t="str">
        <f t="array" ref="B857">INDEX('Báo cáo 75 trang đích'!$B$2:$B$76,$A857)</f>
        <v>https://techcombank.com/khach-hang-ca-nhan/chi-tieu/the/the-tin-dung/techcombank-everyday</v>
      </c>
      <c r="C857" s="5" t="str">
        <f t="array" ref="C857">INDEX('Báo cáo 75 trang đích'!$C$2:$C$76,$A857)</f>
        <v>CCB</v>
      </c>
      <c r="D857" s="20" t="s">
        <v>1462</v>
      </c>
      <c r="E857" s="22" t="s">
        <v>770</v>
      </c>
      <c r="F857" s="22" t="s">
        <v>81</v>
      </c>
      <c r="G857" s="22" t="s">
        <v>1449</v>
      </c>
      <c r="H857" s="24" t="s">
        <v>59</v>
      </c>
      <c r="I857" s="24" t="s">
        <v>59</v>
      </c>
      <c r="J857" s="24" t="s">
        <v>60</v>
      </c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6">
        <v>31.0</v>
      </c>
      <c r="B858" s="35" t="str">
        <f t="array" ref="B858">INDEX('Báo cáo 75 trang đích'!$B$2:$B$76,$A858)</f>
        <v>https://techcombank.com/khach-hang-ca-nhan/chi-tieu/the/the-tin-dung/techcombank-everyday</v>
      </c>
      <c r="C858" s="5" t="str">
        <f t="array" ref="C858">INDEX('Báo cáo 75 trang đích'!$C$2:$C$76,$A858)</f>
        <v>CCB</v>
      </c>
      <c r="D858" s="20" t="s">
        <v>1463</v>
      </c>
      <c r="E858" s="22" t="s">
        <v>222</v>
      </c>
      <c r="F858" s="22" t="s">
        <v>81</v>
      </c>
      <c r="G858" s="22" t="s">
        <v>1449</v>
      </c>
      <c r="H858" s="24" t="s">
        <v>59</v>
      </c>
      <c r="I858" s="24" t="s">
        <v>59</v>
      </c>
      <c r="J858" s="24" t="s">
        <v>60</v>
      </c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6">
        <v>31.0</v>
      </c>
      <c r="B859" s="35" t="str">
        <f t="array" ref="B859">INDEX('Báo cáo 75 trang đích'!$B$2:$B$76,$A859)</f>
        <v>https://techcombank.com/khach-hang-ca-nhan/chi-tieu/the/the-tin-dung/techcombank-everyday</v>
      </c>
      <c r="C859" s="5" t="str">
        <f t="array" ref="C859">INDEX('Báo cáo 75 trang đích'!$C$2:$C$76,$A859)</f>
        <v>CCB</v>
      </c>
      <c r="D859" s="20" t="s">
        <v>646</v>
      </c>
      <c r="E859" s="22" t="s">
        <v>770</v>
      </c>
      <c r="F859" s="22" t="s">
        <v>81</v>
      </c>
      <c r="G859" s="22" t="s">
        <v>1449</v>
      </c>
      <c r="H859" s="24" t="s">
        <v>59</v>
      </c>
      <c r="I859" s="24" t="s">
        <v>59</v>
      </c>
      <c r="J859" s="24" t="s">
        <v>60</v>
      </c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6">
        <v>31.0</v>
      </c>
      <c r="B860" s="35" t="str">
        <f t="array" ref="B860">INDEX('Báo cáo 75 trang đích'!$B$2:$B$76,$A860)</f>
        <v>https://techcombank.com/khach-hang-ca-nhan/chi-tieu/the/the-tin-dung/techcombank-everyday</v>
      </c>
      <c r="C860" s="5" t="str">
        <f t="array" ref="C860">INDEX('Báo cáo 75 trang đích'!$C$2:$C$76,$A860)</f>
        <v>CCB</v>
      </c>
      <c r="D860" s="20" t="s">
        <v>269</v>
      </c>
      <c r="E860" s="22" t="s">
        <v>222</v>
      </c>
      <c r="F860" s="22" t="s">
        <v>81</v>
      </c>
      <c r="G860" s="22" t="s">
        <v>1449</v>
      </c>
      <c r="H860" s="24" t="s">
        <v>59</v>
      </c>
      <c r="I860" s="24" t="s">
        <v>59</v>
      </c>
      <c r="J860" s="24" t="s">
        <v>60</v>
      </c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6">
        <v>31.0</v>
      </c>
      <c r="B861" s="35" t="str">
        <f t="array" ref="B861">INDEX('Báo cáo 75 trang đích'!$B$2:$B$76,$A861)</f>
        <v>https://techcombank.com/khach-hang-ca-nhan/chi-tieu/the/the-tin-dung/techcombank-everyday</v>
      </c>
      <c r="C861" s="5" t="str">
        <f t="array" ref="C861">INDEX('Báo cáo 75 trang đích'!$C$2:$C$76,$A861)</f>
        <v>CCB</v>
      </c>
      <c r="D861" s="20" t="s">
        <v>1401</v>
      </c>
      <c r="E861" s="22" t="s">
        <v>770</v>
      </c>
      <c r="F861" s="22" t="s">
        <v>81</v>
      </c>
      <c r="G861" s="22" t="s">
        <v>1449</v>
      </c>
      <c r="H861" s="24" t="s">
        <v>59</v>
      </c>
      <c r="I861" s="24" t="s">
        <v>59</v>
      </c>
      <c r="J861" s="24" t="s">
        <v>60</v>
      </c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6">
        <v>31.0</v>
      </c>
      <c r="B862" s="35" t="str">
        <f t="array" ref="B862">INDEX('Báo cáo 75 trang đích'!$B$2:$B$76,$A862)</f>
        <v>https://techcombank.com/khach-hang-ca-nhan/chi-tieu/the/the-tin-dung/techcombank-everyday</v>
      </c>
      <c r="C862" s="5" t="str">
        <f t="array" ref="C862">INDEX('Báo cáo 75 trang đích'!$C$2:$C$76,$A862)</f>
        <v>CCB</v>
      </c>
      <c r="D862" s="20" t="s">
        <v>1280</v>
      </c>
      <c r="E862" s="22" t="s">
        <v>222</v>
      </c>
      <c r="F862" s="22" t="s">
        <v>81</v>
      </c>
      <c r="G862" s="22" t="s">
        <v>1484</v>
      </c>
      <c r="H862" s="24" t="s">
        <v>59</v>
      </c>
      <c r="I862" s="24" t="s">
        <v>59</v>
      </c>
      <c r="J862" s="24" t="s">
        <v>60</v>
      </c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6">
        <v>31.0</v>
      </c>
      <c r="B863" s="35" t="str">
        <f t="array" ref="B863">INDEX('Báo cáo 75 trang đích'!$B$2:$B$76,$A863)</f>
        <v>https://techcombank.com/khach-hang-ca-nhan/chi-tieu/the/the-tin-dung/techcombank-everyday</v>
      </c>
      <c r="C863" s="5" t="str">
        <f t="array" ref="C863">INDEX('Báo cáo 75 trang đích'!$C$2:$C$76,$A863)</f>
        <v>CCB</v>
      </c>
      <c r="D863" s="20" t="s">
        <v>1464</v>
      </c>
      <c r="E863" s="22" t="s">
        <v>770</v>
      </c>
      <c r="F863" s="22" t="s">
        <v>81</v>
      </c>
      <c r="G863" s="22" t="s">
        <v>1449</v>
      </c>
      <c r="H863" s="24" t="s">
        <v>59</v>
      </c>
      <c r="I863" s="24" t="s">
        <v>59</v>
      </c>
      <c r="J863" s="24" t="s">
        <v>60</v>
      </c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6">
        <v>31.0</v>
      </c>
      <c r="B864" s="35" t="str">
        <f t="array" ref="B864">INDEX('Báo cáo 75 trang đích'!$B$2:$B$76,$A864)</f>
        <v>https://techcombank.com/khach-hang-ca-nhan/chi-tieu/the/the-tin-dung/techcombank-everyday</v>
      </c>
      <c r="C864" s="5" t="str">
        <f t="array" ref="C864">INDEX('Báo cáo 75 trang đích'!$C$2:$C$76,$A864)</f>
        <v>CCB</v>
      </c>
      <c r="D864" s="20" t="s">
        <v>749</v>
      </c>
      <c r="E864" s="22" t="s">
        <v>222</v>
      </c>
      <c r="F864" s="22" t="s">
        <v>81</v>
      </c>
      <c r="G864" s="22" t="s">
        <v>1449</v>
      </c>
      <c r="H864" s="24" t="s">
        <v>59</v>
      </c>
      <c r="I864" s="24" t="s">
        <v>59</v>
      </c>
      <c r="J864" s="24" t="s">
        <v>60</v>
      </c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6">
        <v>31.0</v>
      </c>
      <c r="B865" s="35" t="str">
        <f t="array" ref="B865">INDEX('Báo cáo 75 trang đích'!$B$2:$B$76,$A865)</f>
        <v>https://techcombank.com/khach-hang-ca-nhan/chi-tieu/the/the-tin-dung/techcombank-everyday</v>
      </c>
      <c r="C865" s="5" t="str">
        <f t="array" ref="C865">INDEX('Báo cáo 75 trang đích'!$C$2:$C$76,$A865)</f>
        <v>CCB</v>
      </c>
      <c r="D865" s="20" t="s">
        <v>1465</v>
      </c>
      <c r="E865" s="22" t="s">
        <v>770</v>
      </c>
      <c r="F865" s="22" t="s">
        <v>81</v>
      </c>
      <c r="G865" s="22" t="s">
        <v>1449</v>
      </c>
      <c r="H865" s="24" t="s">
        <v>59</v>
      </c>
      <c r="I865" s="24" t="s">
        <v>59</v>
      </c>
      <c r="J865" s="24" t="s">
        <v>60</v>
      </c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6">
        <v>31.0</v>
      </c>
      <c r="B866" s="35" t="str">
        <f t="array" ref="B866">INDEX('Báo cáo 75 trang đích'!$B$2:$B$76,$A866)</f>
        <v>https://techcombank.com/khach-hang-ca-nhan/chi-tieu/the/the-tin-dung/techcombank-everyday</v>
      </c>
      <c r="C866" s="5" t="str">
        <f t="array" ref="C866">INDEX('Báo cáo 75 trang đích'!$C$2:$C$76,$A866)</f>
        <v>CCB</v>
      </c>
      <c r="D866" s="20" t="s">
        <v>811</v>
      </c>
      <c r="E866" s="22" t="s">
        <v>222</v>
      </c>
      <c r="F866" s="22" t="s">
        <v>81</v>
      </c>
      <c r="G866" s="22" t="s">
        <v>1449</v>
      </c>
      <c r="H866" s="24" t="s">
        <v>59</v>
      </c>
      <c r="I866" s="24" t="s">
        <v>59</v>
      </c>
      <c r="J866" s="24" t="s">
        <v>60</v>
      </c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6">
        <v>31.0</v>
      </c>
      <c r="B867" s="35" t="str">
        <f t="array" ref="B867">INDEX('Báo cáo 75 trang đích'!$B$2:$B$76,$A867)</f>
        <v>https://techcombank.com/khach-hang-ca-nhan/chi-tieu/the/the-tin-dung/techcombank-everyday</v>
      </c>
      <c r="C867" s="5" t="str">
        <f t="array" ref="C867">INDEX('Báo cáo 75 trang đích'!$C$2:$C$76,$A867)</f>
        <v>CCB</v>
      </c>
      <c r="D867" s="20" t="s">
        <v>1466</v>
      </c>
      <c r="E867" s="22" t="s">
        <v>770</v>
      </c>
      <c r="F867" s="22" t="s">
        <v>81</v>
      </c>
      <c r="G867" s="22" t="s">
        <v>1449</v>
      </c>
      <c r="H867" s="24" t="s">
        <v>59</v>
      </c>
      <c r="I867" s="24" t="s">
        <v>59</v>
      </c>
      <c r="J867" s="24" t="s">
        <v>60</v>
      </c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6">
        <v>31.0</v>
      </c>
      <c r="B868" s="35" t="str">
        <f t="array" ref="B868">INDEX('Báo cáo 75 trang đích'!$B$2:$B$76,$A868)</f>
        <v>https://techcombank.com/khach-hang-ca-nhan/chi-tieu/the/the-tin-dung/techcombank-everyday</v>
      </c>
      <c r="C868" s="5" t="str">
        <f t="array" ref="C868">INDEX('Báo cáo 75 trang đích'!$C$2:$C$76,$A868)</f>
        <v>CCB</v>
      </c>
      <c r="D868" s="20" t="s">
        <v>431</v>
      </c>
      <c r="E868" s="22" t="s">
        <v>222</v>
      </c>
      <c r="F868" s="22" t="s">
        <v>81</v>
      </c>
      <c r="G868" s="22" t="s">
        <v>1484</v>
      </c>
      <c r="H868" s="24" t="s">
        <v>59</v>
      </c>
      <c r="I868" s="24" t="s">
        <v>59</v>
      </c>
      <c r="J868" s="24" t="s">
        <v>60</v>
      </c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6">
        <v>31.0</v>
      </c>
      <c r="B869" s="35" t="str">
        <f t="array" ref="B869">INDEX('Báo cáo 75 trang đích'!$B$2:$B$76,$A869)</f>
        <v>https://techcombank.com/khach-hang-ca-nhan/chi-tieu/the/the-tin-dung/techcombank-everyday</v>
      </c>
      <c r="C869" s="5" t="str">
        <f t="array" ref="C869">INDEX('Báo cáo 75 trang đích'!$C$2:$C$76,$A869)</f>
        <v>CCB</v>
      </c>
      <c r="D869" s="20" t="s">
        <v>1331</v>
      </c>
      <c r="E869" s="22" t="s">
        <v>770</v>
      </c>
      <c r="F869" s="22" t="s">
        <v>81</v>
      </c>
      <c r="G869" s="22" t="s">
        <v>1449</v>
      </c>
      <c r="H869" s="24" t="s">
        <v>59</v>
      </c>
      <c r="I869" s="24" t="s">
        <v>59</v>
      </c>
      <c r="J869" s="24" t="s">
        <v>60</v>
      </c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6">
        <v>31.0</v>
      </c>
      <c r="B870" s="35" t="str">
        <f t="array" ref="B870">INDEX('Báo cáo 75 trang đích'!$B$2:$B$76,$A870)</f>
        <v>https://techcombank.com/khach-hang-ca-nhan/chi-tieu/the/the-tin-dung/techcombank-everyday</v>
      </c>
      <c r="C870" s="5" t="str">
        <f t="array" ref="C870">INDEX('Báo cáo 75 trang đích'!$C$2:$C$76,$A870)</f>
        <v>CCB</v>
      </c>
      <c r="D870" s="20" t="s">
        <v>1468</v>
      </c>
      <c r="E870" s="22" t="s">
        <v>222</v>
      </c>
      <c r="F870" s="22" t="s">
        <v>81</v>
      </c>
      <c r="G870" s="22" t="s">
        <v>1449</v>
      </c>
      <c r="H870" s="24" t="s">
        <v>59</v>
      </c>
      <c r="I870" s="24" t="s">
        <v>59</v>
      </c>
      <c r="J870" s="24" t="s">
        <v>60</v>
      </c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6">
        <v>31.0</v>
      </c>
      <c r="B871" s="35" t="str">
        <f t="array" ref="B871">INDEX('Báo cáo 75 trang đích'!$B$2:$B$76,$A871)</f>
        <v>https://techcombank.com/khach-hang-ca-nhan/chi-tieu/the/the-tin-dung/techcombank-everyday</v>
      </c>
      <c r="C871" s="5" t="str">
        <f t="array" ref="C871">INDEX('Báo cáo 75 trang đích'!$C$2:$C$76,$A871)</f>
        <v>CCB</v>
      </c>
      <c r="D871" s="20" t="s">
        <v>198</v>
      </c>
      <c r="E871" s="22" t="s">
        <v>770</v>
      </c>
      <c r="F871" s="22" t="s">
        <v>81</v>
      </c>
      <c r="G871" s="22" t="s">
        <v>1449</v>
      </c>
      <c r="H871" s="24" t="s">
        <v>59</v>
      </c>
      <c r="I871" s="24" t="s">
        <v>59</v>
      </c>
      <c r="J871" s="24" t="s">
        <v>60</v>
      </c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6">
        <v>31.0</v>
      </c>
      <c r="B872" s="35" t="str">
        <f t="array" ref="B872">INDEX('Báo cáo 75 trang đích'!$B$2:$B$76,$A872)</f>
        <v>https://techcombank.com/khach-hang-ca-nhan/chi-tieu/the/the-tin-dung/techcombank-everyday</v>
      </c>
      <c r="C872" s="5" t="str">
        <f t="array" ref="C872">INDEX('Báo cáo 75 trang đích'!$C$2:$C$76,$A872)</f>
        <v>CCB</v>
      </c>
      <c r="D872" s="20" t="s">
        <v>1469</v>
      </c>
      <c r="E872" s="22" t="s">
        <v>222</v>
      </c>
      <c r="F872" s="22" t="s">
        <v>81</v>
      </c>
      <c r="G872" s="22" t="s">
        <v>1449</v>
      </c>
      <c r="H872" s="24" t="s">
        <v>59</v>
      </c>
      <c r="I872" s="24" t="s">
        <v>59</v>
      </c>
      <c r="J872" s="24" t="s">
        <v>60</v>
      </c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6">
        <v>31.0</v>
      </c>
      <c r="B873" s="35" t="str">
        <f t="array" ref="B873">INDEX('Báo cáo 75 trang đích'!$B$2:$B$76,$A873)</f>
        <v>https://techcombank.com/khach-hang-ca-nhan/chi-tieu/the/the-tin-dung/techcombank-everyday</v>
      </c>
      <c r="C873" s="5" t="str">
        <f t="array" ref="C873">INDEX('Báo cáo 75 trang đích'!$C$2:$C$76,$A873)</f>
        <v>CCB</v>
      </c>
      <c r="D873" s="20" t="s">
        <v>187</v>
      </c>
      <c r="E873" s="22" t="s">
        <v>770</v>
      </c>
      <c r="F873" s="22" t="s">
        <v>81</v>
      </c>
      <c r="G873" s="22" t="s">
        <v>1449</v>
      </c>
      <c r="H873" s="24" t="s">
        <v>59</v>
      </c>
      <c r="I873" s="24" t="s">
        <v>59</v>
      </c>
      <c r="J873" s="24" t="s">
        <v>60</v>
      </c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6">
        <v>31.0</v>
      </c>
      <c r="B874" s="35" t="str">
        <f t="array" ref="B874">INDEX('Báo cáo 75 trang đích'!$B$2:$B$76,$A874)</f>
        <v>https://techcombank.com/khach-hang-ca-nhan/chi-tieu/the/the-tin-dung/techcombank-everyday</v>
      </c>
      <c r="C874" s="5" t="str">
        <f t="array" ref="C874">INDEX('Báo cáo 75 trang đích'!$C$2:$C$76,$A874)</f>
        <v>CCB</v>
      </c>
      <c r="D874" s="20" t="s">
        <v>817</v>
      </c>
      <c r="E874" s="22" t="s">
        <v>222</v>
      </c>
      <c r="F874" s="22" t="s">
        <v>81</v>
      </c>
      <c r="G874" s="22" t="s">
        <v>1449</v>
      </c>
      <c r="H874" s="24" t="s">
        <v>59</v>
      </c>
      <c r="I874" s="24" t="s">
        <v>59</v>
      </c>
      <c r="J874" s="24" t="s">
        <v>60</v>
      </c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6">
        <v>31.0</v>
      </c>
      <c r="B875" s="35" t="str">
        <f t="array" ref="B875">INDEX('Báo cáo 75 trang đích'!$B$2:$B$76,$A875)</f>
        <v>https://techcombank.com/khach-hang-ca-nhan/chi-tieu/the/the-tin-dung/techcombank-everyday</v>
      </c>
      <c r="C875" s="5" t="str">
        <f t="array" ref="C875">INDEX('Báo cáo 75 trang đích'!$C$2:$C$76,$A875)</f>
        <v>CCB</v>
      </c>
      <c r="D875" s="20" t="s">
        <v>1470</v>
      </c>
      <c r="E875" s="22" t="s">
        <v>770</v>
      </c>
      <c r="F875" s="22" t="s">
        <v>81</v>
      </c>
      <c r="G875" s="22" t="s">
        <v>1449</v>
      </c>
      <c r="H875" s="24" t="s">
        <v>59</v>
      </c>
      <c r="I875" s="24" t="s">
        <v>59</v>
      </c>
      <c r="J875" s="24" t="s">
        <v>60</v>
      </c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6">
        <v>31.0</v>
      </c>
      <c r="B876" s="35" t="str">
        <f t="array" ref="B876">INDEX('Báo cáo 75 trang đích'!$B$2:$B$76,$A876)</f>
        <v>https://techcombank.com/khach-hang-ca-nhan/chi-tieu/the/the-tin-dung/techcombank-everyday</v>
      </c>
      <c r="C876" s="5" t="str">
        <f t="array" ref="C876">INDEX('Báo cáo 75 trang đích'!$C$2:$C$76,$A876)</f>
        <v>CCB</v>
      </c>
      <c r="D876" s="20" t="s">
        <v>1471</v>
      </c>
      <c r="E876" s="22" t="s">
        <v>222</v>
      </c>
      <c r="F876" s="22" t="s">
        <v>81</v>
      </c>
      <c r="G876" s="22" t="s">
        <v>1449</v>
      </c>
      <c r="H876" s="24" t="s">
        <v>59</v>
      </c>
      <c r="I876" s="24" t="s">
        <v>59</v>
      </c>
      <c r="J876" s="24" t="s">
        <v>60</v>
      </c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6">
        <v>31.0</v>
      </c>
      <c r="B877" s="35" t="str">
        <f t="array" ref="B877">INDEX('Báo cáo 75 trang đích'!$B$2:$B$76,$A877)</f>
        <v>https://techcombank.com/khach-hang-ca-nhan/chi-tieu/the/the-tin-dung/techcombank-everyday</v>
      </c>
      <c r="C877" s="5" t="str">
        <f t="array" ref="C877">INDEX('Báo cáo 75 trang đích'!$C$2:$C$76,$A877)</f>
        <v>CCB</v>
      </c>
      <c r="D877" s="20" t="s">
        <v>752</v>
      </c>
      <c r="E877" s="22" t="s">
        <v>770</v>
      </c>
      <c r="F877" s="22" t="s">
        <v>81</v>
      </c>
      <c r="G877" s="22" t="s">
        <v>1449</v>
      </c>
      <c r="H877" s="24" t="s">
        <v>59</v>
      </c>
      <c r="I877" s="24" t="s">
        <v>59</v>
      </c>
      <c r="J877" s="24" t="s">
        <v>60</v>
      </c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6">
        <v>31.0</v>
      </c>
      <c r="B878" s="35" t="str">
        <f t="array" ref="B878">INDEX('Báo cáo 75 trang đích'!$B$2:$B$76,$A878)</f>
        <v>https://techcombank.com/khach-hang-ca-nhan/chi-tieu/the/the-tin-dung/techcombank-everyday</v>
      </c>
      <c r="C878" s="5" t="str">
        <f t="array" ref="C878">INDEX('Báo cáo 75 trang đích'!$C$2:$C$76,$A878)</f>
        <v>CCB</v>
      </c>
      <c r="D878" s="20" t="s">
        <v>786</v>
      </c>
      <c r="E878" s="22" t="s">
        <v>222</v>
      </c>
      <c r="F878" s="22" t="s">
        <v>81</v>
      </c>
      <c r="G878" s="22" t="s">
        <v>1449</v>
      </c>
      <c r="H878" s="24" t="s">
        <v>59</v>
      </c>
      <c r="I878" s="24" t="s">
        <v>59</v>
      </c>
      <c r="J878" s="24" t="s">
        <v>60</v>
      </c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6">
        <v>31.0</v>
      </c>
      <c r="B879" s="35" t="str">
        <f t="array" ref="B879">INDEX('Báo cáo 75 trang đích'!$B$2:$B$76,$A879)</f>
        <v>https://techcombank.com/khach-hang-ca-nhan/chi-tieu/the/the-tin-dung/techcombank-everyday</v>
      </c>
      <c r="C879" s="5" t="str">
        <f t="array" ref="C879">INDEX('Báo cáo 75 trang đích'!$C$2:$C$76,$A879)</f>
        <v>CCB</v>
      </c>
      <c r="D879" s="20" t="s">
        <v>779</v>
      </c>
      <c r="E879" s="22" t="s">
        <v>770</v>
      </c>
      <c r="F879" s="22" t="s">
        <v>81</v>
      </c>
      <c r="G879" s="22" t="s">
        <v>1486</v>
      </c>
      <c r="H879" s="24" t="s">
        <v>59</v>
      </c>
      <c r="I879" s="24" t="s">
        <v>59</v>
      </c>
      <c r="J879" s="24" t="s">
        <v>60</v>
      </c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6">
        <v>31.0</v>
      </c>
      <c r="B880" s="35" t="str">
        <f t="array" ref="B880">INDEX('Báo cáo 75 trang đích'!$B$2:$B$76,$A880)</f>
        <v>https://techcombank.com/khach-hang-ca-nhan/chi-tieu/the/the-tin-dung/techcombank-everyday</v>
      </c>
      <c r="C880" s="5" t="str">
        <f t="array" ref="C880">INDEX('Báo cáo 75 trang đích'!$C$2:$C$76,$A880)</f>
        <v>CCB</v>
      </c>
      <c r="D880" s="20" t="s">
        <v>747</v>
      </c>
      <c r="E880" s="22" t="s">
        <v>222</v>
      </c>
      <c r="F880" s="22" t="s">
        <v>81</v>
      </c>
      <c r="G880" s="22" t="s">
        <v>1449</v>
      </c>
      <c r="H880" s="24" t="s">
        <v>59</v>
      </c>
      <c r="I880" s="24" t="s">
        <v>59</v>
      </c>
      <c r="J880" s="24" t="s">
        <v>60</v>
      </c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6">
        <v>31.0</v>
      </c>
      <c r="B881" s="35" t="str">
        <f t="array" ref="B881">INDEX('Báo cáo 75 trang đích'!$B$2:$B$76,$A881)</f>
        <v>https://techcombank.com/khach-hang-ca-nhan/chi-tieu/the/the-tin-dung/techcombank-everyday</v>
      </c>
      <c r="C881" s="5" t="str">
        <f t="array" ref="C881">INDEX('Báo cáo 75 trang đích'!$C$2:$C$76,$A881)</f>
        <v>CCB</v>
      </c>
      <c r="D881" s="20" t="s">
        <v>1283</v>
      </c>
      <c r="E881" s="22" t="s">
        <v>770</v>
      </c>
      <c r="F881" s="22" t="s">
        <v>81</v>
      </c>
      <c r="G881" s="22" t="s">
        <v>1449</v>
      </c>
      <c r="H881" s="24" t="s">
        <v>59</v>
      </c>
      <c r="I881" s="24" t="s">
        <v>59</v>
      </c>
      <c r="J881" s="24" t="s">
        <v>60</v>
      </c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6">
        <v>31.0</v>
      </c>
      <c r="B882" s="35" t="str">
        <f t="array" ref="B882">INDEX('Báo cáo 75 trang đích'!$B$2:$B$76,$A882)</f>
        <v>https://techcombank.com/khach-hang-ca-nhan/chi-tieu/the/the-tin-dung/techcombank-everyday</v>
      </c>
      <c r="C882" s="5" t="str">
        <f t="array" ref="C882">INDEX('Báo cáo 75 trang đích'!$C$2:$C$76,$A882)</f>
        <v>CCB</v>
      </c>
      <c r="D882" s="20" t="s">
        <v>700</v>
      </c>
      <c r="E882" s="22" t="s">
        <v>222</v>
      </c>
      <c r="F882" s="22" t="s">
        <v>81</v>
      </c>
      <c r="G882" s="22" t="s">
        <v>1449</v>
      </c>
      <c r="H882" s="24" t="s">
        <v>59</v>
      </c>
      <c r="I882" s="24" t="s">
        <v>59</v>
      </c>
      <c r="J882" s="24" t="s">
        <v>60</v>
      </c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6">
        <v>31.0</v>
      </c>
      <c r="B883" s="35" t="str">
        <f t="array" ref="B883">INDEX('Báo cáo 75 trang đích'!$B$2:$B$76,$A883)</f>
        <v>https://techcombank.com/khach-hang-ca-nhan/chi-tieu/the/the-tin-dung/techcombank-everyday</v>
      </c>
      <c r="C883" s="5" t="str">
        <f t="array" ref="C883">INDEX('Báo cáo 75 trang đích'!$C$2:$C$76,$A883)</f>
        <v>CCB</v>
      </c>
      <c r="D883" s="20" t="s">
        <v>1472</v>
      </c>
      <c r="E883" s="22" t="s">
        <v>770</v>
      </c>
      <c r="F883" s="22" t="s">
        <v>81</v>
      </c>
      <c r="G883" s="22" t="s">
        <v>1449</v>
      </c>
      <c r="H883" s="24" t="s">
        <v>59</v>
      </c>
      <c r="I883" s="24" t="s">
        <v>59</v>
      </c>
      <c r="J883" s="24" t="s">
        <v>60</v>
      </c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6">
        <v>31.0</v>
      </c>
      <c r="B884" s="35" t="str">
        <f t="array" ref="B884">INDEX('Báo cáo 75 trang đích'!$B$2:$B$76,$A884)</f>
        <v>https://techcombank.com/khach-hang-ca-nhan/chi-tieu/the/the-tin-dung/techcombank-everyday</v>
      </c>
      <c r="C884" s="5" t="str">
        <f t="array" ref="C884">INDEX('Báo cáo 75 trang đích'!$C$2:$C$76,$A884)</f>
        <v>CCB</v>
      </c>
      <c r="D884" s="20" t="s">
        <v>758</v>
      </c>
      <c r="E884" s="22" t="s">
        <v>222</v>
      </c>
      <c r="F884" s="22" t="s">
        <v>81</v>
      </c>
      <c r="G884" s="22" t="s">
        <v>1449</v>
      </c>
      <c r="H884" s="24" t="s">
        <v>59</v>
      </c>
      <c r="I884" s="24" t="s">
        <v>59</v>
      </c>
      <c r="J884" s="24" t="s">
        <v>60</v>
      </c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6">
        <v>31.0</v>
      </c>
      <c r="B885" s="35" t="str">
        <f t="array" ref="B885">INDEX('Báo cáo 75 trang đích'!$B$2:$B$76,$A885)</f>
        <v>https://techcombank.com/khach-hang-ca-nhan/chi-tieu/the/the-tin-dung/techcombank-everyday</v>
      </c>
      <c r="C885" s="5" t="str">
        <f t="array" ref="C885">INDEX('Báo cáo 75 trang đích'!$C$2:$C$76,$A885)</f>
        <v>CCB</v>
      </c>
      <c r="D885" s="20" t="s">
        <v>1473</v>
      </c>
      <c r="E885" s="22" t="s">
        <v>770</v>
      </c>
      <c r="F885" s="22" t="s">
        <v>81</v>
      </c>
      <c r="G885" s="22" t="s">
        <v>1449</v>
      </c>
      <c r="H885" s="24" t="s">
        <v>59</v>
      </c>
      <c r="I885" s="24" t="s">
        <v>59</v>
      </c>
      <c r="J885" s="24" t="s">
        <v>60</v>
      </c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6">
        <v>31.0</v>
      </c>
      <c r="B886" s="35" t="str">
        <f t="array" ref="B886">INDEX('Báo cáo 75 trang đích'!$B$2:$B$76,$A886)</f>
        <v>https://techcombank.com/khach-hang-ca-nhan/chi-tieu/the/the-tin-dung/techcombank-everyday</v>
      </c>
      <c r="C886" s="5" t="str">
        <f t="array" ref="C886">INDEX('Báo cáo 75 trang đích'!$C$2:$C$76,$A886)</f>
        <v>CCB</v>
      </c>
      <c r="D886" s="20" t="s">
        <v>800</v>
      </c>
      <c r="E886" s="22" t="s">
        <v>222</v>
      </c>
      <c r="F886" s="22" t="s">
        <v>81</v>
      </c>
      <c r="G886" s="22" t="s">
        <v>1449</v>
      </c>
      <c r="H886" s="24" t="s">
        <v>59</v>
      </c>
      <c r="I886" s="24" t="s">
        <v>59</v>
      </c>
      <c r="J886" s="24" t="s">
        <v>60</v>
      </c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6">
        <v>31.0</v>
      </c>
      <c r="B887" s="35" t="str">
        <f t="array" ref="B887">INDEX('Báo cáo 75 trang đích'!$B$2:$B$76,$A887)</f>
        <v>https://techcombank.com/khach-hang-ca-nhan/chi-tieu/the/the-tin-dung/techcombank-everyday</v>
      </c>
      <c r="C887" s="5" t="str">
        <f t="array" ref="C887">INDEX('Báo cáo 75 trang đích'!$C$2:$C$76,$A887)</f>
        <v>CCB</v>
      </c>
      <c r="D887" s="20" t="s">
        <v>1223</v>
      </c>
      <c r="E887" s="22" t="s">
        <v>770</v>
      </c>
      <c r="F887" s="22" t="s">
        <v>81</v>
      </c>
      <c r="G887" s="22" t="s">
        <v>1449</v>
      </c>
      <c r="H887" s="24" t="s">
        <v>59</v>
      </c>
      <c r="I887" s="24" t="s">
        <v>59</v>
      </c>
      <c r="J887" s="24" t="s">
        <v>60</v>
      </c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6">
        <v>31.0</v>
      </c>
      <c r="B888" s="35" t="str">
        <f t="array" ref="B888">INDEX('Báo cáo 75 trang đích'!$B$2:$B$76,$A888)</f>
        <v>https://techcombank.com/khach-hang-ca-nhan/chi-tieu/the/the-tin-dung/techcombank-everyday</v>
      </c>
      <c r="C888" s="5" t="str">
        <f t="array" ref="C888">INDEX('Báo cáo 75 trang đích'!$C$2:$C$76,$A888)</f>
        <v>CCB</v>
      </c>
      <c r="D888" s="20" t="s">
        <v>820</v>
      </c>
      <c r="E888" s="22" t="s">
        <v>222</v>
      </c>
      <c r="F888" s="22" t="s">
        <v>81</v>
      </c>
      <c r="G888" s="22" t="s">
        <v>1449</v>
      </c>
      <c r="H888" s="24" t="s">
        <v>59</v>
      </c>
      <c r="I888" s="24" t="s">
        <v>59</v>
      </c>
      <c r="J888" s="24" t="s">
        <v>60</v>
      </c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6">
        <v>31.0</v>
      </c>
      <c r="B889" s="35" t="str">
        <f t="array" ref="B889">INDEX('Báo cáo 75 trang đích'!$B$2:$B$76,$A889)</f>
        <v>https://techcombank.com/khach-hang-ca-nhan/chi-tieu/the/the-tin-dung/techcombank-everyday</v>
      </c>
      <c r="C889" s="5" t="str">
        <f t="array" ref="C889">INDEX('Báo cáo 75 trang đích'!$C$2:$C$76,$A889)</f>
        <v>CCB</v>
      </c>
      <c r="D889" s="20" t="s">
        <v>755</v>
      </c>
      <c r="E889" s="22" t="s">
        <v>770</v>
      </c>
      <c r="F889" s="22" t="s">
        <v>81</v>
      </c>
      <c r="G889" s="22" t="s">
        <v>1449</v>
      </c>
      <c r="H889" s="24" t="s">
        <v>59</v>
      </c>
      <c r="I889" s="24" t="s">
        <v>59</v>
      </c>
      <c r="J889" s="24" t="s">
        <v>60</v>
      </c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6">
        <v>31.0</v>
      </c>
      <c r="B890" s="35" t="str">
        <f t="array" ref="B890">INDEX('Báo cáo 75 trang đích'!$B$2:$B$76,$A890)</f>
        <v>https://techcombank.com/khach-hang-ca-nhan/chi-tieu/the/the-tin-dung/techcombank-everyday</v>
      </c>
      <c r="C890" s="5" t="str">
        <f t="array" ref="C890">INDEX('Báo cáo 75 trang đích'!$C$2:$C$76,$A890)</f>
        <v>CCB</v>
      </c>
      <c r="D890" s="20" t="s">
        <v>1426</v>
      </c>
      <c r="E890" s="22" t="s">
        <v>222</v>
      </c>
      <c r="F890" s="22" t="s">
        <v>81</v>
      </c>
      <c r="G890" s="22" t="s">
        <v>1449</v>
      </c>
      <c r="H890" s="24" t="s">
        <v>59</v>
      </c>
      <c r="I890" s="24" t="s">
        <v>59</v>
      </c>
      <c r="J890" s="24" t="s">
        <v>60</v>
      </c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6">
        <v>31.0</v>
      </c>
      <c r="B891" s="35" t="str">
        <f t="array" ref="B891">INDEX('Báo cáo 75 trang đích'!$B$2:$B$76,$A891)</f>
        <v>https://techcombank.com/khach-hang-ca-nhan/chi-tieu/the/the-tin-dung/techcombank-everyday</v>
      </c>
      <c r="C891" s="5" t="str">
        <f t="array" ref="C891">INDEX('Báo cáo 75 trang đích'!$C$2:$C$76,$A891)</f>
        <v>CCB</v>
      </c>
      <c r="D891" s="20" t="s">
        <v>709</v>
      </c>
      <c r="E891" s="22" t="s">
        <v>770</v>
      </c>
      <c r="F891" s="22" t="s">
        <v>81</v>
      </c>
      <c r="G891" s="22" t="s">
        <v>1449</v>
      </c>
      <c r="H891" s="24" t="s">
        <v>59</v>
      </c>
      <c r="I891" s="24" t="s">
        <v>59</v>
      </c>
      <c r="J891" s="24" t="s">
        <v>60</v>
      </c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6">
        <v>31.0</v>
      </c>
      <c r="B892" s="35" t="str">
        <f t="array" ref="B892">INDEX('Báo cáo 75 trang đích'!$B$2:$B$76,$A892)</f>
        <v>https://techcombank.com/khach-hang-ca-nhan/chi-tieu/the/the-tin-dung/techcombank-everyday</v>
      </c>
      <c r="C892" s="5" t="str">
        <f t="array" ref="C892">INDEX('Báo cáo 75 trang đích'!$C$2:$C$76,$A892)</f>
        <v>CCB</v>
      </c>
      <c r="D892" s="20" t="s">
        <v>760</v>
      </c>
      <c r="E892" s="22" t="s">
        <v>222</v>
      </c>
      <c r="F892" s="22" t="s">
        <v>81</v>
      </c>
      <c r="G892" s="22" t="s">
        <v>1449</v>
      </c>
      <c r="H892" s="24" t="s">
        <v>59</v>
      </c>
      <c r="I892" s="24" t="s">
        <v>59</v>
      </c>
      <c r="J892" s="24" t="s">
        <v>60</v>
      </c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6">
        <v>31.0</v>
      </c>
      <c r="B893" s="35" t="str">
        <f t="array" ref="B893">INDEX('Báo cáo 75 trang đích'!$B$2:$B$76,$A893)</f>
        <v>https://techcombank.com/khach-hang-ca-nhan/chi-tieu/the/the-tin-dung/techcombank-everyday</v>
      </c>
      <c r="C893" s="5" t="str">
        <f t="array" ref="C893">INDEX('Báo cáo 75 trang đích'!$C$2:$C$76,$A893)</f>
        <v>CCB</v>
      </c>
      <c r="D893" s="20" t="s">
        <v>1474</v>
      </c>
      <c r="E893" s="22" t="s">
        <v>770</v>
      </c>
      <c r="F893" s="22" t="s">
        <v>81</v>
      </c>
      <c r="G893" s="22" t="s">
        <v>1484</v>
      </c>
      <c r="H893" s="24" t="s">
        <v>59</v>
      </c>
      <c r="I893" s="24" t="s">
        <v>59</v>
      </c>
      <c r="J893" s="24" t="s">
        <v>60</v>
      </c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6">
        <v>31.0</v>
      </c>
      <c r="B894" s="35" t="str">
        <f t="array" ref="B894">INDEX('Báo cáo 75 trang đích'!$B$2:$B$76,$A894)</f>
        <v>https://techcombank.com/khach-hang-ca-nhan/chi-tieu/the/the-tin-dung/techcombank-everyday</v>
      </c>
      <c r="C894" s="5" t="str">
        <f t="array" ref="C894">INDEX('Báo cáo 75 trang đích'!$C$2:$C$76,$A894)</f>
        <v>CCB</v>
      </c>
      <c r="D894" s="20" t="s">
        <v>1290</v>
      </c>
      <c r="E894" s="22" t="s">
        <v>222</v>
      </c>
      <c r="F894" s="22" t="s">
        <v>81</v>
      </c>
      <c r="G894" s="22" t="s">
        <v>1449</v>
      </c>
      <c r="H894" s="24" t="s">
        <v>59</v>
      </c>
      <c r="I894" s="24" t="s">
        <v>59</v>
      </c>
      <c r="J894" s="24" t="s">
        <v>60</v>
      </c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6">
        <v>31.0</v>
      </c>
      <c r="B895" s="35" t="str">
        <f t="array" ref="B895">INDEX('Báo cáo 75 trang đích'!$B$2:$B$76,$A895)</f>
        <v>https://techcombank.com/khach-hang-ca-nhan/chi-tieu/the/the-tin-dung/techcombank-everyday</v>
      </c>
      <c r="C895" s="5" t="str">
        <f t="array" ref="C895">INDEX('Báo cáo 75 trang đích'!$C$2:$C$76,$A895)</f>
        <v>CCB</v>
      </c>
      <c r="D895" s="20" t="s">
        <v>194</v>
      </c>
      <c r="E895" s="22" t="s">
        <v>770</v>
      </c>
      <c r="F895" s="22" t="s">
        <v>81</v>
      </c>
      <c r="G895" s="22" t="s">
        <v>1449</v>
      </c>
      <c r="H895" s="24" t="s">
        <v>59</v>
      </c>
      <c r="I895" s="24" t="s">
        <v>59</v>
      </c>
      <c r="J895" s="24" t="s">
        <v>60</v>
      </c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6">
        <v>31.0</v>
      </c>
      <c r="B896" s="35" t="str">
        <f t="array" ref="B896">INDEX('Báo cáo 75 trang đích'!$B$2:$B$76,$A896)</f>
        <v>https://techcombank.com/khach-hang-ca-nhan/chi-tieu/the/the-tin-dung/techcombank-everyday</v>
      </c>
      <c r="C896" s="5" t="str">
        <f t="array" ref="C896">INDEX('Báo cáo 75 trang đích'!$C$2:$C$76,$A896)</f>
        <v>CCB</v>
      </c>
      <c r="D896" s="20" t="s">
        <v>1475</v>
      </c>
      <c r="E896" s="22" t="s">
        <v>222</v>
      </c>
      <c r="F896" s="22" t="s">
        <v>81</v>
      </c>
      <c r="G896" s="22" t="s">
        <v>1449</v>
      </c>
      <c r="H896" s="24" t="s">
        <v>59</v>
      </c>
      <c r="I896" s="24" t="s">
        <v>59</v>
      </c>
      <c r="J896" s="24" t="s">
        <v>60</v>
      </c>
      <c r="K896" s="22" t="s">
        <v>97</v>
      </c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6">
        <v>31.0</v>
      </c>
      <c r="B897" s="35" t="str">
        <f t="array" ref="B897">INDEX('Báo cáo 75 trang đích'!$B$2:$B$76,$A897)</f>
        <v>https://techcombank.com/khach-hang-ca-nhan/chi-tieu/the/the-tin-dung/techcombank-everyday</v>
      </c>
      <c r="C897" s="5" t="str">
        <f t="array" ref="C897">INDEX('Báo cáo 75 trang đích'!$C$2:$C$76,$A897)</f>
        <v>CCB</v>
      </c>
      <c r="D897" s="20" t="s">
        <v>734</v>
      </c>
      <c r="E897" s="22" t="s">
        <v>770</v>
      </c>
      <c r="F897" s="22" t="s">
        <v>81</v>
      </c>
      <c r="G897" s="22" t="s">
        <v>1449</v>
      </c>
      <c r="H897" s="24" t="s">
        <v>59</v>
      </c>
      <c r="I897" s="24" t="s">
        <v>59</v>
      </c>
      <c r="J897" s="24" t="s">
        <v>60</v>
      </c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6">
        <v>31.0</v>
      </c>
      <c r="B898" s="35" t="str">
        <f t="array" ref="B898">INDEX('Báo cáo 75 trang đích'!$B$2:$B$76,$A898)</f>
        <v>https://techcombank.com/khach-hang-ca-nhan/chi-tieu/the/the-tin-dung/techcombank-everyday</v>
      </c>
      <c r="C898" s="5" t="str">
        <f t="array" ref="C898">INDEX('Báo cáo 75 trang đích'!$C$2:$C$76,$A898)</f>
        <v>CCB</v>
      </c>
      <c r="D898" s="20" t="s">
        <v>720</v>
      </c>
      <c r="E898" s="22" t="s">
        <v>222</v>
      </c>
      <c r="F898" s="22" t="s">
        <v>81</v>
      </c>
      <c r="G898" s="22" t="s">
        <v>1449</v>
      </c>
      <c r="H898" s="24" t="s">
        <v>59</v>
      </c>
      <c r="I898" s="24" t="s">
        <v>59</v>
      </c>
      <c r="J898" s="24" t="s">
        <v>60</v>
      </c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6">
        <v>31.0</v>
      </c>
      <c r="B899" s="35" t="str">
        <f t="array" ref="B899">INDEX('Báo cáo 75 trang đích'!$B$2:$B$76,$A899)</f>
        <v>https://techcombank.com/khach-hang-ca-nhan/chi-tieu/the/the-tin-dung/techcombank-everyday</v>
      </c>
      <c r="C899" s="5" t="str">
        <f t="array" ref="C899">INDEX('Báo cáo 75 trang đích'!$C$2:$C$76,$A899)</f>
        <v>CCB</v>
      </c>
      <c r="D899" s="20" t="s">
        <v>1476</v>
      </c>
      <c r="E899" s="22" t="s">
        <v>770</v>
      </c>
      <c r="F899" s="22" t="s">
        <v>81</v>
      </c>
      <c r="G899" s="22" t="s">
        <v>1484</v>
      </c>
      <c r="H899" s="24" t="s">
        <v>59</v>
      </c>
      <c r="I899" s="24" t="s">
        <v>59</v>
      </c>
      <c r="J899" s="24" t="s">
        <v>60</v>
      </c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6">
        <v>31.0</v>
      </c>
      <c r="B900" s="35" t="str">
        <f t="array" ref="B900">INDEX('Báo cáo 75 trang đích'!$B$2:$B$76,$A900)</f>
        <v>https://techcombank.com/khach-hang-ca-nhan/chi-tieu/the/the-tin-dung/techcombank-everyday</v>
      </c>
      <c r="C900" s="5" t="str">
        <f t="array" ref="C900">INDEX('Báo cáo 75 trang đích'!$C$2:$C$76,$A900)</f>
        <v>CCB</v>
      </c>
      <c r="D900" s="20" t="s">
        <v>793</v>
      </c>
      <c r="E900" s="22" t="s">
        <v>222</v>
      </c>
      <c r="F900" s="22" t="s">
        <v>81</v>
      </c>
      <c r="G900" s="22" t="s">
        <v>1449</v>
      </c>
      <c r="H900" s="24" t="s">
        <v>59</v>
      </c>
      <c r="I900" s="24" t="s">
        <v>59</v>
      </c>
      <c r="J900" s="24" t="s">
        <v>60</v>
      </c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6">
        <v>31.0</v>
      </c>
      <c r="B901" s="35" t="str">
        <f t="array" ref="B901">INDEX('Báo cáo 75 trang đích'!$B$2:$B$76,$A901)</f>
        <v>https://techcombank.com/khach-hang-ca-nhan/chi-tieu/the/the-tin-dung/techcombank-everyday</v>
      </c>
      <c r="C901" s="5" t="str">
        <f t="array" ref="C901">INDEX('Báo cáo 75 trang đích'!$C$2:$C$76,$A901)</f>
        <v>CCB</v>
      </c>
      <c r="D901" s="20" t="s">
        <v>1477</v>
      </c>
      <c r="E901" s="22" t="s">
        <v>770</v>
      </c>
      <c r="F901" s="22" t="s">
        <v>81</v>
      </c>
      <c r="G901" s="22" t="s">
        <v>1449</v>
      </c>
      <c r="H901" s="24" t="s">
        <v>59</v>
      </c>
      <c r="I901" s="24" t="s">
        <v>59</v>
      </c>
      <c r="J901" s="24" t="s">
        <v>60</v>
      </c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6">
        <v>31.0</v>
      </c>
      <c r="B902" s="35" t="str">
        <f t="array" ref="B902">INDEX('Báo cáo 75 trang đích'!$B$2:$B$76,$A902)</f>
        <v>https://techcombank.com/khach-hang-ca-nhan/chi-tieu/the/the-tin-dung/techcombank-everyday</v>
      </c>
      <c r="C902" s="5" t="str">
        <f t="array" ref="C902">INDEX('Báo cáo 75 trang đích'!$C$2:$C$76,$A902)</f>
        <v>CCB</v>
      </c>
      <c r="D902" s="20" t="s">
        <v>1293</v>
      </c>
      <c r="E902" s="22" t="s">
        <v>222</v>
      </c>
      <c r="F902" s="22" t="s">
        <v>81</v>
      </c>
      <c r="G902" s="22" t="s">
        <v>1449</v>
      </c>
      <c r="H902" s="24" t="s">
        <v>59</v>
      </c>
      <c r="I902" s="24" t="s">
        <v>59</v>
      </c>
      <c r="J902" s="24" t="s">
        <v>60</v>
      </c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6">
        <v>31.0</v>
      </c>
      <c r="B903" s="35" t="str">
        <f t="array" ref="B903">INDEX('Báo cáo 75 trang đích'!$B$2:$B$76,$A903)</f>
        <v>https://techcombank.com/khach-hang-ca-nhan/chi-tieu/the/the-tin-dung/techcombank-everyday</v>
      </c>
      <c r="C903" s="5" t="str">
        <f t="array" ref="C903">INDEX('Báo cáo 75 trang đích'!$C$2:$C$76,$A903)</f>
        <v>CCB</v>
      </c>
      <c r="D903" s="20" t="s">
        <v>204</v>
      </c>
      <c r="E903" s="22" t="s">
        <v>770</v>
      </c>
      <c r="F903" s="22" t="s">
        <v>81</v>
      </c>
      <c r="G903" s="22" t="s">
        <v>1487</v>
      </c>
      <c r="H903" s="24" t="s">
        <v>59</v>
      </c>
      <c r="I903" s="24" t="s">
        <v>59</v>
      </c>
      <c r="J903" s="24" t="s">
        <v>60</v>
      </c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6">
        <v>31.0</v>
      </c>
      <c r="B904" s="35" t="str">
        <f t="array" ref="B904">INDEX('Báo cáo 75 trang đích'!$B$2:$B$76,$A904)</f>
        <v>https://techcombank.com/khach-hang-ca-nhan/chi-tieu/the/the-tin-dung/techcombank-everyday</v>
      </c>
      <c r="C904" s="5" t="str">
        <f t="array" ref="C904">INDEX('Báo cáo 75 trang đích'!$C$2:$C$76,$A904)</f>
        <v>CCB</v>
      </c>
      <c r="D904" s="20" t="s">
        <v>1478</v>
      </c>
      <c r="E904" s="22" t="s">
        <v>222</v>
      </c>
      <c r="F904" s="22" t="s">
        <v>81</v>
      </c>
      <c r="G904" s="22" t="s">
        <v>1449</v>
      </c>
      <c r="H904" s="24" t="s">
        <v>59</v>
      </c>
      <c r="I904" s="24" t="s">
        <v>59</v>
      </c>
      <c r="J904" s="24" t="s">
        <v>60</v>
      </c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6">
        <v>31.0</v>
      </c>
      <c r="B905" s="35" t="str">
        <f t="array" ref="B905">INDEX('Báo cáo 75 trang đích'!$B$2:$B$76,$A905)</f>
        <v>https://techcombank.com/khach-hang-ca-nhan/chi-tieu/the/the-tin-dung/techcombank-everyday</v>
      </c>
      <c r="C905" s="5" t="str">
        <f t="array" ref="C905">INDEX('Báo cáo 75 trang đích'!$C$2:$C$76,$A905)</f>
        <v>CCB</v>
      </c>
      <c r="D905" s="20" t="s">
        <v>495</v>
      </c>
      <c r="E905" s="22" t="s">
        <v>770</v>
      </c>
      <c r="F905" s="22" t="s">
        <v>81</v>
      </c>
      <c r="G905" s="22" t="s">
        <v>1449</v>
      </c>
      <c r="H905" s="24" t="s">
        <v>59</v>
      </c>
      <c r="I905" s="24" t="s">
        <v>59</v>
      </c>
      <c r="J905" s="24" t="s">
        <v>60</v>
      </c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6">
        <v>32.0</v>
      </c>
      <c r="B906" s="35" t="str">
        <f t="array" ref="B906">INDEX('Báo cáo 75 trang đích'!$B$2:$B$76,$A906)</f>
        <v>https://techcombank.com/thong-tin/blog/the-tin-dung-hoan-tien</v>
      </c>
      <c r="C906" s="5" t="str">
        <f t="array" ref="C906">INDEX('Báo cáo 75 trang đích'!$C$2:$C$76,$A906)</f>
        <v>CCB</v>
      </c>
      <c r="D906" s="20" t="s">
        <v>431</v>
      </c>
      <c r="E906" s="22" t="s">
        <v>227</v>
      </c>
      <c r="F906" s="22" t="s">
        <v>57</v>
      </c>
      <c r="G906" s="22" t="s">
        <v>1488</v>
      </c>
      <c r="H906" s="24" t="s">
        <v>59</v>
      </c>
      <c r="I906" s="24" t="s">
        <v>59</v>
      </c>
      <c r="J906" s="24" t="s">
        <v>60</v>
      </c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6">
        <v>32.0</v>
      </c>
      <c r="B907" s="35" t="str">
        <f t="array" ref="B907">INDEX('Báo cáo 75 trang đích'!$B$2:$B$76,$A907)</f>
        <v>https://techcombank.com/thong-tin/blog/the-tin-dung-hoan-tien</v>
      </c>
      <c r="C907" s="5" t="str">
        <f t="array" ref="C907">INDEX('Báo cáo 75 trang đích'!$C$2:$C$76,$A907)</f>
        <v>CCB</v>
      </c>
      <c r="D907" s="20" t="s">
        <v>779</v>
      </c>
      <c r="E907" s="22" t="s">
        <v>781</v>
      </c>
      <c r="F907" s="22" t="s">
        <v>76</v>
      </c>
      <c r="G907" s="22" t="s">
        <v>1489</v>
      </c>
      <c r="H907" s="24" t="s">
        <v>59</v>
      </c>
      <c r="I907" s="24" t="s">
        <v>59</v>
      </c>
      <c r="J907" s="24" t="s">
        <v>60</v>
      </c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6">
        <v>32.0</v>
      </c>
      <c r="B908" s="35" t="str">
        <f t="array" ref="B908">INDEX('Báo cáo 75 trang đích'!$B$2:$B$76,$A908)</f>
        <v>https://techcombank.com/thong-tin/blog/the-tin-dung-hoan-tien</v>
      </c>
      <c r="C908" s="5" t="str">
        <f t="array" ref="C908">INDEX('Báo cáo 75 trang đích'!$C$2:$C$76,$A908)</f>
        <v>CCB</v>
      </c>
      <c r="D908" s="20" t="s">
        <v>646</v>
      </c>
      <c r="E908" s="22" t="s">
        <v>783</v>
      </c>
      <c r="F908" s="22" t="s">
        <v>76</v>
      </c>
      <c r="G908" s="22" t="s">
        <v>1490</v>
      </c>
      <c r="H908" s="24" t="s">
        <v>59</v>
      </c>
      <c r="I908" s="24" t="s">
        <v>59</v>
      </c>
      <c r="J908" s="24" t="s">
        <v>60</v>
      </c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6">
        <v>32.0</v>
      </c>
      <c r="B909" s="35" t="str">
        <f t="array" ref="B909">INDEX('Báo cáo 75 trang đích'!$B$2:$B$76,$A909)</f>
        <v>https://techcombank.com/thong-tin/blog/the-tin-dung-hoan-tien</v>
      </c>
      <c r="C909" s="5" t="str">
        <f t="array" ref="C909">INDEX('Báo cáo 75 trang đích'!$C$2:$C$76,$A909)</f>
        <v>CCB</v>
      </c>
      <c r="D909" s="20" t="s">
        <v>784</v>
      </c>
      <c r="E909" s="22" t="s">
        <v>227</v>
      </c>
      <c r="F909" s="22" t="s">
        <v>76</v>
      </c>
      <c r="G909" s="22" t="s">
        <v>1491</v>
      </c>
      <c r="H909" s="24" t="s">
        <v>59</v>
      </c>
      <c r="I909" s="24" t="s">
        <v>59</v>
      </c>
      <c r="J909" s="24" t="s">
        <v>60</v>
      </c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6">
        <v>32.0</v>
      </c>
      <c r="B910" s="35" t="str">
        <f t="array" ref="B910">INDEX('Báo cáo 75 trang đích'!$B$2:$B$76,$A910)</f>
        <v>https://techcombank.com/thong-tin/blog/the-tin-dung-hoan-tien</v>
      </c>
      <c r="C910" s="5" t="str">
        <f t="array" ref="C910">INDEX('Báo cáo 75 trang đích'!$C$2:$C$76,$A910)</f>
        <v>CCB</v>
      </c>
      <c r="D910" s="20" t="s">
        <v>786</v>
      </c>
      <c r="E910" s="22" t="s">
        <v>781</v>
      </c>
      <c r="F910" s="22" t="s">
        <v>76</v>
      </c>
      <c r="G910" s="22" t="s">
        <v>1492</v>
      </c>
      <c r="H910" s="24" t="s">
        <v>59</v>
      </c>
      <c r="I910" s="24" t="s">
        <v>59</v>
      </c>
      <c r="J910" s="24" t="s">
        <v>60</v>
      </c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6">
        <v>32.0</v>
      </c>
      <c r="B911" s="35" t="str">
        <f t="array" ref="B911">INDEX('Báo cáo 75 trang đích'!$B$2:$B$76,$A911)</f>
        <v>https://techcombank.com/thong-tin/blog/the-tin-dung-hoan-tien</v>
      </c>
      <c r="C911" s="5" t="str">
        <f t="array" ref="C911">INDEX('Báo cáo 75 trang đích'!$C$2:$C$76,$A911)</f>
        <v>CCB</v>
      </c>
      <c r="D911" s="20" t="s">
        <v>360</v>
      </c>
      <c r="E911" s="22" t="s">
        <v>783</v>
      </c>
      <c r="F911" s="22" t="s">
        <v>81</v>
      </c>
      <c r="G911" s="22" t="s">
        <v>1449</v>
      </c>
      <c r="H911" s="24" t="s">
        <v>59</v>
      </c>
      <c r="I911" s="24" t="s">
        <v>59</v>
      </c>
      <c r="J911" s="24" t="s">
        <v>60</v>
      </c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6">
        <v>32.0</v>
      </c>
      <c r="B912" s="35" t="str">
        <f t="array" ref="B912">INDEX('Báo cáo 75 trang đích'!$B$2:$B$76,$A912)</f>
        <v>https://techcombank.com/thong-tin/blog/the-tin-dung-hoan-tien</v>
      </c>
      <c r="C912" s="5" t="str">
        <f t="array" ref="C912">INDEX('Báo cáo 75 trang đích'!$C$2:$C$76,$A912)</f>
        <v>CCB</v>
      </c>
      <c r="D912" s="20" t="s">
        <v>1165</v>
      </c>
      <c r="E912" s="22" t="s">
        <v>227</v>
      </c>
      <c r="F912" s="22" t="s">
        <v>81</v>
      </c>
      <c r="G912" s="22" t="s">
        <v>1449</v>
      </c>
      <c r="H912" s="24" t="s">
        <v>59</v>
      </c>
      <c r="I912" s="24" t="s">
        <v>59</v>
      </c>
      <c r="J912" s="24" t="s">
        <v>60</v>
      </c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6">
        <v>32.0</v>
      </c>
      <c r="B913" s="35" t="str">
        <f t="array" ref="B913">INDEX('Báo cáo 75 trang đích'!$B$2:$B$76,$A913)</f>
        <v>https://techcombank.com/thong-tin/blog/the-tin-dung-hoan-tien</v>
      </c>
      <c r="C913" s="5" t="str">
        <f t="array" ref="C913">INDEX('Báo cáo 75 trang đích'!$C$2:$C$76,$A913)</f>
        <v>CCB</v>
      </c>
      <c r="D913" s="20" t="s">
        <v>1275</v>
      </c>
      <c r="E913" s="22" t="s">
        <v>781</v>
      </c>
      <c r="F913" s="22" t="s">
        <v>81</v>
      </c>
      <c r="G913" s="22" t="s">
        <v>1493</v>
      </c>
      <c r="H913" s="24" t="s">
        <v>59</v>
      </c>
      <c r="I913" s="24" t="s">
        <v>59</v>
      </c>
      <c r="J913" s="24" t="s">
        <v>60</v>
      </c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6">
        <v>32.0</v>
      </c>
      <c r="B914" s="35" t="str">
        <f t="array" ref="B914">INDEX('Báo cáo 75 trang đích'!$B$2:$B$76,$A914)</f>
        <v>https://techcombank.com/thong-tin/blog/the-tin-dung-hoan-tien</v>
      </c>
      <c r="C914" s="5" t="str">
        <f t="array" ref="C914">INDEX('Báo cáo 75 trang đích'!$C$2:$C$76,$A914)</f>
        <v>CCB</v>
      </c>
      <c r="D914" s="20" t="s">
        <v>774</v>
      </c>
      <c r="E914" s="22" t="s">
        <v>783</v>
      </c>
      <c r="F914" s="22" t="s">
        <v>81</v>
      </c>
      <c r="G914" s="22" t="s">
        <v>1449</v>
      </c>
      <c r="H914" s="24" t="s">
        <v>59</v>
      </c>
      <c r="I914" s="24" t="s">
        <v>59</v>
      </c>
      <c r="J914" s="24" t="s">
        <v>60</v>
      </c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6">
        <v>32.0</v>
      </c>
      <c r="B915" s="35" t="str">
        <f t="array" ref="B915">INDEX('Báo cáo 75 trang đích'!$B$2:$B$76,$A915)</f>
        <v>https://techcombank.com/thong-tin/blog/the-tin-dung-hoan-tien</v>
      </c>
      <c r="C915" s="5" t="str">
        <f t="array" ref="C915">INDEX('Báo cáo 75 trang đích'!$C$2:$C$76,$A915)</f>
        <v>CCB</v>
      </c>
      <c r="D915" s="20" t="s">
        <v>1451</v>
      </c>
      <c r="E915" s="22" t="s">
        <v>227</v>
      </c>
      <c r="F915" s="22" t="s">
        <v>81</v>
      </c>
      <c r="G915" s="22" t="s">
        <v>1449</v>
      </c>
      <c r="H915" s="24" t="s">
        <v>59</v>
      </c>
      <c r="I915" s="24" t="s">
        <v>59</v>
      </c>
      <c r="J915" s="24" t="s">
        <v>60</v>
      </c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6">
        <v>32.0</v>
      </c>
      <c r="B916" s="35" t="str">
        <f t="array" ref="B916">INDEX('Báo cáo 75 trang đích'!$B$2:$B$76,$A916)</f>
        <v>https://techcombank.com/thong-tin/blog/the-tin-dung-hoan-tien</v>
      </c>
      <c r="C916" s="5" t="str">
        <f t="array" ref="C916">INDEX('Báo cáo 75 trang đích'!$C$2:$C$76,$A916)</f>
        <v>CCB</v>
      </c>
      <c r="D916" s="20" t="s">
        <v>1452</v>
      </c>
      <c r="E916" s="22" t="s">
        <v>781</v>
      </c>
      <c r="F916" s="22" t="s">
        <v>81</v>
      </c>
      <c r="G916" s="22" t="s">
        <v>1449</v>
      </c>
      <c r="H916" s="24" t="s">
        <v>59</v>
      </c>
      <c r="I916" s="24" t="s">
        <v>59</v>
      </c>
      <c r="J916" s="24" t="s">
        <v>60</v>
      </c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6">
        <v>32.0</v>
      </c>
      <c r="B917" s="35" t="str">
        <f t="array" ref="B917">INDEX('Báo cáo 75 trang đích'!$B$2:$B$76,$A917)</f>
        <v>https://techcombank.com/thong-tin/blog/the-tin-dung-hoan-tien</v>
      </c>
      <c r="C917" s="5" t="str">
        <f t="array" ref="C917">INDEX('Báo cáo 75 trang đích'!$C$2:$C$76,$A917)</f>
        <v>CCB</v>
      </c>
      <c r="D917" s="20" t="s">
        <v>1453</v>
      </c>
      <c r="E917" s="22" t="s">
        <v>783</v>
      </c>
      <c r="F917" s="22" t="s">
        <v>81</v>
      </c>
      <c r="G917" s="22" t="s">
        <v>1449</v>
      </c>
      <c r="H917" s="24" t="s">
        <v>59</v>
      </c>
      <c r="I917" s="24" t="s">
        <v>59</v>
      </c>
      <c r="J917" s="24" t="s">
        <v>60</v>
      </c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6">
        <v>32.0</v>
      </c>
      <c r="B918" s="35" t="str">
        <f t="array" ref="B918">INDEX('Báo cáo 75 trang đích'!$B$2:$B$76,$A918)</f>
        <v>https://techcombank.com/thong-tin/blog/the-tin-dung-hoan-tien</v>
      </c>
      <c r="C918" s="5" t="str">
        <f t="array" ref="C918">INDEX('Báo cáo 75 trang đích'!$C$2:$C$76,$A918)</f>
        <v>CCB</v>
      </c>
      <c r="D918" s="20" t="s">
        <v>766</v>
      </c>
      <c r="E918" s="22" t="s">
        <v>227</v>
      </c>
      <c r="F918" s="22" t="s">
        <v>81</v>
      </c>
      <c r="G918" s="22" t="s">
        <v>1449</v>
      </c>
      <c r="H918" s="24" t="s">
        <v>59</v>
      </c>
      <c r="I918" s="24" t="s">
        <v>59</v>
      </c>
      <c r="J918" s="24" t="s">
        <v>60</v>
      </c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6">
        <v>32.0</v>
      </c>
      <c r="B919" s="35" t="str">
        <f t="array" ref="B919">INDEX('Báo cáo 75 trang đích'!$B$2:$B$76,$A919)</f>
        <v>https://techcombank.com/thong-tin/blog/the-tin-dung-hoan-tien</v>
      </c>
      <c r="C919" s="5" t="str">
        <f t="array" ref="C919">INDEX('Báo cáo 75 trang đích'!$C$2:$C$76,$A919)</f>
        <v>CCB</v>
      </c>
      <c r="D919" s="20" t="s">
        <v>1395</v>
      </c>
      <c r="E919" s="22" t="s">
        <v>781</v>
      </c>
      <c r="F919" s="22" t="s">
        <v>81</v>
      </c>
      <c r="G919" s="22" t="s">
        <v>1449</v>
      </c>
      <c r="H919" s="24" t="s">
        <v>59</v>
      </c>
      <c r="I919" s="24" t="s">
        <v>59</v>
      </c>
      <c r="J919" s="24" t="s">
        <v>60</v>
      </c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6">
        <v>32.0</v>
      </c>
      <c r="B920" s="35" t="str">
        <f t="array" ref="B920">INDEX('Báo cáo 75 trang đích'!$B$2:$B$76,$A920)</f>
        <v>https://techcombank.com/thong-tin/blog/the-tin-dung-hoan-tien</v>
      </c>
      <c r="C920" s="5" t="str">
        <f t="array" ref="C920">INDEX('Báo cáo 75 trang đích'!$C$2:$C$76,$A920)</f>
        <v>CCB</v>
      </c>
      <c r="D920" s="20" t="s">
        <v>1455</v>
      </c>
      <c r="E920" s="22" t="s">
        <v>783</v>
      </c>
      <c r="F920" s="22" t="s">
        <v>81</v>
      </c>
      <c r="G920" s="22" t="s">
        <v>1449</v>
      </c>
      <c r="H920" s="24" t="s">
        <v>59</v>
      </c>
      <c r="I920" s="24" t="s">
        <v>59</v>
      </c>
      <c r="J920" s="24" t="s">
        <v>60</v>
      </c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6">
        <v>32.0</v>
      </c>
      <c r="B921" s="35" t="str">
        <f t="array" ref="B921">INDEX('Báo cáo 75 trang đích'!$B$2:$B$76,$A921)</f>
        <v>https://techcombank.com/thong-tin/blog/the-tin-dung-hoan-tien</v>
      </c>
      <c r="C921" s="5" t="str">
        <f t="array" ref="C921">INDEX('Báo cáo 75 trang đích'!$C$2:$C$76,$A921)</f>
        <v>CCB</v>
      </c>
      <c r="D921" s="20" t="s">
        <v>1325</v>
      </c>
      <c r="E921" s="22" t="s">
        <v>227</v>
      </c>
      <c r="F921" s="22" t="s">
        <v>81</v>
      </c>
      <c r="G921" s="22" t="s">
        <v>1449</v>
      </c>
      <c r="H921" s="24" t="s">
        <v>59</v>
      </c>
      <c r="I921" s="24" t="s">
        <v>59</v>
      </c>
      <c r="J921" s="24" t="s">
        <v>60</v>
      </c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6">
        <v>32.0</v>
      </c>
      <c r="B922" s="35" t="str">
        <f t="array" ref="B922">INDEX('Báo cáo 75 trang đích'!$B$2:$B$76,$A922)</f>
        <v>https://techcombank.com/thong-tin/blog/the-tin-dung-hoan-tien</v>
      </c>
      <c r="C922" s="5" t="str">
        <f t="array" ref="C922">INDEX('Báo cáo 75 trang đích'!$C$2:$C$76,$A922)</f>
        <v>CCB</v>
      </c>
      <c r="D922" s="20" t="s">
        <v>1456</v>
      </c>
      <c r="E922" s="22" t="s">
        <v>781</v>
      </c>
      <c r="F922" s="22" t="s">
        <v>81</v>
      </c>
      <c r="G922" s="22" t="s">
        <v>1449</v>
      </c>
      <c r="H922" s="24" t="s">
        <v>59</v>
      </c>
      <c r="I922" s="24" t="s">
        <v>59</v>
      </c>
      <c r="J922" s="24" t="s">
        <v>60</v>
      </c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6">
        <v>32.0</v>
      </c>
      <c r="B923" s="35" t="str">
        <f t="array" ref="B923">INDEX('Báo cáo 75 trang đích'!$B$2:$B$76,$A923)</f>
        <v>https://techcombank.com/thong-tin/blog/the-tin-dung-hoan-tien</v>
      </c>
      <c r="C923" s="5" t="str">
        <f t="array" ref="C923">INDEX('Báo cáo 75 trang đích'!$C$2:$C$76,$A923)</f>
        <v>CCB</v>
      </c>
      <c r="D923" s="20" t="s">
        <v>1184</v>
      </c>
      <c r="E923" s="22" t="s">
        <v>783</v>
      </c>
      <c r="F923" s="22" t="s">
        <v>81</v>
      </c>
      <c r="G923" s="22" t="s">
        <v>1449</v>
      </c>
      <c r="H923" s="24" t="s">
        <v>59</v>
      </c>
      <c r="I923" s="24" t="s">
        <v>59</v>
      </c>
      <c r="J923" s="24" t="s">
        <v>60</v>
      </c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6">
        <v>32.0</v>
      </c>
      <c r="B924" s="35" t="str">
        <f t="array" ref="B924">INDEX('Báo cáo 75 trang đích'!$B$2:$B$76,$A924)</f>
        <v>https://techcombank.com/thong-tin/blog/the-tin-dung-hoan-tien</v>
      </c>
      <c r="C924" s="5" t="str">
        <f t="array" ref="C924">INDEX('Báo cáo 75 trang đích'!$C$2:$C$76,$A924)</f>
        <v>CCB</v>
      </c>
      <c r="D924" s="20" t="s">
        <v>1396</v>
      </c>
      <c r="E924" s="22" t="s">
        <v>227</v>
      </c>
      <c r="F924" s="22" t="s">
        <v>81</v>
      </c>
      <c r="G924" s="22" t="s">
        <v>1449</v>
      </c>
      <c r="H924" s="24" t="s">
        <v>59</v>
      </c>
      <c r="I924" s="24" t="s">
        <v>59</v>
      </c>
      <c r="J924" s="24" t="s">
        <v>60</v>
      </c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6">
        <v>32.0</v>
      </c>
      <c r="B925" s="35" t="str">
        <f t="array" ref="B925">INDEX('Báo cáo 75 trang đích'!$B$2:$B$76,$A925)</f>
        <v>https://techcombank.com/thong-tin/blog/the-tin-dung-hoan-tien</v>
      </c>
      <c r="C925" s="5" t="str">
        <f t="array" ref="C925">INDEX('Báo cáo 75 trang đích'!$C$2:$C$76,$A925)</f>
        <v>CCB</v>
      </c>
      <c r="D925" s="20" t="s">
        <v>802</v>
      </c>
      <c r="E925" s="22" t="s">
        <v>781</v>
      </c>
      <c r="F925" s="22" t="s">
        <v>81</v>
      </c>
      <c r="G925" s="22" t="s">
        <v>1449</v>
      </c>
      <c r="H925" s="24" t="s">
        <v>59</v>
      </c>
      <c r="I925" s="24" t="s">
        <v>59</v>
      </c>
      <c r="J925" s="24" t="s">
        <v>60</v>
      </c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6">
        <v>32.0</v>
      </c>
      <c r="B926" s="35" t="str">
        <f t="array" ref="B926">INDEX('Báo cáo 75 trang đích'!$B$2:$B$76,$A926)</f>
        <v>https://techcombank.com/thong-tin/blog/the-tin-dung-hoan-tien</v>
      </c>
      <c r="C926" s="5" t="str">
        <f t="array" ref="C926">INDEX('Báo cáo 75 trang đích'!$C$2:$C$76,$A926)</f>
        <v>CCB</v>
      </c>
      <c r="D926" s="20" t="s">
        <v>207</v>
      </c>
      <c r="E926" s="22" t="s">
        <v>783</v>
      </c>
      <c r="F926" s="22" t="s">
        <v>81</v>
      </c>
      <c r="G926" s="22" t="s">
        <v>1449</v>
      </c>
      <c r="H926" s="24" t="s">
        <v>59</v>
      </c>
      <c r="I926" s="24" t="s">
        <v>59</v>
      </c>
      <c r="J926" s="24" t="s">
        <v>60</v>
      </c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6">
        <v>32.0</v>
      </c>
      <c r="B927" s="35" t="str">
        <f t="array" ref="B927">INDEX('Báo cáo 75 trang đích'!$B$2:$B$76,$A927)</f>
        <v>https://techcombank.com/thong-tin/blog/the-tin-dung-hoan-tien</v>
      </c>
      <c r="C927" s="5" t="str">
        <f t="array" ref="C927">INDEX('Báo cáo 75 trang đích'!$C$2:$C$76,$A927)</f>
        <v>CCB</v>
      </c>
      <c r="D927" s="20" t="s">
        <v>763</v>
      </c>
      <c r="E927" s="22" t="s">
        <v>227</v>
      </c>
      <c r="F927" s="22" t="s">
        <v>81</v>
      </c>
      <c r="G927" s="22" t="s">
        <v>1449</v>
      </c>
      <c r="H927" s="24" t="s">
        <v>59</v>
      </c>
      <c r="I927" s="24" t="s">
        <v>59</v>
      </c>
      <c r="J927" s="24" t="s">
        <v>60</v>
      </c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6">
        <v>32.0</v>
      </c>
      <c r="B928" s="35" t="str">
        <f t="array" ref="B928">INDEX('Báo cáo 75 trang đích'!$B$2:$B$76,$A928)</f>
        <v>https://techcombank.com/thong-tin/blog/the-tin-dung-hoan-tien</v>
      </c>
      <c r="C928" s="5" t="str">
        <f t="array" ref="C928">INDEX('Báo cáo 75 trang đích'!$C$2:$C$76,$A928)</f>
        <v>CCB</v>
      </c>
      <c r="D928" s="20" t="s">
        <v>1459</v>
      </c>
      <c r="E928" s="22" t="s">
        <v>781</v>
      </c>
      <c r="F928" s="22" t="s">
        <v>81</v>
      </c>
      <c r="G928" s="22" t="s">
        <v>1449</v>
      </c>
      <c r="H928" s="24" t="s">
        <v>59</v>
      </c>
      <c r="I928" s="24" t="s">
        <v>59</v>
      </c>
      <c r="J928" s="24" t="s">
        <v>60</v>
      </c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6">
        <v>32.0</v>
      </c>
      <c r="B929" s="35" t="str">
        <f t="array" ref="B929">INDEX('Báo cáo 75 trang đích'!$B$2:$B$76,$A929)</f>
        <v>https://techcombank.com/thong-tin/blog/the-tin-dung-hoan-tien</v>
      </c>
      <c r="C929" s="5" t="str">
        <f t="array" ref="C929">INDEX('Báo cáo 75 trang đích'!$C$2:$C$76,$A929)</f>
        <v>CCB</v>
      </c>
      <c r="D929" s="20" t="s">
        <v>1460</v>
      </c>
      <c r="E929" s="22" t="s">
        <v>783</v>
      </c>
      <c r="F929" s="22" t="s">
        <v>81</v>
      </c>
      <c r="G929" s="22" t="s">
        <v>1449</v>
      </c>
      <c r="H929" s="24" t="s">
        <v>59</v>
      </c>
      <c r="I929" s="24" t="s">
        <v>59</v>
      </c>
      <c r="J929" s="24" t="s">
        <v>60</v>
      </c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6">
        <v>32.0</v>
      </c>
      <c r="B930" s="35" t="str">
        <f t="array" ref="B930">INDEX('Báo cáo 75 trang đích'!$B$2:$B$76,$A930)</f>
        <v>https://techcombank.com/thong-tin/blog/the-tin-dung-hoan-tien</v>
      </c>
      <c r="C930" s="5" t="str">
        <f t="array" ref="C930">INDEX('Báo cáo 75 trang đích'!$C$2:$C$76,$A930)</f>
        <v>CCB</v>
      </c>
      <c r="D930" s="20" t="s">
        <v>813</v>
      </c>
      <c r="E930" s="22" t="s">
        <v>227</v>
      </c>
      <c r="F930" s="22" t="s">
        <v>81</v>
      </c>
      <c r="G930" s="22" t="s">
        <v>1449</v>
      </c>
      <c r="H930" s="24" t="s">
        <v>59</v>
      </c>
      <c r="I930" s="24" t="s">
        <v>59</v>
      </c>
      <c r="J930" s="24" t="s">
        <v>60</v>
      </c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6">
        <v>32.0</v>
      </c>
      <c r="B931" s="35" t="str">
        <f t="array" ref="B931">INDEX('Báo cáo 75 trang đích'!$B$2:$B$76,$A931)</f>
        <v>https://techcombank.com/thong-tin/blog/the-tin-dung-hoan-tien</v>
      </c>
      <c r="C931" s="5" t="str">
        <f t="array" ref="C931">INDEX('Báo cáo 75 trang đích'!$C$2:$C$76,$A931)</f>
        <v>CCB</v>
      </c>
      <c r="D931" s="20" t="s">
        <v>738</v>
      </c>
      <c r="E931" s="22" t="s">
        <v>781</v>
      </c>
      <c r="F931" s="22" t="s">
        <v>81</v>
      </c>
      <c r="G931" s="22" t="s">
        <v>1449</v>
      </c>
      <c r="H931" s="24" t="s">
        <v>59</v>
      </c>
      <c r="I931" s="24" t="s">
        <v>59</v>
      </c>
      <c r="J931" s="24" t="s">
        <v>60</v>
      </c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6">
        <v>32.0</v>
      </c>
      <c r="B932" s="35" t="str">
        <f t="array" ref="B932">INDEX('Báo cáo 75 trang đích'!$B$2:$B$76,$A932)</f>
        <v>https://techcombank.com/thong-tin/blog/the-tin-dung-hoan-tien</v>
      </c>
      <c r="C932" s="5" t="str">
        <f t="array" ref="C932">INDEX('Báo cáo 75 trang đích'!$C$2:$C$76,$A932)</f>
        <v>CCB</v>
      </c>
      <c r="D932" s="20" t="s">
        <v>1277</v>
      </c>
      <c r="E932" s="22" t="s">
        <v>783</v>
      </c>
      <c r="F932" s="22" t="s">
        <v>81</v>
      </c>
      <c r="G932" s="22" t="s">
        <v>1485</v>
      </c>
      <c r="H932" s="24" t="s">
        <v>59</v>
      </c>
      <c r="I932" s="24" t="s">
        <v>59</v>
      </c>
      <c r="J932" s="24" t="s">
        <v>60</v>
      </c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6">
        <v>32.0</v>
      </c>
      <c r="B933" s="35" t="str">
        <f t="array" ref="B933">INDEX('Báo cáo 75 trang đích'!$B$2:$B$76,$A933)</f>
        <v>https://techcombank.com/thong-tin/blog/the-tin-dung-hoan-tien</v>
      </c>
      <c r="C933" s="5" t="str">
        <f t="array" ref="C933">INDEX('Báo cáo 75 trang đích'!$C$2:$C$76,$A933)</f>
        <v>CCB</v>
      </c>
      <c r="D933" s="20" t="s">
        <v>281</v>
      </c>
      <c r="E933" s="22" t="s">
        <v>227</v>
      </c>
      <c r="F933" s="22" t="s">
        <v>81</v>
      </c>
      <c r="G933" s="22" t="s">
        <v>1494</v>
      </c>
      <c r="H933" s="24" t="s">
        <v>59</v>
      </c>
      <c r="I933" s="24" t="s">
        <v>59</v>
      </c>
      <c r="J933" s="24" t="s">
        <v>60</v>
      </c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6">
        <v>32.0</v>
      </c>
      <c r="B934" s="35" t="str">
        <f t="array" ref="B934">INDEX('Báo cáo 75 trang đích'!$B$2:$B$76,$A934)</f>
        <v>https://techcombank.com/thong-tin/blog/the-tin-dung-hoan-tien</v>
      </c>
      <c r="C934" s="5" t="str">
        <f t="array" ref="C934">INDEX('Báo cáo 75 trang đích'!$C$2:$C$76,$A934)</f>
        <v>CCB</v>
      </c>
      <c r="D934" s="20" t="s">
        <v>215</v>
      </c>
      <c r="E934" s="22" t="s">
        <v>781</v>
      </c>
      <c r="F934" s="22" t="s">
        <v>81</v>
      </c>
      <c r="G934" s="22" t="s">
        <v>1449</v>
      </c>
      <c r="H934" s="24" t="s">
        <v>59</v>
      </c>
      <c r="I934" s="24" t="s">
        <v>59</v>
      </c>
      <c r="J934" s="24" t="s">
        <v>60</v>
      </c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6">
        <v>32.0</v>
      </c>
      <c r="B935" s="35" t="str">
        <f t="array" ref="B935">INDEX('Báo cáo 75 trang đích'!$B$2:$B$76,$A935)</f>
        <v>https://techcombank.com/thong-tin/blog/the-tin-dung-hoan-tien</v>
      </c>
      <c r="C935" s="5" t="str">
        <f t="array" ref="C935">INDEX('Báo cáo 75 trang đích'!$C$2:$C$76,$A935)</f>
        <v>CCB</v>
      </c>
      <c r="D935" s="20" t="s">
        <v>1461</v>
      </c>
      <c r="E935" s="22" t="s">
        <v>783</v>
      </c>
      <c r="F935" s="22" t="s">
        <v>81</v>
      </c>
      <c r="G935" s="22" t="s">
        <v>1449</v>
      </c>
      <c r="H935" s="24" t="s">
        <v>59</v>
      </c>
      <c r="I935" s="24" t="s">
        <v>59</v>
      </c>
      <c r="J935" s="24" t="s">
        <v>60</v>
      </c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6">
        <v>32.0</v>
      </c>
      <c r="B936" s="35" t="str">
        <f t="array" ref="B936">INDEX('Báo cáo 75 trang đích'!$B$2:$B$76,$A936)</f>
        <v>https://techcombank.com/thong-tin/blog/the-tin-dung-hoan-tien</v>
      </c>
      <c r="C936" s="5" t="str">
        <f t="array" ref="C936">INDEX('Báo cáo 75 trang đích'!$C$2:$C$76,$A936)</f>
        <v>CCB</v>
      </c>
      <c r="D936" s="20" t="s">
        <v>1462</v>
      </c>
      <c r="E936" s="22" t="s">
        <v>227</v>
      </c>
      <c r="F936" s="22" t="s">
        <v>81</v>
      </c>
      <c r="G936" s="22" t="s">
        <v>1449</v>
      </c>
      <c r="H936" s="24" t="s">
        <v>59</v>
      </c>
      <c r="I936" s="24" t="s">
        <v>59</v>
      </c>
      <c r="J936" s="24" t="s">
        <v>60</v>
      </c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6">
        <v>32.0</v>
      </c>
      <c r="B937" s="35" t="str">
        <f t="array" ref="B937">INDEX('Báo cáo 75 trang đích'!$B$2:$B$76,$A937)</f>
        <v>https://techcombank.com/thong-tin/blog/the-tin-dung-hoan-tien</v>
      </c>
      <c r="C937" s="5" t="str">
        <f t="array" ref="C937">INDEX('Báo cáo 75 trang đích'!$C$2:$C$76,$A937)</f>
        <v>CCB</v>
      </c>
      <c r="D937" s="20" t="s">
        <v>1463</v>
      </c>
      <c r="E937" s="22" t="s">
        <v>781</v>
      </c>
      <c r="F937" s="22" t="s">
        <v>81</v>
      </c>
      <c r="G937" s="22" t="s">
        <v>1449</v>
      </c>
      <c r="H937" s="24" t="s">
        <v>59</v>
      </c>
      <c r="I937" s="24" t="s">
        <v>59</v>
      </c>
      <c r="J937" s="24" t="s">
        <v>60</v>
      </c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6">
        <v>32.0</v>
      </c>
      <c r="B938" s="35" t="str">
        <f t="array" ref="B938">INDEX('Báo cáo 75 trang đích'!$B$2:$B$76,$A938)</f>
        <v>https://techcombank.com/thong-tin/blog/the-tin-dung-hoan-tien</v>
      </c>
      <c r="C938" s="5" t="str">
        <f t="array" ref="C938">INDEX('Báo cáo 75 trang đích'!$C$2:$C$76,$A938)</f>
        <v>CCB</v>
      </c>
      <c r="D938" s="20" t="s">
        <v>269</v>
      </c>
      <c r="E938" s="22" t="s">
        <v>783</v>
      </c>
      <c r="F938" s="22" t="s">
        <v>81</v>
      </c>
      <c r="G938" s="22" t="s">
        <v>1449</v>
      </c>
      <c r="H938" s="24" t="s">
        <v>59</v>
      </c>
      <c r="I938" s="24" t="s">
        <v>59</v>
      </c>
      <c r="J938" s="24" t="s">
        <v>60</v>
      </c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6">
        <v>32.0</v>
      </c>
      <c r="B939" s="35" t="str">
        <f t="array" ref="B939">INDEX('Báo cáo 75 trang đích'!$B$2:$B$76,$A939)</f>
        <v>https://techcombank.com/thong-tin/blog/the-tin-dung-hoan-tien</v>
      </c>
      <c r="C939" s="5" t="str">
        <f t="array" ref="C939">INDEX('Báo cáo 75 trang đích'!$C$2:$C$76,$A939)</f>
        <v>CCB</v>
      </c>
      <c r="D939" s="20" t="s">
        <v>1401</v>
      </c>
      <c r="E939" s="22" t="s">
        <v>227</v>
      </c>
      <c r="F939" s="22" t="s">
        <v>81</v>
      </c>
      <c r="G939" s="22" t="s">
        <v>1449</v>
      </c>
      <c r="H939" s="24" t="s">
        <v>59</v>
      </c>
      <c r="I939" s="24" t="s">
        <v>59</v>
      </c>
      <c r="J939" s="24" t="s">
        <v>60</v>
      </c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6">
        <v>32.0</v>
      </c>
      <c r="B940" s="35" t="str">
        <f t="array" ref="B940">INDEX('Báo cáo 75 trang đích'!$B$2:$B$76,$A940)</f>
        <v>https://techcombank.com/thong-tin/blog/the-tin-dung-hoan-tien</v>
      </c>
      <c r="C940" s="5" t="str">
        <f t="array" ref="C940">INDEX('Báo cáo 75 trang đích'!$C$2:$C$76,$A940)</f>
        <v>CCB</v>
      </c>
      <c r="D940" s="20" t="s">
        <v>1280</v>
      </c>
      <c r="E940" s="22" t="s">
        <v>781</v>
      </c>
      <c r="F940" s="22" t="s">
        <v>81</v>
      </c>
      <c r="G940" s="22" t="s">
        <v>1494</v>
      </c>
      <c r="H940" s="24" t="s">
        <v>59</v>
      </c>
      <c r="I940" s="24" t="s">
        <v>59</v>
      </c>
      <c r="J940" s="24" t="s">
        <v>60</v>
      </c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6">
        <v>32.0</v>
      </c>
      <c r="B941" s="35" t="str">
        <f t="array" ref="B941">INDEX('Báo cáo 75 trang đích'!$B$2:$B$76,$A941)</f>
        <v>https://techcombank.com/thong-tin/blog/the-tin-dung-hoan-tien</v>
      </c>
      <c r="C941" s="5" t="str">
        <f t="array" ref="C941">INDEX('Báo cáo 75 trang đích'!$C$2:$C$76,$A941)</f>
        <v>CCB</v>
      </c>
      <c r="D941" s="20" t="s">
        <v>771</v>
      </c>
      <c r="E941" s="22" t="s">
        <v>783</v>
      </c>
      <c r="F941" s="22" t="s">
        <v>81</v>
      </c>
      <c r="G941" s="22" t="s">
        <v>1495</v>
      </c>
      <c r="H941" s="24" t="s">
        <v>59</v>
      </c>
      <c r="I941" s="24" t="s">
        <v>59</v>
      </c>
      <c r="J941" s="24" t="s">
        <v>60</v>
      </c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6">
        <v>32.0</v>
      </c>
      <c r="B942" s="35" t="str">
        <f t="array" ref="B942">INDEX('Báo cáo 75 trang đích'!$B$2:$B$76,$A942)</f>
        <v>https://techcombank.com/thong-tin/blog/the-tin-dung-hoan-tien</v>
      </c>
      <c r="C942" s="5" t="str">
        <f t="array" ref="C942">INDEX('Báo cáo 75 trang đích'!$C$2:$C$76,$A942)</f>
        <v>CCB</v>
      </c>
      <c r="D942" s="20" t="s">
        <v>1464</v>
      </c>
      <c r="E942" s="22" t="s">
        <v>227</v>
      </c>
      <c r="F942" s="22" t="s">
        <v>81</v>
      </c>
      <c r="G942" s="22" t="s">
        <v>1449</v>
      </c>
      <c r="H942" s="24" t="s">
        <v>59</v>
      </c>
      <c r="I942" s="24" t="s">
        <v>59</v>
      </c>
      <c r="J942" s="24" t="s">
        <v>60</v>
      </c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6">
        <v>32.0</v>
      </c>
      <c r="B943" s="35" t="str">
        <f t="array" ref="B943">INDEX('Báo cáo 75 trang đích'!$B$2:$B$76,$A943)</f>
        <v>https://techcombank.com/thong-tin/blog/the-tin-dung-hoan-tien</v>
      </c>
      <c r="C943" s="5" t="str">
        <f t="array" ref="C943">INDEX('Báo cáo 75 trang đích'!$C$2:$C$76,$A943)</f>
        <v>CCB</v>
      </c>
      <c r="D943" s="20" t="s">
        <v>749</v>
      </c>
      <c r="E943" s="22" t="s">
        <v>781</v>
      </c>
      <c r="F943" s="22" t="s">
        <v>81</v>
      </c>
      <c r="G943" s="22" t="s">
        <v>1449</v>
      </c>
      <c r="H943" s="24" t="s">
        <v>59</v>
      </c>
      <c r="I943" s="24" t="s">
        <v>59</v>
      </c>
      <c r="J943" s="24" t="s">
        <v>60</v>
      </c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6">
        <v>32.0</v>
      </c>
      <c r="B944" s="35" t="str">
        <f t="array" ref="B944">INDEX('Báo cáo 75 trang đích'!$B$2:$B$76,$A944)</f>
        <v>https://techcombank.com/thong-tin/blog/the-tin-dung-hoan-tien</v>
      </c>
      <c r="C944" s="5" t="str">
        <f t="array" ref="C944">INDEX('Báo cáo 75 trang đích'!$C$2:$C$76,$A944)</f>
        <v>CCB</v>
      </c>
      <c r="D944" s="20" t="s">
        <v>776</v>
      </c>
      <c r="E944" s="22" t="s">
        <v>783</v>
      </c>
      <c r="F944" s="22" t="s">
        <v>81</v>
      </c>
      <c r="G944" s="22" t="s">
        <v>1449</v>
      </c>
      <c r="H944" s="24" t="s">
        <v>59</v>
      </c>
      <c r="I944" s="24" t="s">
        <v>59</v>
      </c>
      <c r="J944" s="24" t="s">
        <v>60</v>
      </c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6">
        <v>32.0</v>
      </c>
      <c r="B945" s="35" t="str">
        <f t="array" ref="B945">INDEX('Báo cáo 75 trang đích'!$B$2:$B$76,$A945)</f>
        <v>https://techcombank.com/thong-tin/blog/the-tin-dung-hoan-tien</v>
      </c>
      <c r="C945" s="5" t="str">
        <f t="array" ref="C945">INDEX('Báo cáo 75 trang đích'!$C$2:$C$76,$A945)</f>
        <v>CCB</v>
      </c>
      <c r="D945" s="20" t="s">
        <v>1465</v>
      </c>
      <c r="E945" s="22" t="s">
        <v>227</v>
      </c>
      <c r="F945" s="22" t="s">
        <v>81</v>
      </c>
      <c r="G945" s="22" t="s">
        <v>1449</v>
      </c>
      <c r="H945" s="24" t="s">
        <v>59</v>
      </c>
      <c r="I945" s="24" t="s">
        <v>59</v>
      </c>
      <c r="J945" s="24" t="s">
        <v>60</v>
      </c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6">
        <v>32.0</v>
      </c>
      <c r="B946" s="35" t="str">
        <f t="array" ref="B946">INDEX('Báo cáo 75 trang đích'!$B$2:$B$76,$A946)</f>
        <v>https://techcombank.com/thong-tin/blog/the-tin-dung-hoan-tien</v>
      </c>
      <c r="C946" s="5" t="str">
        <f t="array" ref="C946">INDEX('Báo cáo 75 trang đích'!$C$2:$C$76,$A946)</f>
        <v>CCB</v>
      </c>
      <c r="D946" s="20" t="s">
        <v>811</v>
      </c>
      <c r="E946" s="22" t="s">
        <v>781</v>
      </c>
      <c r="F946" s="22" t="s">
        <v>81</v>
      </c>
      <c r="G946" s="22" t="s">
        <v>1449</v>
      </c>
      <c r="H946" s="24" t="s">
        <v>59</v>
      </c>
      <c r="I946" s="24" t="s">
        <v>59</v>
      </c>
      <c r="J946" s="24" t="s">
        <v>60</v>
      </c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6">
        <v>32.0</v>
      </c>
      <c r="B947" s="35" t="str">
        <f t="array" ref="B947">INDEX('Báo cáo 75 trang đích'!$B$2:$B$76,$A947)</f>
        <v>https://techcombank.com/thong-tin/blog/the-tin-dung-hoan-tien</v>
      </c>
      <c r="C947" s="5" t="str">
        <f t="array" ref="C947">INDEX('Báo cáo 75 trang đích'!$C$2:$C$76,$A947)</f>
        <v>CCB</v>
      </c>
      <c r="D947" s="20" t="s">
        <v>1466</v>
      </c>
      <c r="E947" s="22" t="s">
        <v>783</v>
      </c>
      <c r="F947" s="22" t="s">
        <v>81</v>
      </c>
      <c r="G947" s="22" t="s">
        <v>1449</v>
      </c>
      <c r="H947" s="24" t="s">
        <v>59</v>
      </c>
      <c r="I947" s="24" t="s">
        <v>59</v>
      </c>
      <c r="J947" s="24" t="s">
        <v>60</v>
      </c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6">
        <v>32.0</v>
      </c>
      <c r="B948" s="35" t="str">
        <f t="array" ref="B948">INDEX('Báo cáo 75 trang đích'!$B$2:$B$76,$A948)</f>
        <v>https://techcombank.com/thong-tin/blog/the-tin-dung-hoan-tien</v>
      </c>
      <c r="C948" s="5" t="str">
        <f t="array" ref="C948">INDEX('Báo cáo 75 trang đích'!$C$2:$C$76,$A948)</f>
        <v>CCB</v>
      </c>
      <c r="D948" s="20" t="s">
        <v>1331</v>
      </c>
      <c r="E948" s="22" t="s">
        <v>227</v>
      </c>
      <c r="F948" s="22" t="s">
        <v>81</v>
      </c>
      <c r="G948" s="22" t="s">
        <v>1449</v>
      </c>
      <c r="H948" s="24" t="s">
        <v>59</v>
      </c>
      <c r="I948" s="24" t="s">
        <v>59</v>
      </c>
      <c r="J948" s="24" t="s">
        <v>60</v>
      </c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6">
        <v>32.0</v>
      </c>
      <c r="B949" s="35" t="str">
        <f t="array" ref="B949">INDEX('Báo cáo 75 trang đích'!$B$2:$B$76,$A949)</f>
        <v>https://techcombank.com/thong-tin/blog/the-tin-dung-hoan-tien</v>
      </c>
      <c r="C949" s="5" t="str">
        <f t="array" ref="C949">INDEX('Báo cáo 75 trang đích'!$C$2:$C$76,$A949)</f>
        <v>CCB</v>
      </c>
      <c r="D949" s="20" t="s">
        <v>1468</v>
      </c>
      <c r="E949" s="22" t="s">
        <v>781</v>
      </c>
      <c r="F949" s="22" t="s">
        <v>81</v>
      </c>
      <c r="G949" s="22" t="s">
        <v>1449</v>
      </c>
      <c r="H949" s="24" t="s">
        <v>59</v>
      </c>
      <c r="I949" s="24" t="s">
        <v>59</v>
      </c>
      <c r="J949" s="24" t="s">
        <v>60</v>
      </c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6">
        <v>32.0</v>
      </c>
      <c r="B950" s="35" t="str">
        <f t="array" ref="B950">INDEX('Báo cáo 75 trang đích'!$B$2:$B$76,$A950)</f>
        <v>https://techcombank.com/thong-tin/blog/the-tin-dung-hoan-tien</v>
      </c>
      <c r="C950" s="5" t="str">
        <f t="array" ref="C950">INDEX('Báo cáo 75 trang đích'!$C$2:$C$76,$A950)</f>
        <v>CCB</v>
      </c>
      <c r="D950" s="20" t="s">
        <v>198</v>
      </c>
      <c r="E950" s="22" t="s">
        <v>783</v>
      </c>
      <c r="F950" s="22" t="s">
        <v>81</v>
      </c>
      <c r="G950" s="22" t="s">
        <v>1449</v>
      </c>
      <c r="H950" s="24" t="s">
        <v>59</v>
      </c>
      <c r="I950" s="24" t="s">
        <v>59</v>
      </c>
      <c r="J950" s="24" t="s">
        <v>60</v>
      </c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6">
        <v>32.0</v>
      </c>
      <c r="B951" s="35" t="str">
        <f t="array" ref="B951">INDEX('Báo cáo 75 trang đích'!$B$2:$B$76,$A951)</f>
        <v>https://techcombank.com/thong-tin/blog/the-tin-dung-hoan-tien</v>
      </c>
      <c r="C951" s="5" t="str">
        <f t="array" ref="C951">INDEX('Báo cáo 75 trang đích'!$C$2:$C$76,$A951)</f>
        <v>CCB</v>
      </c>
      <c r="D951" s="20" t="s">
        <v>1469</v>
      </c>
      <c r="E951" s="22" t="s">
        <v>227</v>
      </c>
      <c r="F951" s="22" t="s">
        <v>81</v>
      </c>
      <c r="G951" s="22" t="s">
        <v>1449</v>
      </c>
      <c r="H951" s="24" t="s">
        <v>59</v>
      </c>
      <c r="I951" s="24" t="s">
        <v>59</v>
      </c>
      <c r="J951" s="24" t="s">
        <v>60</v>
      </c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6">
        <v>32.0</v>
      </c>
      <c r="B952" s="35" t="str">
        <f t="array" ref="B952">INDEX('Báo cáo 75 trang đích'!$B$2:$B$76,$A952)</f>
        <v>https://techcombank.com/thong-tin/blog/the-tin-dung-hoan-tien</v>
      </c>
      <c r="C952" s="5" t="str">
        <f t="array" ref="C952">INDEX('Báo cáo 75 trang đích'!$C$2:$C$76,$A952)</f>
        <v>CCB</v>
      </c>
      <c r="D952" s="20" t="s">
        <v>187</v>
      </c>
      <c r="E952" s="22" t="s">
        <v>781</v>
      </c>
      <c r="F952" s="22" t="s">
        <v>81</v>
      </c>
      <c r="G952" s="22" t="s">
        <v>1449</v>
      </c>
      <c r="H952" s="24" t="s">
        <v>59</v>
      </c>
      <c r="I952" s="24" t="s">
        <v>59</v>
      </c>
      <c r="J952" s="24" t="s">
        <v>60</v>
      </c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6">
        <v>32.0</v>
      </c>
      <c r="B953" s="35" t="str">
        <f t="array" ref="B953">INDEX('Báo cáo 75 trang đích'!$B$2:$B$76,$A953)</f>
        <v>https://techcombank.com/thong-tin/blog/the-tin-dung-hoan-tien</v>
      </c>
      <c r="C953" s="5" t="str">
        <f t="array" ref="C953">INDEX('Báo cáo 75 trang đích'!$C$2:$C$76,$A953)</f>
        <v>CCB</v>
      </c>
      <c r="D953" s="20" t="s">
        <v>817</v>
      </c>
      <c r="E953" s="22" t="s">
        <v>783</v>
      </c>
      <c r="F953" s="22" t="s">
        <v>81</v>
      </c>
      <c r="G953" s="22" t="s">
        <v>1449</v>
      </c>
      <c r="H953" s="24" t="s">
        <v>59</v>
      </c>
      <c r="I953" s="24" t="s">
        <v>59</v>
      </c>
      <c r="J953" s="24" t="s">
        <v>60</v>
      </c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6">
        <v>32.0</v>
      </c>
      <c r="B954" s="35" t="str">
        <f t="array" ref="B954">INDEX('Báo cáo 75 trang đích'!$B$2:$B$76,$A954)</f>
        <v>https://techcombank.com/thong-tin/blog/the-tin-dung-hoan-tien</v>
      </c>
      <c r="C954" s="5" t="str">
        <f t="array" ref="C954">INDEX('Báo cáo 75 trang đích'!$C$2:$C$76,$A954)</f>
        <v>CCB</v>
      </c>
      <c r="D954" s="20" t="s">
        <v>1470</v>
      </c>
      <c r="E954" s="22" t="s">
        <v>227</v>
      </c>
      <c r="F954" s="22" t="s">
        <v>81</v>
      </c>
      <c r="G954" s="22" t="s">
        <v>1449</v>
      </c>
      <c r="H954" s="24" t="s">
        <v>59</v>
      </c>
      <c r="I954" s="24" t="s">
        <v>59</v>
      </c>
      <c r="J954" s="24" t="s">
        <v>60</v>
      </c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6">
        <v>32.0</v>
      </c>
      <c r="B955" s="35" t="str">
        <f t="array" ref="B955">INDEX('Báo cáo 75 trang đích'!$B$2:$B$76,$A955)</f>
        <v>https://techcombank.com/thong-tin/blog/the-tin-dung-hoan-tien</v>
      </c>
      <c r="C955" s="5" t="str">
        <f t="array" ref="C955">INDEX('Báo cáo 75 trang đích'!$C$2:$C$76,$A955)</f>
        <v>CCB</v>
      </c>
      <c r="D955" s="20" t="s">
        <v>1471</v>
      </c>
      <c r="E955" s="22" t="s">
        <v>781</v>
      </c>
      <c r="F955" s="22" t="s">
        <v>81</v>
      </c>
      <c r="G955" s="22" t="s">
        <v>1449</v>
      </c>
      <c r="H955" s="24" t="s">
        <v>59</v>
      </c>
      <c r="I955" s="24" t="s">
        <v>59</v>
      </c>
      <c r="J955" s="24" t="s">
        <v>60</v>
      </c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6">
        <v>32.0</v>
      </c>
      <c r="B956" s="35" t="str">
        <f t="array" ref="B956">INDEX('Báo cáo 75 trang đích'!$B$2:$B$76,$A956)</f>
        <v>https://techcombank.com/thong-tin/blog/the-tin-dung-hoan-tien</v>
      </c>
      <c r="C956" s="5" t="str">
        <f t="array" ref="C956">INDEX('Báo cáo 75 trang đích'!$C$2:$C$76,$A956)</f>
        <v>CCB</v>
      </c>
      <c r="D956" s="20" t="s">
        <v>752</v>
      </c>
      <c r="E956" s="22" t="s">
        <v>783</v>
      </c>
      <c r="F956" s="22" t="s">
        <v>81</v>
      </c>
      <c r="G956" s="22" t="s">
        <v>1449</v>
      </c>
      <c r="H956" s="24" t="s">
        <v>59</v>
      </c>
      <c r="I956" s="24" t="s">
        <v>59</v>
      </c>
      <c r="J956" s="24" t="s">
        <v>60</v>
      </c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6">
        <v>32.0</v>
      </c>
      <c r="B957" s="35" t="str">
        <f t="array" ref="B957">INDEX('Báo cáo 75 trang đích'!$B$2:$B$76,$A957)</f>
        <v>https://techcombank.com/thong-tin/blog/the-tin-dung-hoan-tien</v>
      </c>
      <c r="C957" s="5" t="str">
        <f t="array" ref="C957">INDEX('Báo cáo 75 trang đích'!$C$2:$C$76,$A957)</f>
        <v>CCB</v>
      </c>
      <c r="D957" s="20" t="s">
        <v>747</v>
      </c>
      <c r="E957" s="22" t="s">
        <v>227</v>
      </c>
      <c r="F957" s="22" t="s">
        <v>81</v>
      </c>
      <c r="G957" s="22" t="s">
        <v>1449</v>
      </c>
      <c r="H957" s="24" t="s">
        <v>59</v>
      </c>
      <c r="I957" s="24" t="s">
        <v>59</v>
      </c>
      <c r="J957" s="24" t="s">
        <v>60</v>
      </c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6">
        <v>32.0</v>
      </c>
      <c r="B958" s="35" t="str">
        <f t="array" ref="B958">INDEX('Báo cáo 75 trang đích'!$B$2:$B$76,$A958)</f>
        <v>https://techcombank.com/thong-tin/blog/the-tin-dung-hoan-tien</v>
      </c>
      <c r="C958" s="5" t="str">
        <f t="array" ref="C958">INDEX('Báo cáo 75 trang đích'!$C$2:$C$76,$A958)</f>
        <v>CCB</v>
      </c>
      <c r="D958" s="20" t="s">
        <v>1283</v>
      </c>
      <c r="E958" s="22" t="s">
        <v>781</v>
      </c>
      <c r="F958" s="22" t="s">
        <v>81</v>
      </c>
      <c r="G958" s="22" t="s">
        <v>1449</v>
      </c>
      <c r="H958" s="24" t="s">
        <v>59</v>
      </c>
      <c r="I958" s="24" t="s">
        <v>59</v>
      </c>
      <c r="J958" s="24" t="s">
        <v>60</v>
      </c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6">
        <v>32.0</v>
      </c>
      <c r="B959" s="35" t="str">
        <f t="array" ref="B959">INDEX('Báo cáo 75 trang đích'!$B$2:$B$76,$A959)</f>
        <v>https://techcombank.com/thong-tin/blog/the-tin-dung-hoan-tien</v>
      </c>
      <c r="C959" s="5" t="str">
        <f t="array" ref="C959">INDEX('Báo cáo 75 trang đích'!$C$2:$C$76,$A959)</f>
        <v>CCB</v>
      </c>
      <c r="D959" s="20" t="s">
        <v>700</v>
      </c>
      <c r="E959" s="22" t="s">
        <v>783</v>
      </c>
      <c r="F959" s="22" t="s">
        <v>81</v>
      </c>
      <c r="G959" s="22" t="s">
        <v>1449</v>
      </c>
      <c r="H959" s="24" t="s">
        <v>59</v>
      </c>
      <c r="I959" s="24" t="s">
        <v>59</v>
      </c>
      <c r="J959" s="24" t="s">
        <v>60</v>
      </c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6">
        <v>32.0</v>
      </c>
      <c r="B960" s="35" t="str">
        <f t="array" ref="B960">INDEX('Báo cáo 75 trang đích'!$B$2:$B$76,$A960)</f>
        <v>https://techcombank.com/thong-tin/blog/the-tin-dung-hoan-tien</v>
      </c>
      <c r="C960" s="5" t="str">
        <f t="array" ref="C960">INDEX('Báo cáo 75 trang đích'!$C$2:$C$76,$A960)</f>
        <v>CCB</v>
      </c>
      <c r="D960" s="20" t="s">
        <v>1472</v>
      </c>
      <c r="E960" s="22" t="s">
        <v>227</v>
      </c>
      <c r="F960" s="22" t="s">
        <v>81</v>
      </c>
      <c r="G960" s="22" t="s">
        <v>1449</v>
      </c>
      <c r="H960" s="24" t="s">
        <v>59</v>
      </c>
      <c r="I960" s="24" t="s">
        <v>59</v>
      </c>
      <c r="J960" s="24" t="s">
        <v>60</v>
      </c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6">
        <v>32.0</v>
      </c>
      <c r="B961" s="35" t="str">
        <f t="array" ref="B961">INDEX('Báo cáo 75 trang đích'!$B$2:$B$76,$A961)</f>
        <v>https://techcombank.com/thong-tin/blog/the-tin-dung-hoan-tien</v>
      </c>
      <c r="C961" s="5" t="str">
        <f t="array" ref="C961">INDEX('Báo cáo 75 trang đích'!$C$2:$C$76,$A961)</f>
        <v>CCB</v>
      </c>
      <c r="D961" s="20" t="s">
        <v>758</v>
      </c>
      <c r="E961" s="22" t="s">
        <v>781</v>
      </c>
      <c r="F961" s="22" t="s">
        <v>81</v>
      </c>
      <c r="G961" s="22" t="s">
        <v>1449</v>
      </c>
      <c r="H961" s="24" t="s">
        <v>59</v>
      </c>
      <c r="I961" s="24" t="s">
        <v>59</v>
      </c>
      <c r="J961" s="24" t="s">
        <v>60</v>
      </c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6">
        <v>32.0</v>
      </c>
      <c r="B962" s="35" t="str">
        <f t="array" ref="B962">INDEX('Báo cáo 75 trang đích'!$B$2:$B$76,$A962)</f>
        <v>https://techcombank.com/thong-tin/blog/the-tin-dung-hoan-tien</v>
      </c>
      <c r="C962" s="5" t="str">
        <f t="array" ref="C962">INDEX('Báo cáo 75 trang đích'!$C$2:$C$76,$A962)</f>
        <v>CCB</v>
      </c>
      <c r="D962" s="20" t="s">
        <v>1473</v>
      </c>
      <c r="E962" s="22" t="s">
        <v>783</v>
      </c>
      <c r="F962" s="22" t="s">
        <v>81</v>
      </c>
      <c r="G962" s="22" t="s">
        <v>1449</v>
      </c>
      <c r="H962" s="24" t="s">
        <v>59</v>
      </c>
      <c r="I962" s="24" t="s">
        <v>59</v>
      </c>
      <c r="J962" s="24" t="s">
        <v>60</v>
      </c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6">
        <v>32.0</v>
      </c>
      <c r="B963" s="35" t="str">
        <f t="array" ref="B963">INDEX('Báo cáo 75 trang đích'!$B$2:$B$76,$A963)</f>
        <v>https://techcombank.com/thong-tin/blog/the-tin-dung-hoan-tien</v>
      </c>
      <c r="C963" s="5" t="str">
        <f t="array" ref="C963">INDEX('Báo cáo 75 trang đích'!$C$2:$C$76,$A963)</f>
        <v>CCB</v>
      </c>
      <c r="D963" s="20" t="s">
        <v>800</v>
      </c>
      <c r="E963" s="22" t="s">
        <v>227</v>
      </c>
      <c r="F963" s="22" t="s">
        <v>81</v>
      </c>
      <c r="G963" s="22" t="s">
        <v>1449</v>
      </c>
      <c r="H963" s="24" t="s">
        <v>59</v>
      </c>
      <c r="I963" s="24" t="s">
        <v>59</v>
      </c>
      <c r="J963" s="24" t="s">
        <v>60</v>
      </c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6">
        <v>32.0</v>
      </c>
      <c r="B964" s="35" t="str">
        <f t="array" ref="B964">INDEX('Báo cáo 75 trang đích'!$B$2:$B$76,$A964)</f>
        <v>https://techcombank.com/thong-tin/blog/the-tin-dung-hoan-tien</v>
      </c>
      <c r="C964" s="5" t="str">
        <f t="array" ref="C964">INDEX('Báo cáo 75 trang đích'!$C$2:$C$76,$A964)</f>
        <v>CCB</v>
      </c>
      <c r="D964" s="20" t="s">
        <v>1223</v>
      </c>
      <c r="E964" s="22" t="s">
        <v>781</v>
      </c>
      <c r="F964" s="22" t="s">
        <v>81</v>
      </c>
      <c r="G964" s="22" t="s">
        <v>1449</v>
      </c>
      <c r="H964" s="24" t="s">
        <v>59</v>
      </c>
      <c r="I964" s="24" t="s">
        <v>59</v>
      </c>
      <c r="J964" s="24" t="s">
        <v>60</v>
      </c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6">
        <v>32.0</v>
      </c>
      <c r="B965" s="35" t="str">
        <f t="array" ref="B965">INDEX('Báo cáo 75 trang đích'!$B$2:$B$76,$A965)</f>
        <v>https://techcombank.com/thong-tin/blog/the-tin-dung-hoan-tien</v>
      </c>
      <c r="C965" s="5" t="str">
        <f t="array" ref="C965">INDEX('Báo cáo 75 trang đích'!$C$2:$C$76,$A965)</f>
        <v>CCB</v>
      </c>
      <c r="D965" s="20" t="s">
        <v>820</v>
      </c>
      <c r="E965" s="22" t="s">
        <v>783</v>
      </c>
      <c r="F965" s="22" t="s">
        <v>81</v>
      </c>
      <c r="G965" s="22" t="s">
        <v>1449</v>
      </c>
      <c r="H965" s="24" t="s">
        <v>59</v>
      </c>
      <c r="I965" s="24" t="s">
        <v>59</v>
      </c>
      <c r="J965" s="24" t="s">
        <v>60</v>
      </c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6">
        <v>32.0</v>
      </c>
      <c r="B966" s="35" t="str">
        <f t="array" ref="B966">INDEX('Báo cáo 75 trang đích'!$B$2:$B$76,$A966)</f>
        <v>https://techcombank.com/thong-tin/blog/the-tin-dung-hoan-tien</v>
      </c>
      <c r="C966" s="5" t="str">
        <f t="array" ref="C966">INDEX('Báo cáo 75 trang đích'!$C$2:$C$76,$A966)</f>
        <v>CCB</v>
      </c>
      <c r="D966" s="20" t="s">
        <v>755</v>
      </c>
      <c r="E966" s="22" t="s">
        <v>227</v>
      </c>
      <c r="F966" s="22" t="s">
        <v>81</v>
      </c>
      <c r="G966" s="22" t="s">
        <v>1449</v>
      </c>
      <c r="H966" s="24" t="s">
        <v>59</v>
      </c>
      <c r="I966" s="24" t="s">
        <v>59</v>
      </c>
      <c r="J966" s="24" t="s">
        <v>60</v>
      </c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6">
        <v>32.0</v>
      </c>
      <c r="B967" s="35" t="str">
        <f t="array" ref="B967">INDEX('Báo cáo 75 trang đích'!$B$2:$B$76,$A967)</f>
        <v>https://techcombank.com/thong-tin/blog/the-tin-dung-hoan-tien</v>
      </c>
      <c r="C967" s="5" t="str">
        <f t="array" ref="C967">INDEX('Báo cáo 75 trang đích'!$C$2:$C$76,$A967)</f>
        <v>CCB</v>
      </c>
      <c r="D967" s="20" t="s">
        <v>1426</v>
      </c>
      <c r="E967" s="22" t="s">
        <v>781</v>
      </c>
      <c r="F967" s="22" t="s">
        <v>81</v>
      </c>
      <c r="G967" s="22" t="s">
        <v>1449</v>
      </c>
      <c r="H967" s="24" t="s">
        <v>59</v>
      </c>
      <c r="I967" s="24" t="s">
        <v>59</v>
      </c>
      <c r="J967" s="24" t="s">
        <v>60</v>
      </c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6">
        <v>32.0</v>
      </c>
      <c r="B968" s="35" t="str">
        <f t="array" ref="B968">INDEX('Báo cáo 75 trang đích'!$B$2:$B$76,$A968)</f>
        <v>https://techcombank.com/thong-tin/blog/the-tin-dung-hoan-tien</v>
      </c>
      <c r="C968" s="5" t="str">
        <f t="array" ref="C968">INDEX('Báo cáo 75 trang đích'!$C$2:$C$76,$A968)</f>
        <v>CCB</v>
      </c>
      <c r="D968" s="20" t="s">
        <v>768</v>
      </c>
      <c r="E968" s="22" t="s">
        <v>783</v>
      </c>
      <c r="F968" s="22" t="s">
        <v>81</v>
      </c>
      <c r="G968" s="22" t="s">
        <v>1494</v>
      </c>
      <c r="H968" s="24" t="s">
        <v>59</v>
      </c>
      <c r="I968" s="24" t="s">
        <v>59</v>
      </c>
      <c r="J968" s="24" t="s">
        <v>60</v>
      </c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6">
        <v>32.0</v>
      </c>
      <c r="B969" s="35" t="str">
        <f t="array" ref="B969">INDEX('Báo cáo 75 trang đích'!$B$2:$B$76,$A969)</f>
        <v>https://techcombank.com/thong-tin/blog/the-tin-dung-hoan-tien</v>
      </c>
      <c r="C969" s="5" t="str">
        <f t="array" ref="C969">INDEX('Báo cáo 75 trang đích'!$C$2:$C$76,$A969)</f>
        <v>CCB</v>
      </c>
      <c r="D969" s="20" t="s">
        <v>709</v>
      </c>
      <c r="E969" s="22" t="s">
        <v>227</v>
      </c>
      <c r="F969" s="22" t="s">
        <v>81</v>
      </c>
      <c r="G969" s="22" t="s">
        <v>1449</v>
      </c>
      <c r="H969" s="24" t="s">
        <v>59</v>
      </c>
      <c r="I969" s="24" t="s">
        <v>59</v>
      </c>
      <c r="J969" s="24" t="s">
        <v>60</v>
      </c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6">
        <v>32.0</v>
      </c>
      <c r="B970" s="35" t="str">
        <f t="array" ref="B970">INDEX('Báo cáo 75 trang đích'!$B$2:$B$76,$A970)</f>
        <v>https://techcombank.com/thong-tin/blog/the-tin-dung-hoan-tien</v>
      </c>
      <c r="C970" s="5" t="str">
        <f t="array" ref="C970">INDEX('Báo cáo 75 trang đích'!$C$2:$C$76,$A970)</f>
        <v>CCB</v>
      </c>
      <c r="D970" s="20" t="s">
        <v>760</v>
      </c>
      <c r="E970" s="22" t="s">
        <v>781</v>
      </c>
      <c r="F970" s="22" t="s">
        <v>81</v>
      </c>
      <c r="G970" s="22" t="s">
        <v>1449</v>
      </c>
      <c r="H970" s="24" t="s">
        <v>59</v>
      </c>
      <c r="I970" s="24" t="s">
        <v>59</v>
      </c>
      <c r="J970" s="24" t="s">
        <v>60</v>
      </c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6">
        <v>32.0</v>
      </c>
      <c r="B971" s="35" t="str">
        <f t="array" ref="B971">INDEX('Báo cáo 75 trang đích'!$B$2:$B$76,$A971)</f>
        <v>https://techcombank.com/thong-tin/blog/the-tin-dung-hoan-tien</v>
      </c>
      <c r="C971" s="5" t="str">
        <f t="array" ref="C971">INDEX('Báo cáo 75 trang đích'!$C$2:$C$76,$A971)</f>
        <v>CCB</v>
      </c>
      <c r="D971" s="20" t="s">
        <v>1474</v>
      </c>
      <c r="E971" s="22" t="s">
        <v>783</v>
      </c>
      <c r="F971" s="22" t="s">
        <v>81</v>
      </c>
      <c r="G971" s="22" t="s">
        <v>1494</v>
      </c>
      <c r="H971" s="24" t="s">
        <v>59</v>
      </c>
      <c r="I971" s="24" t="s">
        <v>59</v>
      </c>
      <c r="J971" s="24" t="s">
        <v>60</v>
      </c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6">
        <v>32.0</v>
      </c>
      <c r="B972" s="35" t="str">
        <f t="array" ref="B972">INDEX('Báo cáo 75 trang đích'!$B$2:$B$76,$A972)</f>
        <v>https://techcombank.com/thong-tin/blog/the-tin-dung-hoan-tien</v>
      </c>
      <c r="C972" s="5" t="str">
        <f t="array" ref="C972">INDEX('Báo cáo 75 trang đích'!$C$2:$C$76,$A972)</f>
        <v>CCB</v>
      </c>
      <c r="D972" s="20" t="s">
        <v>1290</v>
      </c>
      <c r="E972" s="22" t="s">
        <v>227</v>
      </c>
      <c r="F972" s="22" t="s">
        <v>81</v>
      </c>
      <c r="G972" s="22" t="s">
        <v>1449</v>
      </c>
      <c r="H972" s="24" t="s">
        <v>59</v>
      </c>
      <c r="I972" s="24" t="s">
        <v>59</v>
      </c>
      <c r="J972" s="24" t="s">
        <v>60</v>
      </c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6">
        <v>32.0</v>
      </c>
      <c r="B973" s="35" t="str">
        <f t="array" ref="B973">INDEX('Báo cáo 75 trang đích'!$B$2:$B$76,$A973)</f>
        <v>https://techcombank.com/thong-tin/blog/the-tin-dung-hoan-tien</v>
      </c>
      <c r="C973" s="5" t="str">
        <f t="array" ref="C973">INDEX('Báo cáo 75 trang đích'!$C$2:$C$76,$A973)</f>
        <v>CCB</v>
      </c>
      <c r="D973" s="20" t="s">
        <v>194</v>
      </c>
      <c r="E973" s="22" t="s">
        <v>781</v>
      </c>
      <c r="F973" s="22" t="s">
        <v>81</v>
      </c>
      <c r="G973" s="22" t="s">
        <v>1449</v>
      </c>
      <c r="H973" s="24" t="s">
        <v>59</v>
      </c>
      <c r="I973" s="24" t="s">
        <v>59</v>
      </c>
      <c r="J973" s="24" t="s">
        <v>60</v>
      </c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6">
        <v>32.0</v>
      </c>
      <c r="B974" s="35" t="str">
        <f t="array" ref="B974">INDEX('Báo cáo 75 trang đích'!$B$2:$B$76,$A974)</f>
        <v>https://techcombank.com/thong-tin/blog/the-tin-dung-hoan-tien</v>
      </c>
      <c r="C974" s="5" t="str">
        <f t="array" ref="C974">INDEX('Báo cáo 75 trang đích'!$C$2:$C$76,$A974)</f>
        <v>CCB</v>
      </c>
      <c r="D974" s="20" t="s">
        <v>1475</v>
      </c>
      <c r="E974" s="22" t="s">
        <v>783</v>
      </c>
      <c r="F974" s="22" t="s">
        <v>81</v>
      </c>
      <c r="G974" s="22" t="s">
        <v>1449</v>
      </c>
      <c r="H974" s="24" t="s">
        <v>59</v>
      </c>
      <c r="I974" s="24" t="s">
        <v>59</v>
      </c>
      <c r="J974" s="24" t="s">
        <v>60</v>
      </c>
      <c r="K974" s="22" t="s">
        <v>97</v>
      </c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6">
        <v>32.0</v>
      </c>
      <c r="B975" s="35" t="str">
        <f t="array" ref="B975">INDEX('Báo cáo 75 trang đích'!$B$2:$B$76,$A975)</f>
        <v>https://techcombank.com/thong-tin/blog/the-tin-dung-hoan-tien</v>
      </c>
      <c r="C975" s="5" t="str">
        <f t="array" ref="C975">INDEX('Báo cáo 75 trang đích'!$C$2:$C$76,$A975)</f>
        <v>CCB</v>
      </c>
      <c r="D975" s="20" t="s">
        <v>734</v>
      </c>
      <c r="E975" s="22" t="s">
        <v>227</v>
      </c>
      <c r="F975" s="22" t="s">
        <v>81</v>
      </c>
      <c r="G975" s="22" t="s">
        <v>1449</v>
      </c>
      <c r="H975" s="24" t="s">
        <v>59</v>
      </c>
      <c r="I975" s="24" t="s">
        <v>59</v>
      </c>
      <c r="J975" s="24" t="s">
        <v>60</v>
      </c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6">
        <v>32.0</v>
      </c>
      <c r="B976" s="35" t="str">
        <f t="array" ref="B976">INDEX('Báo cáo 75 trang đích'!$B$2:$B$76,$A976)</f>
        <v>https://techcombank.com/thong-tin/blog/the-tin-dung-hoan-tien</v>
      </c>
      <c r="C976" s="5" t="str">
        <f t="array" ref="C976">INDEX('Báo cáo 75 trang đích'!$C$2:$C$76,$A976)</f>
        <v>CCB</v>
      </c>
      <c r="D976" s="20" t="s">
        <v>720</v>
      </c>
      <c r="E976" s="22" t="s">
        <v>781</v>
      </c>
      <c r="F976" s="22" t="s">
        <v>81</v>
      </c>
      <c r="G976" s="22" t="s">
        <v>1449</v>
      </c>
      <c r="H976" s="24" t="s">
        <v>59</v>
      </c>
      <c r="I976" s="24" t="s">
        <v>59</v>
      </c>
      <c r="J976" s="24" t="s">
        <v>60</v>
      </c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6">
        <v>32.0</v>
      </c>
      <c r="B977" s="35" t="str">
        <f t="array" ref="B977">INDEX('Báo cáo 75 trang đích'!$B$2:$B$76,$A977)</f>
        <v>https://techcombank.com/thong-tin/blog/the-tin-dung-hoan-tien</v>
      </c>
      <c r="C977" s="5" t="str">
        <f t="array" ref="C977">INDEX('Báo cáo 75 trang đích'!$C$2:$C$76,$A977)</f>
        <v>CCB</v>
      </c>
      <c r="D977" s="20" t="s">
        <v>1476</v>
      </c>
      <c r="E977" s="22" t="s">
        <v>783</v>
      </c>
      <c r="F977" s="22" t="s">
        <v>81</v>
      </c>
      <c r="G977" s="22" t="s">
        <v>1494</v>
      </c>
      <c r="H977" s="24" t="s">
        <v>59</v>
      </c>
      <c r="I977" s="24" t="s">
        <v>59</v>
      </c>
      <c r="J977" s="24" t="s">
        <v>60</v>
      </c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6">
        <v>32.0</v>
      </c>
      <c r="B978" s="35" t="str">
        <f t="array" ref="B978">INDEX('Báo cáo 75 trang đích'!$B$2:$B$76,$A978)</f>
        <v>https://techcombank.com/thong-tin/blog/the-tin-dung-hoan-tien</v>
      </c>
      <c r="C978" s="5" t="str">
        <f t="array" ref="C978">INDEX('Báo cáo 75 trang đích'!$C$2:$C$76,$A978)</f>
        <v>CCB</v>
      </c>
      <c r="D978" s="20" t="s">
        <v>793</v>
      </c>
      <c r="E978" s="22" t="s">
        <v>227</v>
      </c>
      <c r="F978" s="22" t="s">
        <v>81</v>
      </c>
      <c r="G978" s="22" t="s">
        <v>1449</v>
      </c>
      <c r="H978" s="24" t="s">
        <v>59</v>
      </c>
      <c r="I978" s="24" t="s">
        <v>59</v>
      </c>
      <c r="J978" s="24" t="s">
        <v>60</v>
      </c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6">
        <v>32.0</v>
      </c>
      <c r="B979" s="35" t="str">
        <f t="array" ref="B979">INDEX('Báo cáo 75 trang đích'!$B$2:$B$76,$A979)</f>
        <v>https://techcombank.com/thong-tin/blog/the-tin-dung-hoan-tien</v>
      </c>
      <c r="C979" s="5" t="str">
        <f t="array" ref="C979">INDEX('Báo cáo 75 trang đích'!$C$2:$C$76,$A979)</f>
        <v>CCB</v>
      </c>
      <c r="D979" s="20" t="s">
        <v>1477</v>
      </c>
      <c r="E979" s="22" t="s">
        <v>781</v>
      </c>
      <c r="F979" s="22" t="s">
        <v>81</v>
      </c>
      <c r="G979" s="22" t="s">
        <v>1449</v>
      </c>
      <c r="H979" s="24" t="s">
        <v>59</v>
      </c>
      <c r="I979" s="24" t="s">
        <v>59</v>
      </c>
      <c r="J979" s="24" t="s">
        <v>60</v>
      </c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6">
        <v>32.0</v>
      </c>
      <c r="B980" s="35" t="str">
        <f t="array" ref="B980">INDEX('Báo cáo 75 trang đích'!$B$2:$B$76,$A980)</f>
        <v>https://techcombank.com/thong-tin/blog/the-tin-dung-hoan-tien</v>
      </c>
      <c r="C980" s="5" t="str">
        <f t="array" ref="C980">INDEX('Báo cáo 75 trang đích'!$C$2:$C$76,$A980)</f>
        <v>CCB</v>
      </c>
      <c r="D980" s="20" t="s">
        <v>1293</v>
      </c>
      <c r="E980" s="22" t="s">
        <v>783</v>
      </c>
      <c r="F980" s="22" t="s">
        <v>81</v>
      </c>
      <c r="G980" s="22" t="s">
        <v>1449</v>
      </c>
      <c r="H980" s="24" t="s">
        <v>59</v>
      </c>
      <c r="I980" s="24" t="s">
        <v>59</v>
      </c>
      <c r="J980" s="24" t="s">
        <v>60</v>
      </c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6">
        <v>32.0</v>
      </c>
      <c r="B981" s="35" t="str">
        <f t="array" ref="B981">INDEX('Báo cáo 75 trang đích'!$B$2:$B$76,$A981)</f>
        <v>https://techcombank.com/thong-tin/blog/the-tin-dung-hoan-tien</v>
      </c>
      <c r="C981" s="5" t="str">
        <f t="array" ref="C981">INDEX('Báo cáo 75 trang đích'!$C$2:$C$76,$A981)</f>
        <v>CCB</v>
      </c>
      <c r="D981" s="20" t="s">
        <v>1478</v>
      </c>
      <c r="E981" s="22" t="s">
        <v>227</v>
      </c>
      <c r="F981" s="22" t="s">
        <v>81</v>
      </c>
      <c r="G981" s="22" t="s">
        <v>1449</v>
      </c>
      <c r="H981" s="24" t="s">
        <v>59</v>
      </c>
      <c r="I981" s="24" t="s">
        <v>59</v>
      </c>
      <c r="J981" s="24" t="s">
        <v>60</v>
      </c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6">
        <v>32.0</v>
      </c>
      <c r="B982" s="35" t="str">
        <f t="array" ref="B982">INDEX('Báo cáo 75 trang đích'!$B$2:$B$76,$A982)</f>
        <v>https://techcombank.com/thong-tin/blog/the-tin-dung-hoan-tien</v>
      </c>
      <c r="C982" s="5" t="str">
        <f t="array" ref="C982">INDEX('Báo cáo 75 trang đích'!$C$2:$C$76,$A982)</f>
        <v>CCB</v>
      </c>
      <c r="D982" s="20" t="s">
        <v>495</v>
      </c>
      <c r="E982" s="22" t="s">
        <v>781</v>
      </c>
      <c r="F982" s="22" t="s">
        <v>81</v>
      </c>
      <c r="G982" s="22" t="s">
        <v>1449</v>
      </c>
      <c r="H982" s="24" t="s">
        <v>59</v>
      </c>
      <c r="I982" s="24" t="s">
        <v>59</v>
      </c>
      <c r="J982" s="24" t="s">
        <v>60</v>
      </c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6">
        <v>33.0</v>
      </c>
      <c r="B983" s="35" t="str">
        <f t="array" ref="B983">INDEX('Báo cáo 75 trang đích'!$B$2:$B$76,$A983)</f>
        <v>https://techcombank.com/thong-tin/blog/cach-huy-the-tin-dung</v>
      </c>
      <c r="C983" s="5" t="str">
        <f t="array" ref="C983">INDEX('Báo cáo 75 trang đích'!$C$2:$C$76,$A983)</f>
        <v>CCB</v>
      </c>
      <c r="D983" s="20" t="s">
        <v>789</v>
      </c>
      <c r="E983" s="22" t="s">
        <v>231</v>
      </c>
      <c r="F983" s="22" t="s">
        <v>57</v>
      </c>
      <c r="G983" s="22" t="s">
        <v>1496</v>
      </c>
      <c r="H983" s="24" t="s">
        <v>59</v>
      </c>
      <c r="I983" s="24" t="s">
        <v>59</v>
      </c>
      <c r="J983" s="24" t="s">
        <v>60</v>
      </c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6">
        <v>33.0</v>
      </c>
      <c r="B984" s="35" t="str">
        <f t="array" ref="B984">INDEX('Báo cáo 75 trang đích'!$B$2:$B$76,$A984)</f>
        <v>https://techcombank.com/thong-tin/blog/cach-huy-the-tin-dung</v>
      </c>
      <c r="C984" s="5" t="str">
        <f t="array" ref="C984">INDEX('Báo cáo 75 trang đích'!$C$2:$C$76,$A984)</f>
        <v>CCB</v>
      </c>
      <c r="D984" s="20" t="s">
        <v>793</v>
      </c>
      <c r="E984" s="22" t="s">
        <v>795</v>
      </c>
      <c r="F984" s="22" t="s">
        <v>57</v>
      </c>
      <c r="G984" s="22" t="s">
        <v>1497</v>
      </c>
      <c r="H984" s="24" t="s">
        <v>59</v>
      </c>
      <c r="I984" s="24" t="s">
        <v>59</v>
      </c>
      <c r="J984" s="24" t="s">
        <v>60</v>
      </c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6">
        <v>33.0</v>
      </c>
      <c r="B985" s="35" t="str">
        <f t="array" ref="B985">INDEX('Báo cáo 75 trang đích'!$B$2:$B$76,$A985)</f>
        <v>https://techcombank.com/thong-tin/blog/cach-huy-the-tin-dung</v>
      </c>
      <c r="C985" s="5" t="str">
        <f t="array" ref="C985">INDEX('Báo cáo 75 trang đích'!$C$2:$C$76,$A985)</f>
        <v>CCB</v>
      </c>
      <c r="D985" s="20" t="s">
        <v>796</v>
      </c>
      <c r="E985" s="22" t="s">
        <v>231</v>
      </c>
      <c r="F985" s="22" t="s">
        <v>57</v>
      </c>
      <c r="G985" s="22" t="s">
        <v>1498</v>
      </c>
      <c r="H985" s="24" t="s">
        <v>59</v>
      </c>
      <c r="I985" s="24" t="s">
        <v>59</v>
      </c>
      <c r="J985" s="24" t="s">
        <v>60</v>
      </c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6">
        <v>33.0</v>
      </c>
      <c r="B986" s="35" t="str">
        <f t="array" ref="B986">INDEX('Báo cáo 75 trang đích'!$B$2:$B$76,$A986)</f>
        <v>https://techcombank.com/thong-tin/blog/cach-huy-the-tin-dung</v>
      </c>
      <c r="C986" s="5" t="str">
        <f t="array" ref="C986">INDEX('Báo cáo 75 trang đích'!$C$2:$C$76,$A986)</f>
        <v>CCB</v>
      </c>
      <c r="D986" s="20" t="s">
        <v>800</v>
      </c>
      <c r="E986" s="22" t="s">
        <v>795</v>
      </c>
      <c r="F986" s="22" t="s">
        <v>76</v>
      </c>
      <c r="G986" s="22" t="s">
        <v>1499</v>
      </c>
      <c r="H986" s="24" t="s">
        <v>59</v>
      </c>
      <c r="I986" s="24" t="s">
        <v>59</v>
      </c>
      <c r="J986" s="24" t="s">
        <v>60</v>
      </c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6">
        <v>33.0</v>
      </c>
      <c r="B987" s="35" t="str">
        <f t="array" ref="B987">INDEX('Báo cáo 75 trang đích'!$B$2:$B$76,$A987)</f>
        <v>https://techcombank.com/thong-tin/blog/cach-huy-the-tin-dung</v>
      </c>
      <c r="C987" s="5" t="str">
        <f t="array" ref="C987">INDEX('Báo cáo 75 trang đích'!$C$2:$C$76,$A987)</f>
        <v>CCB</v>
      </c>
      <c r="D987" s="20" t="s">
        <v>802</v>
      </c>
      <c r="E987" s="22" t="s">
        <v>231</v>
      </c>
      <c r="F987" s="22" t="s">
        <v>76</v>
      </c>
      <c r="G987" s="22" t="s">
        <v>1500</v>
      </c>
      <c r="H987" s="24" t="s">
        <v>59</v>
      </c>
      <c r="I987" s="24" t="s">
        <v>59</v>
      </c>
      <c r="J987" s="24" t="s">
        <v>60</v>
      </c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6">
        <v>33.0</v>
      </c>
      <c r="B988" s="35" t="str">
        <f t="array" ref="B988">INDEX('Báo cáo 75 trang đích'!$B$2:$B$76,$A988)</f>
        <v>https://techcombank.com/thong-tin/blog/cach-huy-the-tin-dung</v>
      </c>
      <c r="C988" s="5" t="str">
        <f t="array" ref="C988">INDEX('Báo cáo 75 trang đích'!$C$2:$C$76,$A988)</f>
        <v>CCB</v>
      </c>
      <c r="D988" s="20" t="s">
        <v>360</v>
      </c>
      <c r="E988" s="22" t="s">
        <v>795</v>
      </c>
      <c r="F988" s="22" t="s">
        <v>81</v>
      </c>
      <c r="G988" s="22" t="s">
        <v>1449</v>
      </c>
      <c r="H988" s="24" t="s">
        <v>59</v>
      </c>
      <c r="I988" s="24" t="s">
        <v>59</v>
      </c>
      <c r="J988" s="24" t="s">
        <v>60</v>
      </c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6">
        <v>33.0</v>
      </c>
      <c r="B989" s="35" t="str">
        <f t="array" ref="B989">INDEX('Báo cáo 75 trang đích'!$B$2:$B$76,$A989)</f>
        <v>https://techcombank.com/thong-tin/blog/cach-huy-the-tin-dung</v>
      </c>
      <c r="C989" s="5" t="str">
        <f t="array" ref="C989">INDEX('Báo cáo 75 trang đích'!$C$2:$C$76,$A989)</f>
        <v>CCB</v>
      </c>
      <c r="D989" s="20" t="s">
        <v>1165</v>
      </c>
      <c r="E989" s="22" t="s">
        <v>231</v>
      </c>
      <c r="F989" s="22" t="s">
        <v>81</v>
      </c>
      <c r="G989" s="22" t="s">
        <v>1449</v>
      </c>
      <c r="H989" s="24" t="s">
        <v>59</v>
      </c>
      <c r="I989" s="24" t="s">
        <v>59</v>
      </c>
      <c r="J989" s="24" t="s">
        <v>60</v>
      </c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6">
        <v>33.0</v>
      </c>
      <c r="B990" s="35" t="str">
        <f t="array" ref="B990">INDEX('Báo cáo 75 trang đích'!$B$2:$B$76,$A990)</f>
        <v>https://techcombank.com/thong-tin/blog/cach-huy-the-tin-dung</v>
      </c>
      <c r="C990" s="5" t="str">
        <f t="array" ref="C990">INDEX('Báo cáo 75 trang đích'!$C$2:$C$76,$A990)</f>
        <v>CCB</v>
      </c>
      <c r="D990" s="20" t="s">
        <v>1275</v>
      </c>
      <c r="E990" s="22" t="s">
        <v>795</v>
      </c>
      <c r="F990" s="22" t="s">
        <v>81</v>
      </c>
      <c r="G990" s="22" t="s">
        <v>1449</v>
      </c>
      <c r="H990" s="24" t="s">
        <v>59</v>
      </c>
      <c r="I990" s="24" t="s">
        <v>59</v>
      </c>
      <c r="J990" s="24" t="s">
        <v>60</v>
      </c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6">
        <v>33.0</v>
      </c>
      <c r="B991" s="35" t="str">
        <f t="array" ref="B991">INDEX('Báo cáo 75 trang đích'!$B$2:$B$76,$A991)</f>
        <v>https://techcombank.com/thong-tin/blog/cach-huy-the-tin-dung</v>
      </c>
      <c r="C991" s="5" t="str">
        <f t="array" ref="C991">INDEX('Báo cáo 75 trang đích'!$C$2:$C$76,$A991)</f>
        <v>CCB</v>
      </c>
      <c r="D991" s="20" t="s">
        <v>774</v>
      </c>
      <c r="E991" s="22" t="s">
        <v>231</v>
      </c>
      <c r="F991" s="22" t="s">
        <v>81</v>
      </c>
      <c r="G991" s="22" t="s">
        <v>1449</v>
      </c>
      <c r="H991" s="24" t="s">
        <v>59</v>
      </c>
      <c r="I991" s="24" t="s">
        <v>59</v>
      </c>
      <c r="J991" s="24" t="s">
        <v>60</v>
      </c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6">
        <v>33.0</v>
      </c>
      <c r="B992" s="35" t="str">
        <f t="array" ref="B992">INDEX('Báo cáo 75 trang đích'!$B$2:$B$76,$A992)</f>
        <v>https://techcombank.com/thong-tin/blog/cach-huy-the-tin-dung</v>
      </c>
      <c r="C992" s="5" t="str">
        <f t="array" ref="C992">INDEX('Báo cáo 75 trang đích'!$C$2:$C$76,$A992)</f>
        <v>CCB</v>
      </c>
      <c r="D992" s="20" t="s">
        <v>784</v>
      </c>
      <c r="E992" s="22" t="s">
        <v>795</v>
      </c>
      <c r="F992" s="22" t="s">
        <v>81</v>
      </c>
      <c r="G992" s="22" t="s">
        <v>1501</v>
      </c>
      <c r="H992" s="24" t="s">
        <v>59</v>
      </c>
      <c r="I992" s="24" t="s">
        <v>59</v>
      </c>
      <c r="J992" s="24" t="s">
        <v>60</v>
      </c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6">
        <v>33.0</v>
      </c>
      <c r="B993" s="35" t="str">
        <f t="array" ref="B993">INDEX('Báo cáo 75 trang đích'!$B$2:$B$76,$A993)</f>
        <v>https://techcombank.com/thong-tin/blog/cach-huy-the-tin-dung</v>
      </c>
      <c r="C993" s="5" t="str">
        <f t="array" ref="C993">INDEX('Báo cáo 75 trang đích'!$C$2:$C$76,$A993)</f>
        <v>CCB</v>
      </c>
      <c r="D993" s="20" t="s">
        <v>1451</v>
      </c>
      <c r="E993" s="22" t="s">
        <v>231</v>
      </c>
      <c r="F993" s="22" t="s">
        <v>81</v>
      </c>
      <c r="G993" s="22" t="s">
        <v>1449</v>
      </c>
      <c r="H993" s="24" t="s">
        <v>59</v>
      </c>
      <c r="I993" s="24" t="s">
        <v>59</v>
      </c>
      <c r="J993" s="24" t="s">
        <v>60</v>
      </c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6">
        <v>33.0</v>
      </c>
      <c r="B994" s="35" t="str">
        <f t="array" ref="B994">INDEX('Báo cáo 75 trang đích'!$B$2:$B$76,$A994)</f>
        <v>https://techcombank.com/thong-tin/blog/cach-huy-the-tin-dung</v>
      </c>
      <c r="C994" s="5" t="str">
        <f t="array" ref="C994">INDEX('Báo cáo 75 trang đích'!$C$2:$C$76,$A994)</f>
        <v>CCB</v>
      </c>
      <c r="D994" s="20" t="s">
        <v>1452</v>
      </c>
      <c r="E994" s="22" t="s">
        <v>795</v>
      </c>
      <c r="F994" s="22" t="s">
        <v>81</v>
      </c>
      <c r="G994" s="22" t="s">
        <v>1449</v>
      </c>
      <c r="H994" s="24" t="s">
        <v>59</v>
      </c>
      <c r="I994" s="24" t="s">
        <v>59</v>
      </c>
      <c r="J994" s="24" t="s">
        <v>60</v>
      </c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6">
        <v>33.0</v>
      </c>
      <c r="B995" s="35" t="str">
        <f t="array" ref="B995">INDEX('Báo cáo 75 trang đích'!$B$2:$B$76,$A995)</f>
        <v>https://techcombank.com/thong-tin/blog/cach-huy-the-tin-dung</v>
      </c>
      <c r="C995" s="5" t="str">
        <f t="array" ref="C995">INDEX('Báo cáo 75 trang đích'!$C$2:$C$76,$A995)</f>
        <v>CCB</v>
      </c>
      <c r="D995" s="20" t="s">
        <v>1453</v>
      </c>
      <c r="E995" s="22" t="s">
        <v>231</v>
      </c>
      <c r="F995" s="22" t="s">
        <v>81</v>
      </c>
      <c r="G995" s="22" t="s">
        <v>1449</v>
      </c>
      <c r="H995" s="24" t="s">
        <v>59</v>
      </c>
      <c r="I995" s="24" t="s">
        <v>59</v>
      </c>
      <c r="J995" s="24" t="s">
        <v>60</v>
      </c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6">
        <v>33.0</v>
      </c>
      <c r="B996" s="35" t="str">
        <f t="array" ref="B996">INDEX('Báo cáo 75 trang đích'!$B$2:$B$76,$A996)</f>
        <v>https://techcombank.com/thong-tin/blog/cach-huy-the-tin-dung</v>
      </c>
      <c r="C996" s="5" t="str">
        <f t="array" ref="C996">INDEX('Báo cáo 75 trang đích'!$C$2:$C$76,$A996)</f>
        <v>CCB</v>
      </c>
      <c r="D996" s="20" t="s">
        <v>766</v>
      </c>
      <c r="E996" s="22" t="s">
        <v>795</v>
      </c>
      <c r="F996" s="22" t="s">
        <v>81</v>
      </c>
      <c r="G996" s="22" t="s">
        <v>1449</v>
      </c>
      <c r="H996" s="24" t="s">
        <v>59</v>
      </c>
      <c r="I996" s="24" t="s">
        <v>59</v>
      </c>
      <c r="J996" s="24" t="s">
        <v>60</v>
      </c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6">
        <v>33.0</v>
      </c>
      <c r="B997" s="35" t="str">
        <f t="array" ref="B997">INDEX('Báo cáo 75 trang đích'!$B$2:$B$76,$A997)</f>
        <v>https://techcombank.com/thong-tin/blog/cach-huy-the-tin-dung</v>
      </c>
      <c r="C997" s="5" t="str">
        <f t="array" ref="C997">INDEX('Báo cáo 75 trang đích'!$C$2:$C$76,$A997)</f>
        <v>CCB</v>
      </c>
      <c r="D997" s="20" t="s">
        <v>1395</v>
      </c>
      <c r="E997" s="22" t="s">
        <v>231</v>
      </c>
      <c r="F997" s="22" t="s">
        <v>81</v>
      </c>
      <c r="G997" s="22" t="s">
        <v>1449</v>
      </c>
      <c r="H997" s="24" t="s">
        <v>59</v>
      </c>
      <c r="I997" s="24" t="s">
        <v>59</v>
      </c>
      <c r="J997" s="24" t="s">
        <v>60</v>
      </c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6">
        <v>33.0</v>
      </c>
      <c r="B998" s="35" t="str">
        <f t="array" ref="B998">INDEX('Báo cáo 75 trang đích'!$B$2:$B$76,$A998)</f>
        <v>https://techcombank.com/thong-tin/blog/cach-huy-the-tin-dung</v>
      </c>
      <c r="C998" s="5" t="str">
        <f t="array" ref="C998">INDEX('Báo cáo 75 trang đích'!$C$2:$C$76,$A998)</f>
        <v>CCB</v>
      </c>
      <c r="D998" s="20" t="s">
        <v>1455</v>
      </c>
      <c r="E998" s="22" t="s">
        <v>795</v>
      </c>
      <c r="F998" s="22" t="s">
        <v>81</v>
      </c>
      <c r="G998" s="22" t="s">
        <v>1449</v>
      </c>
      <c r="H998" s="24" t="s">
        <v>59</v>
      </c>
      <c r="I998" s="24" t="s">
        <v>59</v>
      </c>
      <c r="J998" s="24" t="s">
        <v>60</v>
      </c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6">
        <v>33.0</v>
      </c>
      <c r="B999" s="35" t="str">
        <f t="array" ref="B999">INDEX('Báo cáo 75 trang đích'!$B$2:$B$76,$A999)</f>
        <v>https://techcombank.com/thong-tin/blog/cach-huy-the-tin-dung</v>
      </c>
      <c r="C999" s="5" t="str">
        <f t="array" ref="C999">INDEX('Báo cáo 75 trang đích'!$C$2:$C$76,$A999)</f>
        <v>CCB</v>
      </c>
      <c r="D999" s="20" t="s">
        <v>1325</v>
      </c>
      <c r="E999" s="22" t="s">
        <v>231</v>
      </c>
      <c r="F999" s="22" t="s">
        <v>81</v>
      </c>
      <c r="G999" s="22" t="s">
        <v>1449</v>
      </c>
      <c r="H999" s="24" t="s">
        <v>59</v>
      </c>
      <c r="I999" s="24" t="s">
        <v>59</v>
      </c>
      <c r="J999" s="24" t="s">
        <v>60</v>
      </c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6">
        <v>33.0</v>
      </c>
      <c r="B1000" s="35" t="str">
        <f t="array" ref="B1000">INDEX('Báo cáo 75 trang đích'!$B$2:$B$76,$A1000)</f>
        <v>https://techcombank.com/thong-tin/blog/cach-huy-the-tin-dung</v>
      </c>
      <c r="C1000" s="5" t="str">
        <f t="array" ref="C1000">INDEX('Báo cáo 75 trang đích'!$C$2:$C$76,$A1000)</f>
        <v>CCB</v>
      </c>
      <c r="D1000" s="20" t="s">
        <v>1456</v>
      </c>
      <c r="E1000" s="22" t="s">
        <v>795</v>
      </c>
      <c r="F1000" s="22" t="s">
        <v>81</v>
      </c>
      <c r="G1000" s="22" t="s">
        <v>1449</v>
      </c>
      <c r="H1000" s="24" t="s">
        <v>59</v>
      </c>
      <c r="I1000" s="24" t="s">
        <v>59</v>
      </c>
      <c r="J1000" s="24" t="s">
        <v>60</v>
      </c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6">
        <v>33.0</v>
      </c>
      <c r="B1001" s="35" t="str">
        <f t="array" ref="B1001">INDEX('Báo cáo 75 trang đích'!$B$2:$B$76,$A1001)</f>
        <v>https://techcombank.com/thong-tin/blog/cach-huy-the-tin-dung</v>
      </c>
      <c r="C1001" s="5" t="str">
        <f t="array" ref="C1001">INDEX('Báo cáo 75 trang đích'!$C$2:$C$76,$A1001)</f>
        <v>CCB</v>
      </c>
      <c r="D1001" s="20" t="s">
        <v>1184</v>
      </c>
      <c r="E1001" s="22" t="s">
        <v>231</v>
      </c>
      <c r="F1001" s="22" t="s">
        <v>81</v>
      </c>
      <c r="G1001" s="22" t="s">
        <v>1449</v>
      </c>
      <c r="H1001" s="24" t="s">
        <v>59</v>
      </c>
      <c r="I1001" s="24" t="s">
        <v>59</v>
      </c>
      <c r="J1001" s="24" t="s">
        <v>60</v>
      </c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6">
        <v>33.0</v>
      </c>
      <c r="B1002" s="35" t="str">
        <f t="array" ref="B1002">INDEX('Báo cáo 75 trang đích'!$B$2:$B$76,$A1002)</f>
        <v>https://techcombank.com/thong-tin/blog/cach-huy-the-tin-dung</v>
      </c>
      <c r="C1002" s="5" t="str">
        <f t="array" ref="C1002">INDEX('Báo cáo 75 trang đích'!$C$2:$C$76,$A1002)</f>
        <v>CCB</v>
      </c>
      <c r="D1002" s="20" t="s">
        <v>1396</v>
      </c>
      <c r="E1002" s="22" t="s">
        <v>795</v>
      </c>
      <c r="F1002" s="22" t="s">
        <v>81</v>
      </c>
      <c r="G1002" s="22" t="s">
        <v>1449</v>
      </c>
      <c r="H1002" s="24" t="s">
        <v>59</v>
      </c>
      <c r="I1002" s="24" t="s">
        <v>59</v>
      </c>
      <c r="J1002" s="24" t="s">
        <v>60</v>
      </c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6">
        <v>33.0</v>
      </c>
      <c r="B1003" s="35" t="str">
        <f t="array" ref="B1003">INDEX('Báo cáo 75 trang đích'!$B$2:$B$76,$A1003)</f>
        <v>https://techcombank.com/thong-tin/blog/cach-huy-the-tin-dung</v>
      </c>
      <c r="C1003" s="5" t="str">
        <f t="array" ref="C1003">INDEX('Báo cáo 75 trang đích'!$C$2:$C$76,$A1003)</f>
        <v>CCB</v>
      </c>
      <c r="D1003" s="20" t="s">
        <v>763</v>
      </c>
      <c r="E1003" s="22" t="s">
        <v>231</v>
      </c>
      <c r="F1003" s="22" t="s">
        <v>81</v>
      </c>
      <c r="G1003" s="22" t="s">
        <v>1449</v>
      </c>
      <c r="H1003" s="24" t="s">
        <v>59</v>
      </c>
      <c r="I1003" s="24" t="s">
        <v>59</v>
      </c>
      <c r="J1003" s="24" t="s">
        <v>60</v>
      </c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6">
        <v>33.0</v>
      </c>
      <c r="B1004" s="35" t="str">
        <f t="array" ref="B1004">INDEX('Báo cáo 75 trang đích'!$B$2:$B$76,$A1004)</f>
        <v>https://techcombank.com/thong-tin/blog/cach-huy-the-tin-dung</v>
      </c>
      <c r="C1004" s="5" t="str">
        <f t="array" ref="C1004">INDEX('Báo cáo 75 trang đích'!$C$2:$C$76,$A1004)</f>
        <v>CCB</v>
      </c>
      <c r="D1004" s="20" t="s">
        <v>1459</v>
      </c>
      <c r="E1004" s="22" t="s">
        <v>795</v>
      </c>
      <c r="F1004" s="22" t="s">
        <v>81</v>
      </c>
      <c r="G1004" s="22" t="s">
        <v>1449</v>
      </c>
      <c r="H1004" s="24" t="s">
        <v>59</v>
      </c>
      <c r="I1004" s="24" t="s">
        <v>59</v>
      </c>
      <c r="J1004" s="24" t="s">
        <v>60</v>
      </c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6">
        <v>33.0</v>
      </c>
      <c r="B1005" s="35" t="str">
        <f t="array" ref="B1005">INDEX('Báo cáo 75 trang đích'!$B$2:$B$76,$A1005)</f>
        <v>https://techcombank.com/thong-tin/blog/cach-huy-the-tin-dung</v>
      </c>
      <c r="C1005" s="5" t="str">
        <f t="array" ref="C1005">INDEX('Báo cáo 75 trang đích'!$C$2:$C$76,$A1005)</f>
        <v>CCB</v>
      </c>
      <c r="D1005" s="20" t="s">
        <v>1460</v>
      </c>
      <c r="E1005" s="22" t="s">
        <v>231</v>
      </c>
      <c r="F1005" s="22" t="s">
        <v>81</v>
      </c>
      <c r="G1005" s="22" t="s">
        <v>1449</v>
      </c>
      <c r="H1005" s="24" t="s">
        <v>59</v>
      </c>
      <c r="I1005" s="24" t="s">
        <v>59</v>
      </c>
      <c r="J1005" s="24" t="s">
        <v>60</v>
      </c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6">
        <v>33.0</v>
      </c>
      <c r="B1006" s="35" t="str">
        <f t="array" ref="B1006">INDEX('Báo cáo 75 trang đích'!$B$2:$B$76,$A1006)</f>
        <v>https://techcombank.com/thong-tin/blog/cach-huy-the-tin-dung</v>
      </c>
      <c r="C1006" s="5" t="str">
        <f t="array" ref="C1006">INDEX('Báo cáo 75 trang đích'!$C$2:$C$76,$A1006)</f>
        <v>CCB</v>
      </c>
      <c r="D1006" s="20" t="s">
        <v>813</v>
      </c>
      <c r="E1006" s="22" t="s">
        <v>795</v>
      </c>
      <c r="F1006" s="22" t="s">
        <v>81</v>
      </c>
      <c r="G1006" s="22" t="s">
        <v>1449</v>
      </c>
      <c r="H1006" s="24" t="s">
        <v>59</v>
      </c>
      <c r="I1006" s="24" t="s">
        <v>59</v>
      </c>
      <c r="J1006" s="24" t="s">
        <v>60</v>
      </c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6">
        <v>33.0</v>
      </c>
      <c r="B1007" s="35" t="str">
        <f t="array" ref="B1007">INDEX('Báo cáo 75 trang đích'!$B$2:$B$76,$A1007)</f>
        <v>https://techcombank.com/thong-tin/blog/cach-huy-the-tin-dung</v>
      </c>
      <c r="C1007" s="5" t="str">
        <f t="array" ref="C1007">INDEX('Báo cáo 75 trang đích'!$C$2:$C$76,$A1007)</f>
        <v>CCB</v>
      </c>
      <c r="D1007" s="20" t="s">
        <v>738</v>
      </c>
      <c r="E1007" s="22" t="s">
        <v>231</v>
      </c>
      <c r="F1007" s="22" t="s">
        <v>81</v>
      </c>
      <c r="G1007" s="22" t="s">
        <v>1449</v>
      </c>
      <c r="H1007" s="24" t="s">
        <v>59</v>
      </c>
      <c r="I1007" s="24" t="s">
        <v>59</v>
      </c>
      <c r="J1007" s="24" t="s">
        <v>60</v>
      </c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6">
        <v>33.0</v>
      </c>
      <c r="B1008" s="35" t="str">
        <f t="array" ref="B1008">INDEX('Báo cáo 75 trang đích'!$B$2:$B$76,$A1008)</f>
        <v>https://techcombank.com/thong-tin/blog/cach-huy-the-tin-dung</v>
      </c>
      <c r="C1008" s="5" t="str">
        <f t="array" ref="C1008">INDEX('Báo cáo 75 trang đích'!$C$2:$C$76,$A1008)</f>
        <v>CCB</v>
      </c>
      <c r="D1008" s="20" t="s">
        <v>281</v>
      </c>
      <c r="E1008" s="22" t="s">
        <v>795</v>
      </c>
      <c r="F1008" s="22" t="s">
        <v>81</v>
      </c>
      <c r="G1008" s="22" t="s">
        <v>1449</v>
      </c>
      <c r="H1008" s="24" t="s">
        <v>59</v>
      </c>
      <c r="I1008" s="24" t="s">
        <v>59</v>
      </c>
      <c r="J1008" s="24" t="s">
        <v>60</v>
      </c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6">
        <v>33.0</v>
      </c>
      <c r="B1009" s="35" t="str">
        <f t="array" ref="B1009">INDEX('Báo cáo 75 trang đích'!$B$2:$B$76,$A1009)</f>
        <v>https://techcombank.com/thong-tin/blog/cach-huy-the-tin-dung</v>
      </c>
      <c r="C1009" s="5" t="str">
        <f t="array" ref="C1009">INDEX('Báo cáo 75 trang đích'!$C$2:$C$76,$A1009)</f>
        <v>CCB</v>
      </c>
      <c r="D1009" s="20" t="s">
        <v>215</v>
      </c>
      <c r="E1009" s="22" t="s">
        <v>231</v>
      </c>
      <c r="F1009" s="22" t="s">
        <v>81</v>
      </c>
      <c r="G1009" s="22" t="s">
        <v>1449</v>
      </c>
      <c r="H1009" s="24" t="s">
        <v>59</v>
      </c>
      <c r="I1009" s="24" t="s">
        <v>59</v>
      </c>
      <c r="J1009" s="24" t="s">
        <v>60</v>
      </c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6">
        <v>33.0</v>
      </c>
      <c r="B1010" s="35" t="str">
        <f t="array" ref="B1010">INDEX('Báo cáo 75 trang đích'!$B$2:$B$76,$A1010)</f>
        <v>https://techcombank.com/thong-tin/blog/cach-huy-the-tin-dung</v>
      </c>
      <c r="C1010" s="5" t="str">
        <f t="array" ref="C1010">INDEX('Báo cáo 75 trang đích'!$C$2:$C$76,$A1010)</f>
        <v>CCB</v>
      </c>
      <c r="D1010" s="20" t="s">
        <v>1461</v>
      </c>
      <c r="E1010" s="22" t="s">
        <v>795</v>
      </c>
      <c r="F1010" s="22" t="s">
        <v>81</v>
      </c>
      <c r="G1010" s="22" t="s">
        <v>1449</v>
      </c>
      <c r="H1010" s="24" t="s">
        <v>59</v>
      </c>
      <c r="I1010" s="24" t="s">
        <v>59</v>
      </c>
      <c r="J1010" s="24" t="s">
        <v>60</v>
      </c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6">
        <v>33.0</v>
      </c>
      <c r="B1011" s="35" t="str">
        <f t="array" ref="B1011">INDEX('Báo cáo 75 trang đích'!$B$2:$B$76,$A1011)</f>
        <v>https://techcombank.com/thong-tin/blog/cach-huy-the-tin-dung</v>
      </c>
      <c r="C1011" s="5" t="str">
        <f t="array" ref="C1011">INDEX('Báo cáo 75 trang đích'!$C$2:$C$76,$A1011)</f>
        <v>CCB</v>
      </c>
      <c r="D1011" s="20" t="s">
        <v>1462</v>
      </c>
      <c r="E1011" s="22" t="s">
        <v>231</v>
      </c>
      <c r="F1011" s="22" t="s">
        <v>81</v>
      </c>
      <c r="G1011" s="22" t="s">
        <v>1449</v>
      </c>
      <c r="H1011" s="24" t="s">
        <v>59</v>
      </c>
      <c r="I1011" s="24" t="s">
        <v>59</v>
      </c>
      <c r="J1011" s="24" t="s">
        <v>60</v>
      </c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6">
        <v>33.0</v>
      </c>
      <c r="B1012" s="35" t="str">
        <f t="array" ref="B1012">INDEX('Báo cáo 75 trang đích'!$B$2:$B$76,$A1012)</f>
        <v>https://techcombank.com/thong-tin/blog/cach-huy-the-tin-dung</v>
      </c>
      <c r="C1012" s="5" t="str">
        <f t="array" ref="C1012">INDEX('Báo cáo 75 trang đích'!$C$2:$C$76,$A1012)</f>
        <v>CCB</v>
      </c>
      <c r="D1012" s="20" t="s">
        <v>1463</v>
      </c>
      <c r="E1012" s="22" t="s">
        <v>795</v>
      </c>
      <c r="F1012" s="22" t="s">
        <v>81</v>
      </c>
      <c r="G1012" s="22" t="s">
        <v>1449</v>
      </c>
      <c r="H1012" s="24" t="s">
        <v>59</v>
      </c>
      <c r="I1012" s="24" t="s">
        <v>59</v>
      </c>
      <c r="J1012" s="24" t="s">
        <v>60</v>
      </c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6">
        <v>33.0</v>
      </c>
      <c r="B1013" s="35" t="str">
        <f t="array" ref="B1013">INDEX('Báo cáo 75 trang đích'!$B$2:$B$76,$A1013)</f>
        <v>https://techcombank.com/thong-tin/blog/cach-huy-the-tin-dung</v>
      </c>
      <c r="C1013" s="5" t="str">
        <f t="array" ref="C1013">INDEX('Báo cáo 75 trang đích'!$C$2:$C$76,$A1013)</f>
        <v>CCB</v>
      </c>
      <c r="D1013" s="20" t="s">
        <v>646</v>
      </c>
      <c r="E1013" s="22" t="s">
        <v>231</v>
      </c>
      <c r="F1013" s="22" t="s">
        <v>81</v>
      </c>
      <c r="G1013" s="22" t="s">
        <v>1449</v>
      </c>
      <c r="H1013" s="24" t="s">
        <v>59</v>
      </c>
      <c r="I1013" s="24" t="s">
        <v>59</v>
      </c>
      <c r="J1013" s="24" t="s">
        <v>60</v>
      </c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6">
        <v>33.0</v>
      </c>
      <c r="B1014" s="35" t="str">
        <f t="array" ref="B1014">INDEX('Báo cáo 75 trang đích'!$B$2:$B$76,$A1014)</f>
        <v>https://techcombank.com/thong-tin/blog/cach-huy-the-tin-dung</v>
      </c>
      <c r="C1014" s="5" t="str">
        <f t="array" ref="C1014">INDEX('Báo cáo 75 trang đích'!$C$2:$C$76,$A1014)</f>
        <v>CCB</v>
      </c>
      <c r="D1014" s="20" t="s">
        <v>269</v>
      </c>
      <c r="E1014" s="22" t="s">
        <v>795</v>
      </c>
      <c r="F1014" s="22" t="s">
        <v>81</v>
      </c>
      <c r="G1014" s="22" t="s">
        <v>1449</v>
      </c>
      <c r="H1014" s="24" t="s">
        <v>59</v>
      </c>
      <c r="I1014" s="24" t="s">
        <v>59</v>
      </c>
      <c r="J1014" s="24" t="s">
        <v>60</v>
      </c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6">
        <v>33.0</v>
      </c>
      <c r="B1015" s="35" t="str">
        <f t="array" ref="B1015">INDEX('Báo cáo 75 trang đích'!$B$2:$B$76,$A1015)</f>
        <v>https://techcombank.com/thong-tin/blog/cach-huy-the-tin-dung</v>
      </c>
      <c r="C1015" s="5" t="str">
        <f t="array" ref="C1015">INDEX('Báo cáo 75 trang đích'!$C$2:$C$76,$A1015)</f>
        <v>CCB</v>
      </c>
      <c r="D1015" s="20" t="s">
        <v>1401</v>
      </c>
      <c r="E1015" s="22" t="s">
        <v>231</v>
      </c>
      <c r="F1015" s="22" t="s">
        <v>81</v>
      </c>
      <c r="G1015" s="22" t="s">
        <v>1449</v>
      </c>
      <c r="H1015" s="24" t="s">
        <v>59</v>
      </c>
      <c r="I1015" s="24" t="s">
        <v>59</v>
      </c>
      <c r="J1015" s="24" t="s">
        <v>60</v>
      </c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6">
        <v>33.0</v>
      </c>
      <c r="B1016" s="35" t="str">
        <f t="array" ref="B1016">INDEX('Báo cáo 75 trang đích'!$B$2:$B$76,$A1016)</f>
        <v>https://techcombank.com/thong-tin/blog/cach-huy-the-tin-dung</v>
      </c>
      <c r="C1016" s="5" t="str">
        <f t="array" ref="C1016">INDEX('Báo cáo 75 trang đích'!$C$2:$C$76,$A1016)</f>
        <v>CCB</v>
      </c>
      <c r="D1016" s="20" t="s">
        <v>1280</v>
      </c>
      <c r="E1016" s="22" t="s">
        <v>795</v>
      </c>
      <c r="F1016" s="22" t="s">
        <v>81</v>
      </c>
      <c r="G1016" s="22" t="s">
        <v>1449</v>
      </c>
      <c r="H1016" s="24" t="s">
        <v>59</v>
      </c>
      <c r="I1016" s="24" t="s">
        <v>59</v>
      </c>
      <c r="J1016" s="24" t="s">
        <v>60</v>
      </c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6">
        <v>33.0</v>
      </c>
      <c r="B1017" s="35" t="str">
        <f t="array" ref="B1017">INDEX('Báo cáo 75 trang đích'!$B$2:$B$76,$A1017)</f>
        <v>https://techcombank.com/thong-tin/blog/cach-huy-the-tin-dung</v>
      </c>
      <c r="C1017" s="5" t="str">
        <f t="array" ref="C1017">INDEX('Báo cáo 75 trang đích'!$C$2:$C$76,$A1017)</f>
        <v>CCB</v>
      </c>
      <c r="D1017" s="20" t="s">
        <v>771</v>
      </c>
      <c r="E1017" s="22" t="s">
        <v>231</v>
      </c>
      <c r="F1017" s="22" t="s">
        <v>81</v>
      </c>
      <c r="G1017" s="22" t="s">
        <v>1449</v>
      </c>
      <c r="H1017" s="24" t="s">
        <v>59</v>
      </c>
      <c r="I1017" s="24" t="s">
        <v>59</v>
      </c>
      <c r="J1017" s="24" t="s">
        <v>60</v>
      </c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6">
        <v>33.0</v>
      </c>
      <c r="B1018" s="35" t="str">
        <f t="array" ref="B1018">INDEX('Báo cáo 75 trang đích'!$B$2:$B$76,$A1018)</f>
        <v>https://techcombank.com/thong-tin/blog/cach-huy-the-tin-dung</v>
      </c>
      <c r="C1018" s="5" t="str">
        <f t="array" ref="C1018">INDEX('Báo cáo 75 trang đích'!$C$2:$C$76,$A1018)</f>
        <v>CCB</v>
      </c>
      <c r="D1018" s="20" t="s">
        <v>1464</v>
      </c>
      <c r="E1018" s="22" t="s">
        <v>795</v>
      </c>
      <c r="F1018" s="22" t="s">
        <v>81</v>
      </c>
      <c r="G1018" s="22" t="s">
        <v>1449</v>
      </c>
      <c r="H1018" s="24" t="s">
        <v>59</v>
      </c>
      <c r="I1018" s="24" t="s">
        <v>59</v>
      </c>
      <c r="J1018" s="24" t="s">
        <v>60</v>
      </c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6">
        <v>33.0</v>
      </c>
      <c r="B1019" s="35" t="str">
        <f t="array" ref="B1019">INDEX('Báo cáo 75 trang đích'!$B$2:$B$76,$A1019)</f>
        <v>https://techcombank.com/thong-tin/blog/cach-huy-the-tin-dung</v>
      </c>
      <c r="C1019" s="5" t="str">
        <f t="array" ref="C1019">INDEX('Báo cáo 75 trang đích'!$C$2:$C$76,$A1019)</f>
        <v>CCB</v>
      </c>
      <c r="D1019" s="20" t="s">
        <v>749</v>
      </c>
      <c r="E1019" s="22" t="s">
        <v>231</v>
      </c>
      <c r="F1019" s="22" t="s">
        <v>81</v>
      </c>
      <c r="G1019" s="22" t="s">
        <v>1449</v>
      </c>
      <c r="H1019" s="24" t="s">
        <v>59</v>
      </c>
      <c r="I1019" s="24" t="s">
        <v>59</v>
      </c>
      <c r="J1019" s="24" t="s">
        <v>60</v>
      </c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6">
        <v>33.0</v>
      </c>
      <c r="B1020" s="35" t="str">
        <f t="array" ref="B1020">INDEX('Báo cáo 75 trang đích'!$B$2:$B$76,$A1020)</f>
        <v>https://techcombank.com/thong-tin/blog/cach-huy-the-tin-dung</v>
      </c>
      <c r="C1020" s="5" t="str">
        <f t="array" ref="C1020">INDEX('Báo cáo 75 trang đích'!$C$2:$C$76,$A1020)</f>
        <v>CCB</v>
      </c>
      <c r="D1020" s="20" t="s">
        <v>776</v>
      </c>
      <c r="E1020" s="22" t="s">
        <v>795</v>
      </c>
      <c r="F1020" s="22" t="s">
        <v>81</v>
      </c>
      <c r="G1020" s="22" t="s">
        <v>1449</v>
      </c>
      <c r="H1020" s="24" t="s">
        <v>59</v>
      </c>
      <c r="I1020" s="24" t="s">
        <v>59</v>
      </c>
      <c r="J1020" s="24" t="s">
        <v>60</v>
      </c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6">
        <v>33.0</v>
      </c>
      <c r="B1021" s="35" t="str">
        <f t="array" ref="B1021">INDEX('Báo cáo 75 trang đích'!$B$2:$B$76,$A1021)</f>
        <v>https://techcombank.com/thong-tin/blog/cach-huy-the-tin-dung</v>
      </c>
      <c r="C1021" s="5" t="str">
        <f t="array" ref="C1021">INDEX('Báo cáo 75 trang đích'!$C$2:$C$76,$A1021)</f>
        <v>CCB</v>
      </c>
      <c r="D1021" s="20" t="s">
        <v>1465</v>
      </c>
      <c r="E1021" s="22" t="s">
        <v>231</v>
      </c>
      <c r="F1021" s="22" t="s">
        <v>81</v>
      </c>
      <c r="G1021" s="22" t="s">
        <v>1449</v>
      </c>
      <c r="H1021" s="24" t="s">
        <v>59</v>
      </c>
      <c r="I1021" s="24" t="s">
        <v>59</v>
      </c>
      <c r="J1021" s="24" t="s">
        <v>60</v>
      </c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6">
        <v>33.0</v>
      </c>
      <c r="B1022" s="35" t="str">
        <f t="array" ref="B1022">INDEX('Báo cáo 75 trang đích'!$B$2:$B$76,$A1022)</f>
        <v>https://techcombank.com/thong-tin/blog/cach-huy-the-tin-dung</v>
      </c>
      <c r="C1022" s="5" t="str">
        <f t="array" ref="C1022">INDEX('Báo cáo 75 trang đích'!$C$2:$C$76,$A1022)</f>
        <v>CCB</v>
      </c>
      <c r="D1022" s="20" t="s">
        <v>811</v>
      </c>
      <c r="E1022" s="22" t="s">
        <v>795</v>
      </c>
      <c r="F1022" s="22" t="s">
        <v>81</v>
      </c>
      <c r="G1022" s="22" t="s">
        <v>1449</v>
      </c>
      <c r="H1022" s="24" t="s">
        <v>59</v>
      </c>
      <c r="I1022" s="24" t="s">
        <v>59</v>
      </c>
      <c r="J1022" s="24" t="s">
        <v>60</v>
      </c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6">
        <v>33.0</v>
      </c>
      <c r="B1023" s="35" t="str">
        <f t="array" ref="B1023">INDEX('Báo cáo 75 trang đích'!$B$2:$B$76,$A1023)</f>
        <v>https://techcombank.com/thong-tin/blog/cach-huy-the-tin-dung</v>
      </c>
      <c r="C1023" s="5" t="str">
        <f t="array" ref="C1023">INDEX('Báo cáo 75 trang đích'!$C$2:$C$76,$A1023)</f>
        <v>CCB</v>
      </c>
      <c r="D1023" s="20" t="s">
        <v>1466</v>
      </c>
      <c r="E1023" s="22" t="s">
        <v>231</v>
      </c>
      <c r="F1023" s="22" t="s">
        <v>81</v>
      </c>
      <c r="G1023" s="22" t="s">
        <v>1449</v>
      </c>
      <c r="H1023" s="24" t="s">
        <v>59</v>
      </c>
      <c r="I1023" s="24" t="s">
        <v>59</v>
      </c>
      <c r="J1023" s="24" t="s">
        <v>60</v>
      </c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6">
        <v>33.0</v>
      </c>
      <c r="B1024" s="35" t="str">
        <f t="array" ref="B1024">INDEX('Báo cáo 75 trang đích'!$B$2:$B$76,$A1024)</f>
        <v>https://techcombank.com/thong-tin/blog/cach-huy-the-tin-dung</v>
      </c>
      <c r="C1024" s="5" t="str">
        <f t="array" ref="C1024">INDEX('Báo cáo 75 trang đích'!$C$2:$C$76,$A1024)</f>
        <v>CCB</v>
      </c>
      <c r="D1024" s="20" t="s">
        <v>431</v>
      </c>
      <c r="E1024" s="22" t="s">
        <v>795</v>
      </c>
      <c r="F1024" s="22" t="s">
        <v>81</v>
      </c>
      <c r="G1024" s="22" t="s">
        <v>1449</v>
      </c>
      <c r="H1024" s="24" t="s">
        <v>59</v>
      </c>
      <c r="I1024" s="24" t="s">
        <v>59</v>
      </c>
      <c r="J1024" s="24" t="s">
        <v>60</v>
      </c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6">
        <v>33.0</v>
      </c>
      <c r="B1025" s="35" t="str">
        <f t="array" ref="B1025">INDEX('Báo cáo 75 trang đích'!$B$2:$B$76,$A1025)</f>
        <v>https://techcombank.com/thong-tin/blog/cach-huy-the-tin-dung</v>
      </c>
      <c r="C1025" s="5" t="str">
        <f t="array" ref="C1025">INDEX('Báo cáo 75 trang đích'!$C$2:$C$76,$A1025)</f>
        <v>CCB</v>
      </c>
      <c r="D1025" s="20" t="s">
        <v>1331</v>
      </c>
      <c r="E1025" s="22" t="s">
        <v>231</v>
      </c>
      <c r="F1025" s="22" t="s">
        <v>81</v>
      </c>
      <c r="G1025" s="22" t="s">
        <v>1449</v>
      </c>
      <c r="H1025" s="24" t="s">
        <v>59</v>
      </c>
      <c r="I1025" s="24" t="s">
        <v>59</v>
      </c>
      <c r="J1025" s="24" t="s">
        <v>60</v>
      </c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6">
        <v>33.0</v>
      </c>
      <c r="B1026" s="35" t="str">
        <f t="array" ref="B1026">INDEX('Báo cáo 75 trang đích'!$B$2:$B$76,$A1026)</f>
        <v>https://techcombank.com/thong-tin/blog/cach-huy-the-tin-dung</v>
      </c>
      <c r="C1026" s="5" t="str">
        <f t="array" ref="C1026">INDEX('Báo cáo 75 trang đích'!$C$2:$C$76,$A1026)</f>
        <v>CCB</v>
      </c>
      <c r="D1026" s="20" t="s">
        <v>1468</v>
      </c>
      <c r="E1026" s="22" t="s">
        <v>795</v>
      </c>
      <c r="F1026" s="22" t="s">
        <v>81</v>
      </c>
      <c r="G1026" s="22" t="s">
        <v>1449</v>
      </c>
      <c r="H1026" s="24" t="s">
        <v>59</v>
      </c>
      <c r="I1026" s="24" t="s">
        <v>59</v>
      </c>
      <c r="J1026" s="24" t="s">
        <v>60</v>
      </c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6">
        <v>33.0</v>
      </c>
      <c r="B1027" s="35" t="str">
        <f t="array" ref="B1027">INDEX('Báo cáo 75 trang đích'!$B$2:$B$76,$A1027)</f>
        <v>https://techcombank.com/thong-tin/blog/cach-huy-the-tin-dung</v>
      </c>
      <c r="C1027" s="5" t="str">
        <f t="array" ref="C1027">INDEX('Báo cáo 75 trang đích'!$C$2:$C$76,$A1027)</f>
        <v>CCB</v>
      </c>
      <c r="D1027" s="20" t="s">
        <v>198</v>
      </c>
      <c r="E1027" s="22" t="s">
        <v>231</v>
      </c>
      <c r="F1027" s="22" t="s">
        <v>81</v>
      </c>
      <c r="G1027" s="22" t="s">
        <v>1449</v>
      </c>
      <c r="H1027" s="24" t="s">
        <v>59</v>
      </c>
      <c r="I1027" s="24" t="s">
        <v>59</v>
      </c>
      <c r="J1027" s="24" t="s">
        <v>60</v>
      </c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6">
        <v>33.0</v>
      </c>
      <c r="B1028" s="35" t="str">
        <f t="array" ref="B1028">INDEX('Báo cáo 75 trang đích'!$B$2:$B$76,$A1028)</f>
        <v>https://techcombank.com/thong-tin/blog/cach-huy-the-tin-dung</v>
      </c>
      <c r="C1028" s="5" t="str">
        <f t="array" ref="C1028">INDEX('Báo cáo 75 trang đích'!$C$2:$C$76,$A1028)</f>
        <v>CCB</v>
      </c>
      <c r="D1028" s="20" t="s">
        <v>1469</v>
      </c>
      <c r="E1028" s="22" t="s">
        <v>795</v>
      </c>
      <c r="F1028" s="22" t="s">
        <v>81</v>
      </c>
      <c r="G1028" s="22" t="s">
        <v>1449</v>
      </c>
      <c r="H1028" s="24" t="s">
        <v>59</v>
      </c>
      <c r="I1028" s="24" t="s">
        <v>59</v>
      </c>
      <c r="J1028" s="24" t="s">
        <v>60</v>
      </c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6">
        <v>33.0</v>
      </c>
      <c r="B1029" s="35" t="str">
        <f t="array" ref="B1029">INDEX('Báo cáo 75 trang đích'!$B$2:$B$76,$A1029)</f>
        <v>https://techcombank.com/thong-tin/blog/cach-huy-the-tin-dung</v>
      </c>
      <c r="C1029" s="5" t="str">
        <f t="array" ref="C1029">INDEX('Báo cáo 75 trang đích'!$C$2:$C$76,$A1029)</f>
        <v>CCB</v>
      </c>
      <c r="D1029" s="20" t="s">
        <v>187</v>
      </c>
      <c r="E1029" s="22" t="s">
        <v>231</v>
      </c>
      <c r="F1029" s="22" t="s">
        <v>81</v>
      </c>
      <c r="G1029" s="22" t="s">
        <v>1449</v>
      </c>
      <c r="H1029" s="24" t="s">
        <v>59</v>
      </c>
      <c r="I1029" s="24" t="s">
        <v>59</v>
      </c>
      <c r="J1029" s="24" t="s">
        <v>60</v>
      </c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6">
        <v>33.0</v>
      </c>
      <c r="B1030" s="35" t="str">
        <f t="array" ref="B1030">INDEX('Báo cáo 75 trang đích'!$B$2:$B$76,$A1030)</f>
        <v>https://techcombank.com/thong-tin/blog/cach-huy-the-tin-dung</v>
      </c>
      <c r="C1030" s="5" t="str">
        <f t="array" ref="C1030">INDEX('Báo cáo 75 trang đích'!$C$2:$C$76,$A1030)</f>
        <v>CCB</v>
      </c>
      <c r="D1030" s="20" t="s">
        <v>817</v>
      </c>
      <c r="E1030" s="22" t="s">
        <v>795</v>
      </c>
      <c r="F1030" s="22" t="s">
        <v>81</v>
      </c>
      <c r="G1030" s="22" t="s">
        <v>1449</v>
      </c>
      <c r="H1030" s="24" t="s">
        <v>59</v>
      </c>
      <c r="I1030" s="24" t="s">
        <v>59</v>
      </c>
      <c r="J1030" s="24" t="s">
        <v>60</v>
      </c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6">
        <v>33.0</v>
      </c>
      <c r="B1031" s="35" t="str">
        <f t="array" ref="B1031">INDEX('Báo cáo 75 trang đích'!$B$2:$B$76,$A1031)</f>
        <v>https://techcombank.com/thong-tin/blog/cach-huy-the-tin-dung</v>
      </c>
      <c r="C1031" s="5" t="str">
        <f t="array" ref="C1031">INDEX('Báo cáo 75 trang đích'!$C$2:$C$76,$A1031)</f>
        <v>CCB</v>
      </c>
      <c r="D1031" s="20" t="s">
        <v>1470</v>
      </c>
      <c r="E1031" s="22" t="s">
        <v>231</v>
      </c>
      <c r="F1031" s="22" t="s">
        <v>81</v>
      </c>
      <c r="G1031" s="22" t="s">
        <v>1449</v>
      </c>
      <c r="H1031" s="24" t="s">
        <v>59</v>
      </c>
      <c r="I1031" s="24" t="s">
        <v>59</v>
      </c>
      <c r="J1031" s="24" t="s">
        <v>60</v>
      </c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6">
        <v>33.0</v>
      </c>
      <c r="B1032" s="35" t="str">
        <f t="array" ref="B1032">INDEX('Báo cáo 75 trang đích'!$B$2:$B$76,$A1032)</f>
        <v>https://techcombank.com/thong-tin/blog/cach-huy-the-tin-dung</v>
      </c>
      <c r="C1032" s="5" t="str">
        <f t="array" ref="C1032">INDEX('Báo cáo 75 trang đích'!$C$2:$C$76,$A1032)</f>
        <v>CCB</v>
      </c>
      <c r="D1032" s="20" t="s">
        <v>1471</v>
      </c>
      <c r="E1032" s="22" t="s">
        <v>795</v>
      </c>
      <c r="F1032" s="22" t="s">
        <v>81</v>
      </c>
      <c r="G1032" s="22" t="s">
        <v>1449</v>
      </c>
      <c r="H1032" s="24" t="s">
        <v>59</v>
      </c>
      <c r="I1032" s="24" t="s">
        <v>59</v>
      </c>
      <c r="J1032" s="24" t="s">
        <v>60</v>
      </c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6">
        <v>33.0</v>
      </c>
      <c r="B1033" s="35" t="str">
        <f t="array" ref="B1033">INDEX('Báo cáo 75 trang đích'!$B$2:$B$76,$A1033)</f>
        <v>https://techcombank.com/thong-tin/blog/cach-huy-the-tin-dung</v>
      </c>
      <c r="C1033" s="5" t="str">
        <f t="array" ref="C1033">INDEX('Báo cáo 75 trang đích'!$C$2:$C$76,$A1033)</f>
        <v>CCB</v>
      </c>
      <c r="D1033" s="20" t="s">
        <v>752</v>
      </c>
      <c r="E1033" s="22" t="s">
        <v>231</v>
      </c>
      <c r="F1033" s="22" t="s">
        <v>81</v>
      </c>
      <c r="G1033" s="22" t="s">
        <v>1449</v>
      </c>
      <c r="H1033" s="24" t="s">
        <v>59</v>
      </c>
      <c r="I1033" s="24" t="s">
        <v>59</v>
      </c>
      <c r="J1033" s="24" t="s">
        <v>60</v>
      </c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6">
        <v>33.0</v>
      </c>
      <c r="B1034" s="35" t="str">
        <f t="array" ref="B1034">INDEX('Báo cáo 75 trang đích'!$B$2:$B$76,$A1034)</f>
        <v>https://techcombank.com/thong-tin/blog/cach-huy-the-tin-dung</v>
      </c>
      <c r="C1034" s="5" t="str">
        <f t="array" ref="C1034">INDEX('Báo cáo 75 trang đích'!$C$2:$C$76,$A1034)</f>
        <v>CCB</v>
      </c>
      <c r="D1034" s="20" t="s">
        <v>786</v>
      </c>
      <c r="E1034" s="22" t="s">
        <v>795</v>
      </c>
      <c r="F1034" s="22" t="s">
        <v>81</v>
      </c>
      <c r="G1034" s="22" t="s">
        <v>1449</v>
      </c>
      <c r="H1034" s="24" t="s">
        <v>59</v>
      </c>
      <c r="I1034" s="24" t="s">
        <v>59</v>
      </c>
      <c r="J1034" s="24" t="s">
        <v>60</v>
      </c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6">
        <v>33.0</v>
      </c>
      <c r="B1035" s="35" t="str">
        <f t="array" ref="B1035">INDEX('Báo cáo 75 trang đích'!$B$2:$B$76,$A1035)</f>
        <v>https://techcombank.com/thong-tin/blog/cach-huy-the-tin-dung</v>
      </c>
      <c r="C1035" s="5" t="str">
        <f t="array" ref="C1035">INDEX('Báo cáo 75 trang đích'!$C$2:$C$76,$A1035)</f>
        <v>CCB</v>
      </c>
      <c r="D1035" s="20" t="s">
        <v>747</v>
      </c>
      <c r="E1035" s="22" t="s">
        <v>231</v>
      </c>
      <c r="F1035" s="22" t="s">
        <v>81</v>
      </c>
      <c r="G1035" s="22" t="s">
        <v>1449</v>
      </c>
      <c r="H1035" s="24" t="s">
        <v>59</v>
      </c>
      <c r="I1035" s="24" t="s">
        <v>59</v>
      </c>
      <c r="J1035" s="24" t="s">
        <v>60</v>
      </c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6">
        <v>33.0</v>
      </c>
      <c r="B1036" s="35" t="str">
        <f t="array" ref="B1036">INDEX('Báo cáo 75 trang đích'!$B$2:$B$76,$A1036)</f>
        <v>https://techcombank.com/thong-tin/blog/cach-huy-the-tin-dung</v>
      </c>
      <c r="C1036" s="5" t="str">
        <f t="array" ref="C1036">INDEX('Báo cáo 75 trang đích'!$C$2:$C$76,$A1036)</f>
        <v>CCB</v>
      </c>
      <c r="D1036" s="20" t="s">
        <v>1283</v>
      </c>
      <c r="E1036" s="22" t="s">
        <v>795</v>
      </c>
      <c r="F1036" s="22" t="s">
        <v>81</v>
      </c>
      <c r="G1036" s="22" t="s">
        <v>1449</v>
      </c>
      <c r="H1036" s="24" t="s">
        <v>59</v>
      </c>
      <c r="I1036" s="24" t="s">
        <v>59</v>
      </c>
      <c r="J1036" s="24" t="s">
        <v>60</v>
      </c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6">
        <v>33.0</v>
      </c>
      <c r="B1037" s="35" t="str">
        <f t="array" ref="B1037">INDEX('Báo cáo 75 trang đích'!$B$2:$B$76,$A1037)</f>
        <v>https://techcombank.com/thong-tin/blog/cach-huy-the-tin-dung</v>
      </c>
      <c r="C1037" s="5" t="str">
        <f t="array" ref="C1037">INDEX('Báo cáo 75 trang đích'!$C$2:$C$76,$A1037)</f>
        <v>CCB</v>
      </c>
      <c r="D1037" s="20" t="s">
        <v>700</v>
      </c>
      <c r="E1037" s="22" t="s">
        <v>231</v>
      </c>
      <c r="F1037" s="22" t="s">
        <v>81</v>
      </c>
      <c r="G1037" s="22" t="s">
        <v>1449</v>
      </c>
      <c r="H1037" s="24" t="s">
        <v>59</v>
      </c>
      <c r="I1037" s="24" t="s">
        <v>59</v>
      </c>
      <c r="J1037" s="24" t="s">
        <v>60</v>
      </c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6">
        <v>33.0</v>
      </c>
      <c r="B1038" s="35" t="str">
        <f t="array" ref="B1038">INDEX('Báo cáo 75 trang đích'!$B$2:$B$76,$A1038)</f>
        <v>https://techcombank.com/thong-tin/blog/cach-huy-the-tin-dung</v>
      </c>
      <c r="C1038" s="5" t="str">
        <f t="array" ref="C1038">INDEX('Báo cáo 75 trang đích'!$C$2:$C$76,$A1038)</f>
        <v>CCB</v>
      </c>
      <c r="D1038" s="20" t="s">
        <v>1472</v>
      </c>
      <c r="E1038" s="22" t="s">
        <v>795</v>
      </c>
      <c r="F1038" s="22" t="s">
        <v>81</v>
      </c>
      <c r="G1038" s="22" t="s">
        <v>1449</v>
      </c>
      <c r="H1038" s="24" t="s">
        <v>59</v>
      </c>
      <c r="I1038" s="24" t="s">
        <v>59</v>
      </c>
      <c r="J1038" s="24" t="s">
        <v>60</v>
      </c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6">
        <v>33.0</v>
      </c>
      <c r="B1039" s="35" t="str">
        <f t="array" ref="B1039">INDEX('Báo cáo 75 trang đích'!$B$2:$B$76,$A1039)</f>
        <v>https://techcombank.com/thong-tin/blog/cach-huy-the-tin-dung</v>
      </c>
      <c r="C1039" s="5" t="str">
        <f t="array" ref="C1039">INDEX('Báo cáo 75 trang đích'!$C$2:$C$76,$A1039)</f>
        <v>CCB</v>
      </c>
      <c r="D1039" s="20" t="s">
        <v>758</v>
      </c>
      <c r="E1039" s="22" t="s">
        <v>231</v>
      </c>
      <c r="F1039" s="22" t="s">
        <v>81</v>
      </c>
      <c r="G1039" s="22" t="s">
        <v>1449</v>
      </c>
      <c r="H1039" s="24" t="s">
        <v>59</v>
      </c>
      <c r="I1039" s="24" t="s">
        <v>59</v>
      </c>
      <c r="J1039" s="24" t="s">
        <v>60</v>
      </c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6">
        <v>33.0</v>
      </c>
      <c r="B1040" s="35" t="str">
        <f t="array" ref="B1040">INDEX('Báo cáo 75 trang đích'!$B$2:$B$76,$A1040)</f>
        <v>https://techcombank.com/thong-tin/blog/cach-huy-the-tin-dung</v>
      </c>
      <c r="C1040" s="5" t="str">
        <f t="array" ref="C1040">INDEX('Báo cáo 75 trang đích'!$C$2:$C$76,$A1040)</f>
        <v>CCB</v>
      </c>
      <c r="D1040" s="20" t="s">
        <v>1473</v>
      </c>
      <c r="E1040" s="22" t="s">
        <v>795</v>
      </c>
      <c r="F1040" s="22" t="s">
        <v>81</v>
      </c>
      <c r="G1040" s="22" t="s">
        <v>1449</v>
      </c>
      <c r="H1040" s="24" t="s">
        <v>59</v>
      </c>
      <c r="I1040" s="24" t="s">
        <v>59</v>
      </c>
      <c r="J1040" s="24" t="s">
        <v>60</v>
      </c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6">
        <v>33.0</v>
      </c>
      <c r="B1041" s="35" t="str">
        <f t="array" ref="B1041">INDEX('Báo cáo 75 trang đích'!$B$2:$B$76,$A1041)</f>
        <v>https://techcombank.com/thong-tin/blog/cach-huy-the-tin-dung</v>
      </c>
      <c r="C1041" s="5" t="str">
        <f t="array" ref="C1041">INDEX('Báo cáo 75 trang đích'!$C$2:$C$76,$A1041)</f>
        <v>CCB</v>
      </c>
      <c r="D1041" s="20" t="s">
        <v>1223</v>
      </c>
      <c r="E1041" s="22" t="s">
        <v>231</v>
      </c>
      <c r="F1041" s="22" t="s">
        <v>81</v>
      </c>
      <c r="G1041" s="22" t="s">
        <v>1449</v>
      </c>
      <c r="H1041" s="24" t="s">
        <v>59</v>
      </c>
      <c r="I1041" s="24" t="s">
        <v>59</v>
      </c>
      <c r="J1041" s="24" t="s">
        <v>60</v>
      </c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6">
        <v>33.0</v>
      </c>
      <c r="B1042" s="35" t="str">
        <f t="array" ref="B1042">INDEX('Báo cáo 75 trang đích'!$B$2:$B$76,$A1042)</f>
        <v>https://techcombank.com/thong-tin/blog/cach-huy-the-tin-dung</v>
      </c>
      <c r="C1042" s="5" t="str">
        <f t="array" ref="C1042">INDEX('Báo cáo 75 trang đích'!$C$2:$C$76,$A1042)</f>
        <v>CCB</v>
      </c>
      <c r="D1042" s="20" t="s">
        <v>820</v>
      </c>
      <c r="E1042" s="22" t="s">
        <v>795</v>
      </c>
      <c r="F1042" s="22" t="s">
        <v>81</v>
      </c>
      <c r="G1042" s="22" t="s">
        <v>1449</v>
      </c>
      <c r="H1042" s="24" t="s">
        <v>59</v>
      </c>
      <c r="I1042" s="24" t="s">
        <v>59</v>
      </c>
      <c r="J1042" s="24" t="s">
        <v>60</v>
      </c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6">
        <v>33.0</v>
      </c>
      <c r="B1043" s="35" t="str">
        <f t="array" ref="B1043">INDEX('Báo cáo 75 trang đích'!$B$2:$B$76,$A1043)</f>
        <v>https://techcombank.com/thong-tin/blog/cach-huy-the-tin-dung</v>
      </c>
      <c r="C1043" s="5" t="str">
        <f t="array" ref="C1043">INDEX('Báo cáo 75 trang đích'!$C$2:$C$76,$A1043)</f>
        <v>CCB</v>
      </c>
      <c r="D1043" s="20" t="s">
        <v>755</v>
      </c>
      <c r="E1043" s="22" t="s">
        <v>231</v>
      </c>
      <c r="F1043" s="22" t="s">
        <v>81</v>
      </c>
      <c r="G1043" s="22" t="s">
        <v>1449</v>
      </c>
      <c r="H1043" s="24" t="s">
        <v>59</v>
      </c>
      <c r="I1043" s="24" t="s">
        <v>59</v>
      </c>
      <c r="J1043" s="24" t="s">
        <v>60</v>
      </c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6">
        <v>33.0</v>
      </c>
      <c r="B1044" s="35" t="str">
        <f t="array" ref="B1044">INDEX('Báo cáo 75 trang đích'!$B$2:$B$76,$A1044)</f>
        <v>https://techcombank.com/thong-tin/blog/cach-huy-the-tin-dung</v>
      </c>
      <c r="C1044" s="5" t="str">
        <f t="array" ref="C1044">INDEX('Báo cáo 75 trang đích'!$C$2:$C$76,$A1044)</f>
        <v>CCB</v>
      </c>
      <c r="D1044" s="20" t="s">
        <v>1426</v>
      </c>
      <c r="E1044" s="22" t="s">
        <v>795</v>
      </c>
      <c r="F1044" s="22" t="s">
        <v>81</v>
      </c>
      <c r="G1044" s="22" t="s">
        <v>1449</v>
      </c>
      <c r="H1044" s="24" t="s">
        <v>59</v>
      </c>
      <c r="I1044" s="24" t="s">
        <v>59</v>
      </c>
      <c r="J1044" s="24" t="s">
        <v>60</v>
      </c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6">
        <v>33.0</v>
      </c>
      <c r="B1045" s="35" t="str">
        <f t="array" ref="B1045">INDEX('Báo cáo 75 trang đích'!$B$2:$B$76,$A1045)</f>
        <v>https://techcombank.com/thong-tin/blog/cach-huy-the-tin-dung</v>
      </c>
      <c r="C1045" s="5" t="str">
        <f t="array" ref="C1045">INDEX('Báo cáo 75 trang đích'!$C$2:$C$76,$A1045)</f>
        <v>CCB</v>
      </c>
      <c r="D1045" s="20" t="s">
        <v>768</v>
      </c>
      <c r="E1045" s="22" t="s">
        <v>231</v>
      </c>
      <c r="F1045" s="22" t="s">
        <v>81</v>
      </c>
      <c r="G1045" s="22" t="s">
        <v>1449</v>
      </c>
      <c r="H1045" s="24" t="s">
        <v>59</v>
      </c>
      <c r="I1045" s="24" t="s">
        <v>59</v>
      </c>
      <c r="J1045" s="24" t="s">
        <v>60</v>
      </c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6">
        <v>33.0</v>
      </c>
      <c r="B1046" s="35" t="str">
        <f t="array" ref="B1046">INDEX('Báo cáo 75 trang đích'!$B$2:$B$76,$A1046)</f>
        <v>https://techcombank.com/thong-tin/blog/cach-huy-the-tin-dung</v>
      </c>
      <c r="C1046" s="5" t="str">
        <f t="array" ref="C1046">INDEX('Báo cáo 75 trang đích'!$C$2:$C$76,$A1046)</f>
        <v>CCB</v>
      </c>
      <c r="D1046" s="20" t="s">
        <v>709</v>
      </c>
      <c r="E1046" s="22" t="s">
        <v>795</v>
      </c>
      <c r="F1046" s="22" t="s">
        <v>81</v>
      </c>
      <c r="G1046" s="22" t="s">
        <v>1449</v>
      </c>
      <c r="H1046" s="24" t="s">
        <v>59</v>
      </c>
      <c r="I1046" s="24" t="s">
        <v>59</v>
      </c>
      <c r="J1046" s="24" t="s">
        <v>60</v>
      </c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6">
        <v>33.0</v>
      </c>
      <c r="B1047" s="35" t="str">
        <f t="array" ref="B1047">INDEX('Báo cáo 75 trang đích'!$B$2:$B$76,$A1047)</f>
        <v>https://techcombank.com/thong-tin/blog/cach-huy-the-tin-dung</v>
      </c>
      <c r="C1047" s="5" t="str">
        <f t="array" ref="C1047">INDEX('Báo cáo 75 trang đích'!$C$2:$C$76,$A1047)</f>
        <v>CCB</v>
      </c>
      <c r="D1047" s="20" t="s">
        <v>760</v>
      </c>
      <c r="E1047" s="22" t="s">
        <v>231</v>
      </c>
      <c r="F1047" s="22" t="s">
        <v>81</v>
      </c>
      <c r="G1047" s="22" t="s">
        <v>1449</v>
      </c>
      <c r="H1047" s="24" t="s">
        <v>59</v>
      </c>
      <c r="I1047" s="24" t="s">
        <v>59</v>
      </c>
      <c r="J1047" s="24" t="s">
        <v>60</v>
      </c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6">
        <v>33.0</v>
      </c>
      <c r="B1048" s="35" t="str">
        <f t="array" ref="B1048">INDEX('Báo cáo 75 trang đích'!$B$2:$B$76,$A1048)</f>
        <v>https://techcombank.com/thong-tin/blog/cach-huy-the-tin-dung</v>
      </c>
      <c r="C1048" s="5" t="str">
        <f t="array" ref="C1048">INDEX('Báo cáo 75 trang đích'!$C$2:$C$76,$A1048)</f>
        <v>CCB</v>
      </c>
      <c r="D1048" s="20" t="s">
        <v>1474</v>
      </c>
      <c r="E1048" s="22" t="s">
        <v>795</v>
      </c>
      <c r="F1048" s="22" t="s">
        <v>81</v>
      </c>
      <c r="G1048" s="22" t="s">
        <v>1449</v>
      </c>
      <c r="H1048" s="24" t="s">
        <v>59</v>
      </c>
      <c r="I1048" s="24" t="s">
        <v>59</v>
      </c>
      <c r="J1048" s="24" t="s">
        <v>60</v>
      </c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6">
        <v>33.0</v>
      </c>
      <c r="B1049" s="35" t="str">
        <f t="array" ref="B1049">INDEX('Báo cáo 75 trang đích'!$B$2:$B$76,$A1049)</f>
        <v>https://techcombank.com/thong-tin/blog/cach-huy-the-tin-dung</v>
      </c>
      <c r="C1049" s="5" t="str">
        <f t="array" ref="C1049">INDEX('Báo cáo 75 trang đích'!$C$2:$C$76,$A1049)</f>
        <v>CCB</v>
      </c>
      <c r="D1049" s="20" t="s">
        <v>1290</v>
      </c>
      <c r="E1049" s="22" t="s">
        <v>231</v>
      </c>
      <c r="F1049" s="22" t="s">
        <v>81</v>
      </c>
      <c r="G1049" s="22" t="s">
        <v>1449</v>
      </c>
      <c r="H1049" s="24" t="s">
        <v>59</v>
      </c>
      <c r="I1049" s="24" t="s">
        <v>59</v>
      </c>
      <c r="J1049" s="24" t="s">
        <v>60</v>
      </c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6">
        <v>33.0</v>
      </c>
      <c r="B1050" s="35" t="str">
        <f t="array" ref="B1050">INDEX('Báo cáo 75 trang đích'!$B$2:$B$76,$A1050)</f>
        <v>https://techcombank.com/thong-tin/blog/cach-huy-the-tin-dung</v>
      </c>
      <c r="C1050" s="5" t="str">
        <f t="array" ref="C1050">INDEX('Báo cáo 75 trang đích'!$C$2:$C$76,$A1050)</f>
        <v>CCB</v>
      </c>
      <c r="D1050" s="20" t="s">
        <v>194</v>
      </c>
      <c r="E1050" s="22" t="s">
        <v>795</v>
      </c>
      <c r="F1050" s="22" t="s">
        <v>81</v>
      </c>
      <c r="G1050" s="22" t="s">
        <v>1449</v>
      </c>
      <c r="H1050" s="24" t="s">
        <v>59</v>
      </c>
      <c r="I1050" s="24" t="s">
        <v>59</v>
      </c>
      <c r="J1050" s="24" t="s">
        <v>60</v>
      </c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6">
        <v>33.0</v>
      </c>
      <c r="B1051" s="35" t="str">
        <f t="array" ref="B1051">INDEX('Báo cáo 75 trang đích'!$B$2:$B$76,$A1051)</f>
        <v>https://techcombank.com/thong-tin/blog/cach-huy-the-tin-dung</v>
      </c>
      <c r="C1051" s="5" t="str">
        <f t="array" ref="C1051">INDEX('Báo cáo 75 trang đích'!$C$2:$C$76,$A1051)</f>
        <v>CCB</v>
      </c>
      <c r="D1051" s="20" t="s">
        <v>1475</v>
      </c>
      <c r="E1051" s="22" t="s">
        <v>231</v>
      </c>
      <c r="F1051" s="22" t="s">
        <v>81</v>
      </c>
      <c r="G1051" s="22" t="s">
        <v>1449</v>
      </c>
      <c r="H1051" s="24" t="s">
        <v>59</v>
      </c>
      <c r="I1051" s="24" t="s">
        <v>59</v>
      </c>
      <c r="J1051" s="24" t="s">
        <v>60</v>
      </c>
      <c r="K1051" s="22" t="s">
        <v>97</v>
      </c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6">
        <v>33.0</v>
      </c>
      <c r="B1052" s="35" t="str">
        <f t="array" ref="B1052">INDEX('Báo cáo 75 trang đích'!$B$2:$B$76,$A1052)</f>
        <v>https://techcombank.com/thong-tin/blog/cach-huy-the-tin-dung</v>
      </c>
      <c r="C1052" s="5" t="str">
        <f t="array" ref="C1052">INDEX('Báo cáo 75 trang đích'!$C$2:$C$76,$A1052)</f>
        <v>CCB</v>
      </c>
      <c r="D1052" s="20" t="s">
        <v>734</v>
      </c>
      <c r="E1052" s="22" t="s">
        <v>795</v>
      </c>
      <c r="F1052" s="22" t="s">
        <v>81</v>
      </c>
      <c r="G1052" s="22" t="s">
        <v>1449</v>
      </c>
      <c r="H1052" s="24" t="s">
        <v>59</v>
      </c>
      <c r="I1052" s="24" t="s">
        <v>59</v>
      </c>
      <c r="J1052" s="24" t="s">
        <v>60</v>
      </c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6">
        <v>33.0</v>
      </c>
      <c r="B1053" s="35" t="str">
        <f t="array" ref="B1053">INDEX('Báo cáo 75 trang đích'!$B$2:$B$76,$A1053)</f>
        <v>https://techcombank.com/thong-tin/blog/cach-huy-the-tin-dung</v>
      </c>
      <c r="C1053" s="5" t="str">
        <f t="array" ref="C1053">INDEX('Báo cáo 75 trang đích'!$C$2:$C$76,$A1053)</f>
        <v>CCB</v>
      </c>
      <c r="D1053" s="20" t="s">
        <v>720</v>
      </c>
      <c r="E1053" s="22" t="s">
        <v>231</v>
      </c>
      <c r="F1053" s="22" t="s">
        <v>81</v>
      </c>
      <c r="G1053" s="22" t="s">
        <v>1449</v>
      </c>
      <c r="H1053" s="24" t="s">
        <v>59</v>
      </c>
      <c r="I1053" s="24" t="s">
        <v>59</v>
      </c>
      <c r="J1053" s="24" t="s">
        <v>60</v>
      </c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6">
        <v>33.0</v>
      </c>
      <c r="B1054" s="35" t="str">
        <f t="array" ref="B1054">INDEX('Báo cáo 75 trang đích'!$B$2:$B$76,$A1054)</f>
        <v>https://techcombank.com/thong-tin/blog/cach-huy-the-tin-dung</v>
      </c>
      <c r="C1054" s="5" t="str">
        <f t="array" ref="C1054">INDEX('Báo cáo 75 trang đích'!$C$2:$C$76,$A1054)</f>
        <v>CCB</v>
      </c>
      <c r="D1054" s="20" t="s">
        <v>1476</v>
      </c>
      <c r="E1054" s="22" t="s">
        <v>795</v>
      </c>
      <c r="F1054" s="22" t="s">
        <v>81</v>
      </c>
      <c r="G1054" s="22" t="s">
        <v>1449</v>
      </c>
      <c r="H1054" s="24" t="s">
        <v>59</v>
      </c>
      <c r="I1054" s="24" t="s">
        <v>59</v>
      </c>
      <c r="J1054" s="24" t="s">
        <v>60</v>
      </c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6">
        <v>33.0</v>
      </c>
      <c r="B1055" s="35" t="str">
        <f t="array" ref="B1055">INDEX('Báo cáo 75 trang đích'!$B$2:$B$76,$A1055)</f>
        <v>https://techcombank.com/thong-tin/blog/cach-huy-the-tin-dung</v>
      </c>
      <c r="C1055" s="5" t="str">
        <f t="array" ref="C1055">INDEX('Báo cáo 75 trang đích'!$C$2:$C$76,$A1055)</f>
        <v>CCB</v>
      </c>
      <c r="D1055" s="20" t="s">
        <v>1477</v>
      </c>
      <c r="E1055" s="22" t="s">
        <v>231</v>
      </c>
      <c r="F1055" s="22" t="s">
        <v>81</v>
      </c>
      <c r="G1055" s="22" t="s">
        <v>1449</v>
      </c>
      <c r="H1055" s="24" t="s">
        <v>59</v>
      </c>
      <c r="I1055" s="24" t="s">
        <v>59</v>
      </c>
      <c r="J1055" s="24" t="s">
        <v>60</v>
      </c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6">
        <v>33.0</v>
      </c>
      <c r="B1056" s="35" t="str">
        <f t="array" ref="B1056">INDEX('Báo cáo 75 trang đích'!$B$2:$B$76,$A1056)</f>
        <v>https://techcombank.com/thong-tin/blog/cach-huy-the-tin-dung</v>
      </c>
      <c r="C1056" s="5" t="str">
        <f t="array" ref="C1056">INDEX('Báo cáo 75 trang đích'!$C$2:$C$76,$A1056)</f>
        <v>CCB</v>
      </c>
      <c r="D1056" s="20" t="s">
        <v>1293</v>
      </c>
      <c r="E1056" s="22" t="s">
        <v>795</v>
      </c>
      <c r="F1056" s="22" t="s">
        <v>81</v>
      </c>
      <c r="G1056" s="22" t="s">
        <v>1449</v>
      </c>
      <c r="H1056" s="24" t="s">
        <v>59</v>
      </c>
      <c r="I1056" s="24" t="s">
        <v>59</v>
      </c>
      <c r="J1056" s="24" t="s">
        <v>60</v>
      </c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6">
        <v>33.0</v>
      </c>
      <c r="B1057" s="35" t="str">
        <f t="array" ref="B1057">INDEX('Báo cáo 75 trang đích'!$B$2:$B$76,$A1057)</f>
        <v>https://techcombank.com/thong-tin/blog/cach-huy-the-tin-dung</v>
      </c>
      <c r="C1057" s="5" t="str">
        <f t="array" ref="C1057">INDEX('Báo cáo 75 trang đích'!$C$2:$C$76,$A1057)</f>
        <v>CCB</v>
      </c>
      <c r="D1057" s="20" t="s">
        <v>204</v>
      </c>
      <c r="E1057" s="22" t="s">
        <v>231</v>
      </c>
      <c r="F1057" s="22" t="s">
        <v>81</v>
      </c>
      <c r="G1057" s="22" t="s">
        <v>1449</v>
      </c>
      <c r="H1057" s="24" t="s">
        <v>59</v>
      </c>
      <c r="I1057" s="24" t="s">
        <v>59</v>
      </c>
      <c r="J1057" s="24" t="s">
        <v>60</v>
      </c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6">
        <v>33.0</v>
      </c>
      <c r="B1058" s="35" t="str">
        <f t="array" ref="B1058">INDEX('Báo cáo 75 trang đích'!$B$2:$B$76,$A1058)</f>
        <v>https://techcombank.com/thong-tin/blog/cach-huy-the-tin-dung</v>
      </c>
      <c r="C1058" s="5" t="str">
        <f t="array" ref="C1058">INDEX('Báo cáo 75 trang đích'!$C$2:$C$76,$A1058)</f>
        <v>CCB</v>
      </c>
      <c r="D1058" s="20" t="s">
        <v>1478</v>
      </c>
      <c r="E1058" s="22" t="s">
        <v>795</v>
      </c>
      <c r="F1058" s="22" t="s">
        <v>81</v>
      </c>
      <c r="G1058" s="22" t="s">
        <v>1449</v>
      </c>
      <c r="H1058" s="24" t="s">
        <v>59</v>
      </c>
      <c r="I1058" s="24" t="s">
        <v>59</v>
      </c>
      <c r="J1058" s="24" t="s">
        <v>60</v>
      </c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6">
        <v>33.0</v>
      </c>
      <c r="B1059" s="35" t="str">
        <f t="array" ref="B1059">INDEX('Báo cáo 75 trang đích'!$B$2:$B$76,$A1059)</f>
        <v>https://techcombank.com/thong-tin/blog/cach-huy-the-tin-dung</v>
      </c>
      <c r="C1059" s="5" t="str">
        <f t="array" ref="C1059">INDEX('Báo cáo 75 trang đích'!$C$2:$C$76,$A1059)</f>
        <v>CCB</v>
      </c>
      <c r="D1059" s="20" t="s">
        <v>495</v>
      </c>
      <c r="E1059" s="22" t="s">
        <v>231</v>
      </c>
      <c r="F1059" s="22" t="s">
        <v>81</v>
      </c>
      <c r="G1059" s="22" t="s">
        <v>1449</v>
      </c>
      <c r="H1059" s="24" t="s">
        <v>59</v>
      </c>
      <c r="I1059" s="24" t="s">
        <v>59</v>
      </c>
      <c r="J1059" s="24" t="s">
        <v>60</v>
      </c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6">
        <v>34.0</v>
      </c>
      <c r="B1060" s="35" t="str">
        <f t="array" ref="B1060">INDEX('Báo cáo 75 trang đích'!$B$2:$B$76,$A1060)</f>
        <v>https://techcombank.com/thong-tin/blog/xep-hang-tin-dung</v>
      </c>
      <c r="C1060" s="5" t="str">
        <f t="array" ref="C1060">INDEX('Báo cáo 75 trang đích'!$C$2:$C$76,$A1060)</f>
        <v>CCB</v>
      </c>
      <c r="D1060" s="20" t="s">
        <v>724</v>
      </c>
      <c r="E1060" s="22" t="s">
        <v>235</v>
      </c>
      <c r="F1060" s="22" t="s">
        <v>57</v>
      </c>
      <c r="G1060" s="22" t="s">
        <v>1502</v>
      </c>
      <c r="H1060" s="24" t="s">
        <v>59</v>
      </c>
      <c r="I1060" s="24" t="s">
        <v>59</v>
      </c>
      <c r="J1060" s="24" t="s">
        <v>60</v>
      </c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6">
        <v>34.0</v>
      </c>
      <c r="B1061" s="35" t="str">
        <f t="array" ref="B1061">INDEX('Báo cáo 75 trang đích'!$B$2:$B$76,$A1061)</f>
        <v>https://techcombank.com/thong-tin/blog/xep-hang-tin-dung</v>
      </c>
      <c r="C1061" s="5" t="str">
        <f t="array" ref="C1061">INDEX('Báo cáo 75 trang đích'!$C$2:$C$76,$A1061)</f>
        <v>CCB</v>
      </c>
      <c r="D1061" s="20" t="s">
        <v>614</v>
      </c>
      <c r="E1061" s="22" t="s">
        <v>808</v>
      </c>
      <c r="F1061" s="22" t="s">
        <v>76</v>
      </c>
      <c r="G1061" s="22" t="s">
        <v>1503</v>
      </c>
      <c r="H1061" s="24" t="s">
        <v>59</v>
      </c>
      <c r="I1061" s="24" t="s">
        <v>59</v>
      </c>
      <c r="J1061" s="24" t="s">
        <v>60</v>
      </c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6">
        <v>34.0</v>
      </c>
      <c r="B1062" s="35" t="str">
        <f t="array" ref="B1062">INDEX('Báo cáo 75 trang đích'!$B$2:$B$76,$A1062)</f>
        <v>https://techcombank.com/thong-tin/blog/xep-hang-tin-dung</v>
      </c>
      <c r="C1062" s="5" t="str">
        <f t="array" ref="C1062">INDEX('Báo cáo 75 trang đích'!$C$2:$C$76,$A1062)</f>
        <v>CCB</v>
      </c>
      <c r="D1062" s="20" t="s">
        <v>809</v>
      </c>
      <c r="E1062" s="22" t="s">
        <v>235</v>
      </c>
      <c r="F1062" s="22" t="s">
        <v>76</v>
      </c>
      <c r="G1062" s="22" t="s">
        <v>1504</v>
      </c>
      <c r="H1062" s="24" t="s">
        <v>59</v>
      </c>
      <c r="I1062" s="24" t="s">
        <v>59</v>
      </c>
      <c r="J1062" s="24" t="s">
        <v>60</v>
      </c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6">
        <v>34.0</v>
      </c>
      <c r="B1063" s="35" t="str">
        <f t="array" ref="B1063">INDEX('Báo cáo 75 trang đích'!$B$2:$B$76,$A1063)</f>
        <v>https://techcombank.com/thong-tin/blog/xep-hang-tin-dung</v>
      </c>
      <c r="C1063" s="5" t="str">
        <f t="array" ref="C1063">INDEX('Báo cáo 75 trang đích'!$C$2:$C$76,$A1063)</f>
        <v>CCB</v>
      </c>
      <c r="D1063" s="20" t="s">
        <v>1505</v>
      </c>
      <c r="E1063" s="22" t="s">
        <v>808</v>
      </c>
      <c r="F1063" s="22" t="s">
        <v>76</v>
      </c>
      <c r="G1063" s="22" t="s">
        <v>1506</v>
      </c>
      <c r="H1063" s="24" t="s">
        <v>59</v>
      </c>
      <c r="I1063" s="24" t="s">
        <v>59</v>
      </c>
      <c r="J1063" s="24" t="s">
        <v>60</v>
      </c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6">
        <v>34.0</v>
      </c>
      <c r="B1064" s="35" t="str">
        <f t="array" ref="B1064">INDEX('Báo cáo 75 trang đích'!$B$2:$B$76,$A1064)</f>
        <v>https://techcombank.com/thong-tin/blog/xep-hang-tin-dung</v>
      </c>
      <c r="C1064" s="5" t="str">
        <f t="array" ref="C1064">INDEX('Báo cáo 75 trang đích'!$C$2:$C$76,$A1064)</f>
        <v>CCB</v>
      </c>
      <c r="D1064" s="20" t="s">
        <v>1244</v>
      </c>
      <c r="E1064" s="22" t="s">
        <v>235</v>
      </c>
      <c r="F1064" s="22" t="s">
        <v>76</v>
      </c>
      <c r="G1064" s="22" t="s">
        <v>1507</v>
      </c>
      <c r="H1064" s="24" t="s">
        <v>59</v>
      </c>
      <c r="I1064" s="24" t="s">
        <v>59</v>
      </c>
      <c r="J1064" s="24" t="s">
        <v>60</v>
      </c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6">
        <v>34.0</v>
      </c>
      <c r="B1065" s="35" t="str">
        <f t="array" ref="B1065">INDEX('Báo cáo 75 trang đích'!$B$2:$B$76,$A1065)</f>
        <v>https://techcombank.com/thong-tin/blog/xep-hang-tin-dung</v>
      </c>
      <c r="C1065" s="5" t="str">
        <f t="array" ref="C1065">INDEX('Báo cáo 75 trang đích'!$C$2:$C$76,$A1065)</f>
        <v>CCB</v>
      </c>
      <c r="D1065" s="20" t="s">
        <v>1508</v>
      </c>
      <c r="E1065" s="22" t="s">
        <v>808</v>
      </c>
      <c r="F1065" s="22" t="s">
        <v>81</v>
      </c>
      <c r="G1065" s="22" t="s">
        <v>1509</v>
      </c>
      <c r="H1065" s="24" t="s">
        <v>59</v>
      </c>
      <c r="I1065" s="24" t="s">
        <v>59</v>
      </c>
      <c r="J1065" s="24" t="s">
        <v>60</v>
      </c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6">
        <v>34.0</v>
      </c>
      <c r="B1066" s="35" t="str">
        <f t="array" ref="B1066">INDEX('Báo cáo 75 trang đích'!$B$2:$B$76,$A1066)</f>
        <v>https://techcombank.com/thong-tin/blog/xep-hang-tin-dung</v>
      </c>
      <c r="C1066" s="5" t="str">
        <f t="array" ref="C1066">INDEX('Báo cáo 75 trang đích'!$C$2:$C$76,$A1066)</f>
        <v>CCB</v>
      </c>
      <c r="D1066" s="20" t="s">
        <v>1248</v>
      </c>
      <c r="E1066" s="22" t="s">
        <v>235</v>
      </c>
      <c r="F1066" s="22" t="s">
        <v>81</v>
      </c>
      <c r="G1066" s="22" t="s">
        <v>1419</v>
      </c>
      <c r="H1066" s="24" t="s">
        <v>59</v>
      </c>
      <c r="I1066" s="24" t="s">
        <v>59</v>
      </c>
      <c r="J1066" s="24" t="s">
        <v>60</v>
      </c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6">
        <v>34.0</v>
      </c>
      <c r="B1067" s="35" t="str">
        <f t="array" ref="B1067">INDEX('Báo cáo 75 trang đích'!$B$2:$B$76,$A1067)</f>
        <v>https://techcombank.com/thong-tin/blog/xep-hang-tin-dung</v>
      </c>
      <c r="C1067" s="5" t="str">
        <f t="array" ref="C1067">INDEX('Báo cáo 75 trang đích'!$C$2:$C$76,$A1067)</f>
        <v>CCB</v>
      </c>
      <c r="D1067" s="20" t="s">
        <v>731</v>
      </c>
      <c r="E1067" s="22" t="s">
        <v>808</v>
      </c>
      <c r="F1067" s="22" t="s">
        <v>81</v>
      </c>
      <c r="G1067" s="22" t="s">
        <v>1510</v>
      </c>
      <c r="H1067" s="24" t="s">
        <v>59</v>
      </c>
      <c r="I1067" s="24" t="s">
        <v>59</v>
      </c>
      <c r="J1067" s="24" t="s">
        <v>60</v>
      </c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6">
        <v>34.0</v>
      </c>
      <c r="B1068" s="35" t="str">
        <f t="array" ref="B1068">INDEX('Báo cáo 75 trang đích'!$B$2:$B$76,$A1068)</f>
        <v>https://techcombank.com/thong-tin/blog/xep-hang-tin-dung</v>
      </c>
      <c r="C1068" s="5" t="str">
        <f t="array" ref="C1068">INDEX('Báo cáo 75 trang đích'!$C$2:$C$76,$A1068)</f>
        <v>CCB</v>
      </c>
      <c r="D1068" s="20" t="s">
        <v>722</v>
      </c>
      <c r="E1068" s="22" t="s">
        <v>235</v>
      </c>
      <c r="F1068" s="22" t="s">
        <v>81</v>
      </c>
      <c r="G1068" s="22" t="s">
        <v>1511</v>
      </c>
      <c r="H1068" s="24" t="s">
        <v>59</v>
      </c>
      <c r="I1068" s="24" t="s">
        <v>59</v>
      </c>
      <c r="J1068" s="24" t="s">
        <v>60</v>
      </c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6">
        <v>34.0</v>
      </c>
      <c r="B1069" s="35" t="str">
        <f t="array" ref="B1069">INDEX('Báo cáo 75 trang đích'!$B$2:$B$76,$A1069)</f>
        <v>https://techcombank.com/thong-tin/blog/xep-hang-tin-dung</v>
      </c>
      <c r="C1069" s="5" t="str">
        <f t="array" ref="C1069">INDEX('Báo cáo 75 trang đích'!$C$2:$C$76,$A1069)</f>
        <v>CCB</v>
      </c>
      <c r="D1069" s="20" t="s">
        <v>382</v>
      </c>
      <c r="E1069" s="22" t="s">
        <v>808</v>
      </c>
      <c r="F1069" s="22" t="s">
        <v>81</v>
      </c>
      <c r="G1069" s="22" t="s">
        <v>1420</v>
      </c>
      <c r="H1069" s="24" t="s">
        <v>59</v>
      </c>
      <c r="I1069" s="24" t="s">
        <v>59</v>
      </c>
      <c r="J1069" s="24" t="s">
        <v>60</v>
      </c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6">
        <v>34.0</v>
      </c>
      <c r="B1070" s="35" t="str">
        <f t="array" ref="B1070">INDEX('Báo cáo 75 trang đích'!$B$2:$B$76,$A1070)</f>
        <v>https://techcombank.com/thong-tin/blog/xep-hang-tin-dung</v>
      </c>
      <c r="C1070" s="5" t="str">
        <f t="array" ref="C1070">INDEX('Báo cáo 75 trang đích'!$C$2:$C$76,$A1070)</f>
        <v>CCB</v>
      </c>
      <c r="D1070" s="20" t="s">
        <v>1421</v>
      </c>
      <c r="E1070" s="22" t="s">
        <v>235</v>
      </c>
      <c r="F1070" s="22" t="s">
        <v>81</v>
      </c>
      <c r="G1070" s="22" t="s">
        <v>1422</v>
      </c>
      <c r="H1070" s="24" t="s">
        <v>59</v>
      </c>
      <c r="I1070" s="24" t="s">
        <v>59</v>
      </c>
      <c r="J1070" s="24" t="s">
        <v>60</v>
      </c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">
        <v>34.0</v>
      </c>
      <c r="B1071" s="35" t="str">
        <f t="array" ref="B1071">INDEX('Báo cáo 75 trang đích'!$B$2:$B$76,$A1071)</f>
        <v>https://techcombank.com/thong-tin/blog/xep-hang-tin-dung</v>
      </c>
      <c r="C1071" s="5" t="str">
        <f t="array" ref="C1071">INDEX('Báo cáo 75 trang đích'!$C$2:$C$76,$A1071)</f>
        <v>CCB</v>
      </c>
      <c r="D1071" s="20" t="s">
        <v>391</v>
      </c>
      <c r="E1071" s="22" t="s">
        <v>808</v>
      </c>
      <c r="F1071" s="22" t="s">
        <v>81</v>
      </c>
      <c r="G1071" s="22" t="s">
        <v>1422</v>
      </c>
      <c r="H1071" s="24" t="s">
        <v>59</v>
      </c>
      <c r="I1071" s="24" t="s">
        <v>59</v>
      </c>
      <c r="J1071" s="24" t="s">
        <v>60</v>
      </c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">
        <v>34.0</v>
      </c>
      <c r="B1072" s="35" t="str">
        <f t="array" ref="B1072">INDEX('Báo cáo 75 trang đích'!$B$2:$B$76,$A1072)</f>
        <v>https://techcombank.com/thong-tin/blog/xep-hang-tin-dung</v>
      </c>
      <c r="C1072" s="5" t="str">
        <f t="array" ref="C1072">INDEX('Báo cáo 75 trang đích'!$C$2:$C$76,$A1072)</f>
        <v>CCB</v>
      </c>
      <c r="D1072" s="20" t="s">
        <v>1210</v>
      </c>
      <c r="E1072" s="22" t="s">
        <v>235</v>
      </c>
      <c r="F1072" s="22" t="s">
        <v>81</v>
      </c>
      <c r="G1072" s="22" t="s">
        <v>1423</v>
      </c>
      <c r="H1072" s="24" t="s">
        <v>59</v>
      </c>
      <c r="I1072" s="24" t="s">
        <v>59</v>
      </c>
      <c r="J1072" s="24" t="s">
        <v>60</v>
      </c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">
        <v>34.0</v>
      </c>
      <c r="B1073" s="35" t="str">
        <f t="array" ref="B1073">INDEX('Báo cáo 75 trang đích'!$B$2:$B$76,$A1073)</f>
        <v>https://techcombank.com/thong-tin/blog/xep-hang-tin-dung</v>
      </c>
      <c r="C1073" s="5" t="str">
        <f t="array" ref="C1073">INDEX('Báo cáo 75 trang đích'!$C$2:$C$76,$A1073)</f>
        <v>CCB</v>
      </c>
      <c r="D1073" s="20" t="s">
        <v>813</v>
      </c>
      <c r="E1073" s="22" t="s">
        <v>808</v>
      </c>
      <c r="F1073" s="22" t="s">
        <v>81</v>
      </c>
      <c r="G1073" s="22" t="s">
        <v>1423</v>
      </c>
      <c r="H1073" s="24" t="s">
        <v>59</v>
      </c>
      <c r="I1073" s="24" t="s">
        <v>59</v>
      </c>
      <c r="J1073" s="24" t="s">
        <v>60</v>
      </c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">
        <v>34.0</v>
      </c>
      <c r="B1074" s="35" t="str">
        <f t="array" ref="B1074">INDEX('Báo cáo 75 trang đích'!$B$2:$B$76,$A1074)</f>
        <v>https://techcombank.com/thong-tin/blog/xep-hang-tin-dung</v>
      </c>
      <c r="C1074" s="5" t="str">
        <f t="array" ref="C1074">INDEX('Báo cáo 75 trang đích'!$C$2:$C$76,$A1074)</f>
        <v>CCB</v>
      </c>
      <c r="D1074" s="20" t="s">
        <v>1278</v>
      </c>
      <c r="E1074" s="22" t="s">
        <v>235</v>
      </c>
      <c r="F1074" s="22" t="s">
        <v>81</v>
      </c>
      <c r="G1074" s="22" t="s">
        <v>1509</v>
      </c>
      <c r="H1074" s="24" t="s">
        <v>59</v>
      </c>
      <c r="I1074" s="24" t="s">
        <v>59</v>
      </c>
      <c r="J1074" s="24" t="s">
        <v>60</v>
      </c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">
        <v>34.0</v>
      </c>
      <c r="B1075" s="35" t="str">
        <f t="array" ref="B1075">INDEX('Báo cáo 75 trang đích'!$B$2:$B$76,$A1075)</f>
        <v>https://techcombank.com/thong-tin/blog/xep-hang-tin-dung</v>
      </c>
      <c r="C1075" s="5" t="str">
        <f t="array" ref="C1075">INDEX('Báo cáo 75 trang đích'!$C$2:$C$76,$A1075)</f>
        <v>CCB</v>
      </c>
      <c r="D1075" s="20" t="s">
        <v>1032</v>
      </c>
      <c r="E1075" s="22" t="s">
        <v>808</v>
      </c>
      <c r="F1075" s="22" t="s">
        <v>81</v>
      </c>
      <c r="G1075" s="22" t="s">
        <v>1422</v>
      </c>
      <c r="H1075" s="24" t="s">
        <v>59</v>
      </c>
      <c r="I1075" s="24" t="s">
        <v>59</v>
      </c>
      <c r="J1075" s="24" t="s">
        <v>60</v>
      </c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">
        <v>34.0</v>
      </c>
      <c r="B1076" s="35" t="str">
        <f t="array" ref="B1076">INDEX('Báo cáo 75 trang đích'!$B$2:$B$76,$A1076)</f>
        <v>https://techcombank.com/thong-tin/blog/xep-hang-tin-dung</v>
      </c>
      <c r="C1076" s="5" t="str">
        <f t="array" ref="C1076">INDEX('Báo cáo 75 trang đích'!$C$2:$C$76,$A1076)</f>
        <v>CCB</v>
      </c>
      <c r="D1076" s="20" t="s">
        <v>961</v>
      </c>
      <c r="E1076" s="22" t="s">
        <v>235</v>
      </c>
      <c r="F1076" s="22" t="s">
        <v>81</v>
      </c>
      <c r="G1076" s="22" t="s">
        <v>1509</v>
      </c>
      <c r="H1076" s="24" t="s">
        <v>59</v>
      </c>
      <c r="I1076" s="24" t="s">
        <v>59</v>
      </c>
      <c r="J1076" s="24" t="s">
        <v>60</v>
      </c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">
        <v>34.0</v>
      </c>
      <c r="B1077" s="35" t="str">
        <f t="array" ref="B1077">INDEX('Báo cáo 75 trang đích'!$B$2:$B$76,$A1077)</f>
        <v>https://techcombank.com/thong-tin/blog/xep-hang-tin-dung</v>
      </c>
      <c r="C1077" s="5" t="str">
        <f t="array" ref="C1077">INDEX('Báo cáo 75 trang đích'!$C$2:$C$76,$A1077)</f>
        <v>CCB</v>
      </c>
      <c r="D1077" s="20" t="s">
        <v>811</v>
      </c>
      <c r="E1077" s="22" t="s">
        <v>808</v>
      </c>
      <c r="F1077" s="22" t="s">
        <v>81</v>
      </c>
      <c r="G1077" s="22" t="s">
        <v>1422</v>
      </c>
      <c r="H1077" s="24" t="s">
        <v>59</v>
      </c>
      <c r="I1077" s="24" t="s">
        <v>59</v>
      </c>
      <c r="J1077" s="24" t="s">
        <v>60</v>
      </c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">
        <v>34.0</v>
      </c>
      <c r="B1078" s="35" t="str">
        <f t="array" ref="B1078">INDEX('Báo cáo 75 trang đích'!$B$2:$B$76,$A1078)</f>
        <v>https://techcombank.com/thong-tin/blog/xep-hang-tin-dung</v>
      </c>
      <c r="C1078" s="5" t="str">
        <f t="array" ref="C1078">INDEX('Báo cáo 75 trang đích'!$C$2:$C$76,$A1078)</f>
        <v>CCB</v>
      </c>
      <c r="D1078" s="20" t="s">
        <v>1424</v>
      </c>
      <c r="E1078" s="22" t="s">
        <v>235</v>
      </c>
      <c r="F1078" s="22" t="s">
        <v>81</v>
      </c>
      <c r="G1078" s="22" t="s">
        <v>1425</v>
      </c>
      <c r="H1078" s="24" t="s">
        <v>59</v>
      </c>
      <c r="I1078" s="24" t="s">
        <v>59</v>
      </c>
      <c r="J1078" s="24" t="s">
        <v>60</v>
      </c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">
        <v>34.0</v>
      </c>
      <c r="B1079" s="35" t="str">
        <f t="array" ref="B1079">INDEX('Báo cáo 75 trang đích'!$B$2:$B$76,$A1079)</f>
        <v>https://techcombank.com/thong-tin/blog/xep-hang-tin-dung</v>
      </c>
      <c r="C1079" s="5" t="str">
        <f t="array" ref="C1079">INDEX('Báo cáo 75 trang đích'!$C$2:$C$76,$A1079)</f>
        <v>CCB</v>
      </c>
      <c r="D1079" s="20" t="s">
        <v>128</v>
      </c>
      <c r="E1079" s="22" t="s">
        <v>808</v>
      </c>
      <c r="F1079" s="22" t="s">
        <v>81</v>
      </c>
      <c r="G1079" s="22" t="s">
        <v>1509</v>
      </c>
      <c r="H1079" s="24" t="s">
        <v>59</v>
      </c>
      <c r="I1079" s="24" t="s">
        <v>59</v>
      </c>
      <c r="J1079" s="24" t="s">
        <v>60</v>
      </c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">
        <v>34.0</v>
      </c>
      <c r="B1080" s="35" t="str">
        <f t="array" ref="B1080">INDEX('Báo cáo 75 trang đích'!$B$2:$B$76,$A1080)</f>
        <v>https://techcombank.com/thong-tin/blog/xep-hang-tin-dung</v>
      </c>
      <c r="C1080" s="5" t="str">
        <f t="array" ref="C1080">INDEX('Báo cáo 75 trang đích'!$C$2:$C$76,$A1080)</f>
        <v>CCB</v>
      </c>
      <c r="D1080" s="20" t="s">
        <v>727</v>
      </c>
      <c r="E1080" s="22" t="s">
        <v>235</v>
      </c>
      <c r="F1080" s="22" t="s">
        <v>81</v>
      </c>
      <c r="G1080" s="22" t="s">
        <v>1512</v>
      </c>
      <c r="H1080" s="24" t="s">
        <v>59</v>
      </c>
      <c r="I1080" s="24" t="s">
        <v>59</v>
      </c>
      <c r="J1080" s="24" t="s">
        <v>60</v>
      </c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">
        <v>34.0</v>
      </c>
      <c r="B1081" s="35" t="str">
        <f t="array" ref="B1081">INDEX('Báo cáo 75 trang đích'!$B$2:$B$76,$A1081)</f>
        <v>https://techcombank.com/thong-tin/blog/xep-hang-tin-dung</v>
      </c>
      <c r="C1081" s="5" t="str">
        <f t="array" ref="C1081">INDEX('Báo cáo 75 trang đích'!$C$2:$C$76,$A1081)</f>
        <v>CCB</v>
      </c>
      <c r="D1081" s="20" t="s">
        <v>187</v>
      </c>
      <c r="E1081" s="22" t="s">
        <v>808</v>
      </c>
      <c r="F1081" s="22" t="s">
        <v>81</v>
      </c>
      <c r="G1081" s="22" t="s">
        <v>1513</v>
      </c>
      <c r="H1081" s="24" t="s">
        <v>59</v>
      </c>
      <c r="I1081" s="24" t="s">
        <v>59</v>
      </c>
      <c r="J1081" s="24" t="s">
        <v>60</v>
      </c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">
        <v>34.0</v>
      </c>
      <c r="B1082" s="35" t="str">
        <f t="array" ref="B1082">INDEX('Báo cáo 75 trang đích'!$B$2:$B$76,$A1082)</f>
        <v>https://techcombank.com/thong-tin/blog/xep-hang-tin-dung</v>
      </c>
      <c r="C1082" s="5" t="str">
        <f t="array" ref="C1082">INDEX('Báo cáo 75 trang đích'!$C$2:$C$76,$A1082)</f>
        <v>CCB</v>
      </c>
      <c r="D1082" s="20" t="s">
        <v>800</v>
      </c>
      <c r="E1082" s="22" t="s">
        <v>235</v>
      </c>
      <c r="F1082" s="22" t="s">
        <v>81</v>
      </c>
      <c r="G1082" s="22" t="s">
        <v>1422</v>
      </c>
      <c r="H1082" s="24" t="s">
        <v>59</v>
      </c>
      <c r="I1082" s="24" t="s">
        <v>59</v>
      </c>
      <c r="J1082" s="24" t="s">
        <v>60</v>
      </c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">
        <v>34.0</v>
      </c>
      <c r="B1083" s="35" t="str">
        <f t="array" ref="B1083">INDEX('Báo cáo 75 trang đích'!$B$2:$B$76,$A1083)</f>
        <v>https://techcombank.com/thong-tin/blog/xep-hang-tin-dung</v>
      </c>
      <c r="C1083" s="5" t="str">
        <f t="array" ref="C1083">INDEX('Báo cáo 75 trang đích'!$C$2:$C$76,$A1083)</f>
        <v>CCB</v>
      </c>
      <c r="D1083" s="20" t="s">
        <v>1223</v>
      </c>
      <c r="E1083" s="22" t="s">
        <v>808</v>
      </c>
      <c r="F1083" s="22" t="s">
        <v>81</v>
      </c>
      <c r="G1083" s="22" t="s">
        <v>1420</v>
      </c>
      <c r="H1083" s="24" t="s">
        <v>59</v>
      </c>
      <c r="I1083" s="24" t="s">
        <v>59</v>
      </c>
      <c r="J1083" s="24" t="s">
        <v>60</v>
      </c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">
        <v>34.0</v>
      </c>
      <c r="B1084" s="35" t="str">
        <f t="array" ref="B1084">INDEX('Báo cáo 75 trang đích'!$B$2:$B$76,$A1084)</f>
        <v>https://techcombank.com/thong-tin/blog/xep-hang-tin-dung</v>
      </c>
      <c r="C1084" s="5" t="str">
        <f t="array" ref="C1084">INDEX('Báo cáo 75 trang đích'!$C$2:$C$76,$A1084)</f>
        <v>CCB</v>
      </c>
      <c r="D1084" s="20" t="s">
        <v>820</v>
      </c>
      <c r="E1084" s="22" t="s">
        <v>235</v>
      </c>
      <c r="F1084" s="22" t="s">
        <v>81</v>
      </c>
      <c r="G1084" s="22" t="s">
        <v>1422</v>
      </c>
      <c r="H1084" s="24" t="s">
        <v>59</v>
      </c>
      <c r="I1084" s="24" t="s">
        <v>59</v>
      </c>
      <c r="J1084" s="24" t="s">
        <v>60</v>
      </c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">
        <v>34.0</v>
      </c>
      <c r="B1085" s="35" t="str">
        <f t="array" ref="B1085">INDEX('Báo cáo 75 trang đích'!$B$2:$B$76,$A1085)</f>
        <v>https://techcombank.com/thong-tin/blog/xep-hang-tin-dung</v>
      </c>
      <c r="C1085" s="5" t="str">
        <f t="array" ref="C1085">INDEX('Báo cáo 75 trang đích'!$C$2:$C$76,$A1085)</f>
        <v>CCB</v>
      </c>
      <c r="D1085" s="20" t="s">
        <v>1426</v>
      </c>
      <c r="E1085" s="22" t="s">
        <v>808</v>
      </c>
      <c r="F1085" s="22" t="s">
        <v>81</v>
      </c>
      <c r="G1085" s="22" t="s">
        <v>1419</v>
      </c>
      <c r="H1085" s="24" t="s">
        <v>59</v>
      </c>
      <c r="I1085" s="24" t="s">
        <v>59</v>
      </c>
      <c r="J1085" s="24" t="s">
        <v>60</v>
      </c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">
        <v>34.0</v>
      </c>
      <c r="B1086" s="35" t="str">
        <f t="array" ref="B1086">INDEX('Báo cáo 75 trang đích'!$B$2:$B$76,$A1086)</f>
        <v>https://techcombank.com/thong-tin/blog/xep-hang-tin-dung</v>
      </c>
      <c r="C1086" s="5" t="str">
        <f t="array" ref="C1086">INDEX('Báo cáo 75 trang đích'!$C$2:$C$76,$A1086)</f>
        <v>CCB</v>
      </c>
      <c r="D1086" s="20" t="s">
        <v>132</v>
      </c>
      <c r="E1086" s="22" t="s">
        <v>235</v>
      </c>
      <c r="F1086" s="22" t="s">
        <v>81</v>
      </c>
      <c r="G1086" s="22" t="s">
        <v>1419</v>
      </c>
      <c r="H1086" s="24" t="s">
        <v>59</v>
      </c>
      <c r="I1086" s="24" t="s">
        <v>59</v>
      </c>
      <c r="J1086" s="24" t="s">
        <v>60</v>
      </c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">
        <v>34.0</v>
      </c>
      <c r="B1087" s="35" t="str">
        <f t="array" ref="B1087">INDEX('Báo cáo 75 trang đích'!$B$2:$B$76,$A1087)</f>
        <v>https://techcombank.com/thong-tin/blog/xep-hang-tin-dung</v>
      </c>
      <c r="C1087" s="5" t="str">
        <f t="array" ref="C1087">INDEX('Báo cáo 75 trang đích'!$C$2:$C$76,$A1087)</f>
        <v>CCB</v>
      </c>
      <c r="D1087" s="20" t="s">
        <v>1226</v>
      </c>
      <c r="E1087" s="22" t="s">
        <v>808</v>
      </c>
      <c r="F1087" s="22" t="s">
        <v>81</v>
      </c>
      <c r="G1087" s="22" t="s">
        <v>1514</v>
      </c>
      <c r="H1087" s="24" t="s">
        <v>59</v>
      </c>
      <c r="I1087" s="24" t="s">
        <v>59</v>
      </c>
      <c r="J1087" s="24" t="s">
        <v>60</v>
      </c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">
        <v>34.0</v>
      </c>
      <c r="B1088" s="35" t="str">
        <f t="array" ref="B1088">INDEX('Báo cáo 75 trang đích'!$B$2:$B$76,$A1088)</f>
        <v>https://techcombank.com/thong-tin/blog/xep-hang-tin-dung</v>
      </c>
      <c r="C1088" s="5" t="str">
        <f t="array" ref="C1088">INDEX('Báo cáo 75 trang đích'!$C$2:$C$76,$A1088)</f>
        <v>CCB</v>
      </c>
      <c r="D1088" s="20" t="s">
        <v>1515</v>
      </c>
      <c r="E1088" s="22" t="s">
        <v>235</v>
      </c>
      <c r="F1088" s="22" t="s">
        <v>81</v>
      </c>
      <c r="G1088" s="22" t="s">
        <v>1509</v>
      </c>
      <c r="H1088" s="24" t="s">
        <v>59</v>
      </c>
      <c r="I1088" s="24" t="s">
        <v>59</v>
      </c>
      <c r="J1088" s="24" t="s">
        <v>60</v>
      </c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">
        <v>34.0</v>
      </c>
      <c r="B1089" s="35" t="str">
        <f t="array" ref="B1089">INDEX('Báo cáo 75 trang đích'!$B$2:$B$76,$A1089)</f>
        <v>https://techcombank.com/thong-tin/blog/xep-hang-tin-dung</v>
      </c>
      <c r="C1089" s="5" t="str">
        <f t="array" ref="C1089">INDEX('Báo cáo 75 trang đích'!$C$2:$C$76,$A1089)</f>
        <v>CCB</v>
      </c>
      <c r="D1089" s="20" t="s">
        <v>1076</v>
      </c>
      <c r="E1089" s="22" t="s">
        <v>808</v>
      </c>
      <c r="F1089" s="22" t="s">
        <v>81</v>
      </c>
      <c r="G1089" s="22" t="s">
        <v>1516</v>
      </c>
      <c r="H1089" s="24" t="s">
        <v>59</v>
      </c>
      <c r="I1089" s="24" t="s">
        <v>59</v>
      </c>
      <c r="J1089" s="24" t="s">
        <v>60</v>
      </c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">
        <v>34.0</v>
      </c>
      <c r="B1090" s="35" t="str">
        <f t="array" ref="B1090">INDEX('Báo cáo 75 trang đích'!$B$2:$B$76,$A1090)</f>
        <v>https://techcombank.com/thong-tin/blog/xep-hang-tin-dung</v>
      </c>
      <c r="C1090" s="5" t="str">
        <f t="array" ref="C1090">INDEX('Báo cáo 75 trang đích'!$C$2:$C$76,$A1090)</f>
        <v>CCB</v>
      </c>
      <c r="D1090" s="20" t="s">
        <v>1219</v>
      </c>
      <c r="E1090" s="22" t="s">
        <v>235</v>
      </c>
      <c r="F1090" s="22" t="s">
        <v>81</v>
      </c>
      <c r="G1090" s="22" t="s">
        <v>1509</v>
      </c>
      <c r="H1090" s="24" t="s">
        <v>59</v>
      </c>
      <c r="I1090" s="24" t="s">
        <v>59</v>
      </c>
      <c r="J1090" s="24" t="s">
        <v>60</v>
      </c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">
        <v>34.0</v>
      </c>
      <c r="B1091" s="35" t="str">
        <f t="array" ref="B1091">INDEX('Báo cáo 75 trang đích'!$B$2:$B$76,$A1091)</f>
        <v>https://techcombank.com/thong-tin/blog/xep-hang-tin-dung</v>
      </c>
      <c r="C1091" s="5" t="str">
        <f t="array" ref="C1091">INDEX('Báo cáo 75 trang đích'!$C$2:$C$76,$A1091)</f>
        <v>CCB</v>
      </c>
      <c r="D1091" s="20" t="s">
        <v>734</v>
      </c>
      <c r="E1091" s="22" t="s">
        <v>808</v>
      </c>
      <c r="F1091" s="22" t="s">
        <v>81</v>
      </c>
      <c r="G1091" s="22" t="s">
        <v>1422</v>
      </c>
      <c r="H1091" s="24" t="s">
        <v>59</v>
      </c>
      <c r="I1091" s="24" t="s">
        <v>59</v>
      </c>
      <c r="J1091" s="24" t="s">
        <v>60</v>
      </c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">
        <v>34.0</v>
      </c>
      <c r="B1092" s="35" t="str">
        <f t="array" ref="B1092">INDEX('Báo cáo 75 trang đích'!$B$2:$B$76,$A1092)</f>
        <v>https://techcombank.com/thong-tin/blog/xep-hang-tin-dung</v>
      </c>
      <c r="C1092" s="5" t="str">
        <f t="array" ref="C1092">INDEX('Báo cáo 75 trang đích'!$C$2:$C$76,$A1092)</f>
        <v>CCB</v>
      </c>
      <c r="D1092" s="20" t="s">
        <v>1517</v>
      </c>
      <c r="E1092" s="22" t="s">
        <v>235</v>
      </c>
      <c r="F1092" s="22" t="s">
        <v>81</v>
      </c>
      <c r="G1092" s="22" t="s">
        <v>1509</v>
      </c>
      <c r="H1092" s="24" t="s">
        <v>59</v>
      </c>
      <c r="I1092" s="24" t="s">
        <v>59</v>
      </c>
      <c r="J1092" s="24" t="s">
        <v>60</v>
      </c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">
        <v>34.0</v>
      </c>
      <c r="B1093" s="35" t="str">
        <f t="array" ref="B1093">INDEX('Báo cáo 75 trang đích'!$B$2:$B$76,$A1093)</f>
        <v>https://techcombank.com/thong-tin/blog/xep-hang-tin-dung</v>
      </c>
      <c r="C1093" s="5" t="str">
        <f t="array" ref="C1093">INDEX('Báo cáo 75 trang đích'!$C$2:$C$76,$A1093)</f>
        <v>CCB</v>
      </c>
      <c r="D1093" s="20" t="s">
        <v>1175</v>
      </c>
      <c r="E1093" s="22" t="s">
        <v>808</v>
      </c>
      <c r="F1093" s="22" t="s">
        <v>81</v>
      </c>
      <c r="G1093" s="22" t="s">
        <v>1509</v>
      </c>
      <c r="H1093" s="24" t="s">
        <v>59</v>
      </c>
      <c r="I1093" s="24" t="s">
        <v>59</v>
      </c>
      <c r="J1093" s="24" t="s">
        <v>60</v>
      </c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">
        <v>34.0</v>
      </c>
      <c r="B1094" s="35" t="str">
        <f t="array" ref="B1094">INDEX('Báo cáo 75 trang đích'!$B$2:$B$76,$A1094)</f>
        <v>https://techcombank.com/thong-tin/blog/xep-hang-tin-dung</v>
      </c>
      <c r="C1094" s="5" t="str">
        <f t="array" ref="C1094">INDEX('Báo cáo 75 trang đích'!$C$2:$C$76,$A1094)</f>
        <v>CCB</v>
      </c>
      <c r="D1094" s="20" t="s">
        <v>1518</v>
      </c>
      <c r="E1094" s="22" t="s">
        <v>235</v>
      </c>
      <c r="F1094" s="22" t="s">
        <v>81</v>
      </c>
      <c r="G1094" s="22" t="s">
        <v>1509</v>
      </c>
      <c r="H1094" s="24" t="s">
        <v>59</v>
      </c>
      <c r="I1094" s="24" t="s">
        <v>59</v>
      </c>
      <c r="J1094" s="24" t="s">
        <v>60</v>
      </c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">
        <v>35.0</v>
      </c>
      <c r="B1095" s="35" t="str">
        <f t="array" ref="B1095">INDEX('Báo cáo 75 trang đích'!$B$2:$B$76,$A1095)</f>
        <v>https://techcombank.com/thong-tin/blog/cach-thanh-toan-the-tin-dung</v>
      </c>
      <c r="C1095" s="5" t="str">
        <f t="array" ref="C1095">INDEX('Báo cáo 75 trang đích'!$C$2:$C$76,$A1095)</f>
        <v>CCB</v>
      </c>
      <c r="D1095" s="20" t="s">
        <v>811</v>
      </c>
      <c r="E1095" s="22" t="s">
        <v>243</v>
      </c>
      <c r="F1095" s="22" t="s">
        <v>57</v>
      </c>
      <c r="G1095" s="22" t="s">
        <v>1519</v>
      </c>
      <c r="H1095" s="24" t="s">
        <v>59</v>
      </c>
      <c r="I1095" s="24" t="s">
        <v>59</v>
      </c>
      <c r="J1095" s="24" t="s">
        <v>60</v>
      </c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">
        <v>35.0</v>
      </c>
      <c r="B1096" s="35" t="str">
        <f t="array" ref="B1096">INDEX('Báo cáo 75 trang đích'!$B$2:$B$76,$A1096)</f>
        <v>https://techcombank.com/thong-tin/blog/cach-thanh-toan-the-tin-dung</v>
      </c>
      <c r="C1096" s="5" t="str">
        <f t="array" ref="C1096">INDEX('Báo cáo 75 trang đích'!$C$2:$C$76,$A1096)</f>
        <v>CCB</v>
      </c>
      <c r="D1096" s="20" t="s">
        <v>813</v>
      </c>
      <c r="E1096" s="22" t="s">
        <v>816</v>
      </c>
      <c r="F1096" s="22" t="s">
        <v>57</v>
      </c>
      <c r="G1096" s="22" t="s">
        <v>1520</v>
      </c>
      <c r="H1096" s="24" t="s">
        <v>59</v>
      </c>
      <c r="I1096" s="24" t="s">
        <v>59</v>
      </c>
      <c r="J1096" s="24" t="s">
        <v>60</v>
      </c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">
        <v>35.0</v>
      </c>
      <c r="B1097" s="35" t="str">
        <f t="array" ref="B1097">INDEX('Báo cáo 75 trang đích'!$B$2:$B$76,$A1097)</f>
        <v>https://techcombank.com/thong-tin/blog/cach-thanh-toan-the-tin-dung</v>
      </c>
      <c r="C1097" s="5" t="str">
        <f t="array" ref="C1097">INDEX('Báo cáo 75 trang đích'!$C$2:$C$76,$A1097)</f>
        <v>CCB</v>
      </c>
      <c r="D1097" s="20" t="s">
        <v>817</v>
      </c>
      <c r="E1097" s="22" t="s">
        <v>819</v>
      </c>
      <c r="F1097" s="22" t="s">
        <v>57</v>
      </c>
      <c r="G1097" s="22" t="s">
        <v>1521</v>
      </c>
      <c r="H1097" s="24" t="s">
        <v>59</v>
      </c>
      <c r="I1097" s="24" t="s">
        <v>59</v>
      </c>
      <c r="J1097" s="24" t="s">
        <v>60</v>
      </c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">
        <v>35.0</v>
      </c>
      <c r="B1098" s="35" t="str">
        <f t="array" ref="B1098">INDEX('Báo cáo 75 trang đích'!$B$2:$B$76,$A1098)</f>
        <v>https://techcombank.com/thong-tin/blog/cach-thanh-toan-the-tin-dung</v>
      </c>
      <c r="C1098" s="5" t="str">
        <f t="array" ref="C1098">INDEX('Báo cáo 75 trang đích'!$C$2:$C$76,$A1098)</f>
        <v>CCB</v>
      </c>
      <c r="D1098" s="20" t="s">
        <v>820</v>
      </c>
      <c r="E1098" s="22" t="s">
        <v>243</v>
      </c>
      <c r="F1098" s="22" t="s">
        <v>57</v>
      </c>
      <c r="G1098" s="22" t="s">
        <v>1522</v>
      </c>
      <c r="H1098" s="24" t="s">
        <v>59</v>
      </c>
      <c r="I1098" s="24" t="s">
        <v>59</v>
      </c>
      <c r="J1098" s="24" t="s">
        <v>60</v>
      </c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">
        <v>35.0</v>
      </c>
      <c r="B1099" s="35" t="str">
        <f t="array" ref="B1099">INDEX('Báo cáo 75 trang đích'!$B$2:$B$76,$A1099)</f>
        <v>https://techcombank.com/thong-tin/blog/cach-thanh-toan-the-tin-dung</v>
      </c>
      <c r="C1099" s="5" t="str">
        <f t="array" ref="C1099">INDEX('Báo cáo 75 trang đích'!$C$2:$C$76,$A1099)</f>
        <v>CCB</v>
      </c>
      <c r="D1099" s="20" t="s">
        <v>700</v>
      </c>
      <c r="E1099" s="22" t="s">
        <v>816</v>
      </c>
      <c r="F1099" s="22" t="s">
        <v>57</v>
      </c>
      <c r="G1099" s="22" t="s">
        <v>1523</v>
      </c>
      <c r="H1099" s="24" t="s">
        <v>59</v>
      </c>
      <c r="I1099" s="24" t="s">
        <v>59</v>
      </c>
      <c r="J1099" s="24" t="s">
        <v>60</v>
      </c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">
        <v>35.0</v>
      </c>
      <c r="B1100" s="35" t="str">
        <f t="array" ref="B1100">INDEX('Báo cáo 75 trang đích'!$B$2:$B$76,$A1100)</f>
        <v>https://techcombank.com/thong-tin/blog/cach-thanh-toan-the-tin-dung</v>
      </c>
      <c r="C1100" s="5" t="str">
        <f t="array" ref="C1100">INDEX('Báo cáo 75 trang đích'!$C$2:$C$76,$A1100)</f>
        <v>CCB</v>
      </c>
      <c r="D1100" s="20" t="s">
        <v>1044</v>
      </c>
      <c r="E1100" s="22" t="s">
        <v>819</v>
      </c>
      <c r="F1100" s="22" t="s">
        <v>81</v>
      </c>
      <c r="G1100" s="22" t="s">
        <v>1524</v>
      </c>
      <c r="H1100" s="24" t="s">
        <v>59</v>
      </c>
      <c r="I1100" s="24" t="s">
        <v>59</v>
      </c>
      <c r="J1100" s="24" t="s">
        <v>60</v>
      </c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">
        <v>35.0</v>
      </c>
      <c r="B1101" s="35" t="str">
        <f t="array" ref="B1101">INDEX('Báo cáo 75 trang đích'!$B$2:$B$76,$A1101)</f>
        <v>https://techcombank.com/thong-tin/blog/cach-thanh-toan-the-tin-dung</v>
      </c>
      <c r="C1101" s="5" t="str">
        <f t="array" ref="C1101">INDEX('Báo cáo 75 trang đích'!$C$2:$C$76,$A1101)</f>
        <v>CCB</v>
      </c>
      <c r="D1101" s="20" t="s">
        <v>360</v>
      </c>
      <c r="E1101" s="22" t="s">
        <v>243</v>
      </c>
      <c r="F1101" s="22" t="s">
        <v>81</v>
      </c>
      <c r="G1101" s="22" t="s">
        <v>1449</v>
      </c>
      <c r="H1101" s="24" t="s">
        <v>59</v>
      </c>
      <c r="I1101" s="24" t="s">
        <v>59</v>
      </c>
      <c r="J1101" s="24" t="s">
        <v>60</v>
      </c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">
        <v>35.0</v>
      </c>
      <c r="B1102" s="35" t="str">
        <f t="array" ref="B1102">INDEX('Báo cáo 75 trang đích'!$B$2:$B$76,$A1102)</f>
        <v>https://techcombank.com/thong-tin/blog/cach-thanh-toan-the-tin-dung</v>
      </c>
      <c r="C1102" s="5" t="str">
        <f t="array" ref="C1102">INDEX('Báo cáo 75 trang đích'!$C$2:$C$76,$A1102)</f>
        <v>CCB</v>
      </c>
      <c r="D1102" s="20" t="s">
        <v>1165</v>
      </c>
      <c r="E1102" s="22" t="s">
        <v>816</v>
      </c>
      <c r="F1102" s="22" t="s">
        <v>81</v>
      </c>
      <c r="G1102" s="22" t="s">
        <v>1449</v>
      </c>
      <c r="H1102" s="24" t="s">
        <v>59</v>
      </c>
      <c r="I1102" s="24" t="s">
        <v>59</v>
      </c>
      <c r="J1102" s="24" t="s">
        <v>60</v>
      </c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">
        <v>35.0</v>
      </c>
      <c r="B1103" s="35" t="str">
        <f t="array" ref="B1103">INDEX('Báo cáo 75 trang đích'!$B$2:$B$76,$A1103)</f>
        <v>https://techcombank.com/thong-tin/blog/cach-thanh-toan-the-tin-dung</v>
      </c>
      <c r="C1103" s="5" t="str">
        <f t="array" ref="C1103">INDEX('Báo cáo 75 trang đích'!$C$2:$C$76,$A1103)</f>
        <v>CCB</v>
      </c>
      <c r="D1103" s="20" t="s">
        <v>365</v>
      </c>
      <c r="E1103" s="22" t="s">
        <v>819</v>
      </c>
      <c r="F1103" s="22" t="s">
        <v>81</v>
      </c>
      <c r="G1103" s="22" t="s">
        <v>1282</v>
      </c>
      <c r="H1103" s="24" t="s">
        <v>59</v>
      </c>
      <c r="I1103" s="24" t="s">
        <v>59</v>
      </c>
      <c r="J1103" s="24" t="s">
        <v>60</v>
      </c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">
        <v>35.0</v>
      </c>
      <c r="B1104" s="35" t="str">
        <f t="array" ref="B1104">INDEX('Báo cáo 75 trang đích'!$B$2:$B$76,$A1104)</f>
        <v>https://techcombank.com/thong-tin/blog/cach-thanh-toan-the-tin-dung</v>
      </c>
      <c r="C1104" s="5" t="str">
        <f t="array" ref="C1104">INDEX('Báo cáo 75 trang đích'!$C$2:$C$76,$A1104)</f>
        <v>CCB</v>
      </c>
      <c r="D1104" s="20" t="s">
        <v>1275</v>
      </c>
      <c r="E1104" s="22" t="s">
        <v>243</v>
      </c>
      <c r="F1104" s="22" t="s">
        <v>81</v>
      </c>
      <c r="G1104" s="22" t="s">
        <v>1449</v>
      </c>
      <c r="H1104" s="24" t="s">
        <v>59</v>
      </c>
      <c r="I1104" s="24" t="s">
        <v>59</v>
      </c>
      <c r="J1104" s="24" t="s">
        <v>60</v>
      </c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">
        <v>35.0</v>
      </c>
      <c r="B1105" s="35" t="str">
        <f t="array" ref="B1105">INDEX('Báo cáo 75 trang đích'!$B$2:$B$76,$A1105)</f>
        <v>https://techcombank.com/thong-tin/blog/cach-thanh-toan-the-tin-dung</v>
      </c>
      <c r="C1105" s="5" t="str">
        <f t="array" ref="C1105">INDEX('Báo cáo 75 trang đích'!$C$2:$C$76,$A1105)</f>
        <v>CCB</v>
      </c>
      <c r="D1105" s="20" t="s">
        <v>774</v>
      </c>
      <c r="E1105" s="22" t="s">
        <v>816</v>
      </c>
      <c r="F1105" s="22" t="s">
        <v>81</v>
      </c>
      <c r="G1105" s="22" t="s">
        <v>1449</v>
      </c>
      <c r="H1105" s="24" t="s">
        <v>59</v>
      </c>
      <c r="I1105" s="24" t="s">
        <v>59</v>
      </c>
      <c r="J1105" s="24" t="s">
        <v>60</v>
      </c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">
        <v>35.0</v>
      </c>
      <c r="B1106" s="35" t="str">
        <f t="array" ref="B1106">INDEX('Báo cáo 75 trang đích'!$B$2:$B$76,$A1106)</f>
        <v>https://techcombank.com/thong-tin/blog/cach-thanh-toan-the-tin-dung</v>
      </c>
      <c r="C1106" s="5" t="str">
        <f t="array" ref="C1106">INDEX('Báo cáo 75 trang đích'!$C$2:$C$76,$A1106)</f>
        <v>CCB</v>
      </c>
      <c r="D1106" s="20" t="s">
        <v>784</v>
      </c>
      <c r="E1106" s="22" t="s">
        <v>819</v>
      </c>
      <c r="F1106" s="22" t="s">
        <v>81</v>
      </c>
      <c r="G1106" s="22" t="s">
        <v>1449</v>
      </c>
      <c r="H1106" s="24" t="s">
        <v>59</v>
      </c>
      <c r="I1106" s="24" t="s">
        <v>59</v>
      </c>
      <c r="J1106" s="24" t="s">
        <v>60</v>
      </c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">
        <v>35.0</v>
      </c>
      <c r="B1107" s="35" t="str">
        <f t="array" ref="B1107">INDEX('Báo cáo 75 trang đích'!$B$2:$B$76,$A1107)</f>
        <v>https://techcombank.com/thong-tin/blog/cach-thanh-toan-the-tin-dung</v>
      </c>
      <c r="C1107" s="5" t="str">
        <f t="array" ref="C1107">INDEX('Báo cáo 75 trang đích'!$C$2:$C$76,$A1107)</f>
        <v>CCB</v>
      </c>
      <c r="D1107" s="20" t="s">
        <v>1451</v>
      </c>
      <c r="E1107" s="22" t="s">
        <v>243</v>
      </c>
      <c r="F1107" s="22" t="s">
        <v>81</v>
      </c>
      <c r="G1107" s="22" t="s">
        <v>1449</v>
      </c>
      <c r="H1107" s="24" t="s">
        <v>59</v>
      </c>
      <c r="I1107" s="24" t="s">
        <v>59</v>
      </c>
      <c r="J1107" s="24" t="s">
        <v>60</v>
      </c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">
        <v>35.0</v>
      </c>
      <c r="B1108" s="35" t="str">
        <f t="array" ref="B1108">INDEX('Báo cáo 75 trang đích'!$B$2:$B$76,$A1108)</f>
        <v>https://techcombank.com/thong-tin/blog/cach-thanh-toan-the-tin-dung</v>
      </c>
      <c r="C1108" s="5" t="str">
        <f t="array" ref="C1108">INDEX('Báo cáo 75 trang đích'!$C$2:$C$76,$A1108)</f>
        <v>CCB</v>
      </c>
      <c r="D1108" s="20" t="s">
        <v>1452</v>
      </c>
      <c r="E1108" s="22" t="s">
        <v>816</v>
      </c>
      <c r="F1108" s="22" t="s">
        <v>81</v>
      </c>
      <c r="G1108" s="22" t="s">
        <v>1449</v>
      </c>
      <c r="H1108" s="24" t="s">
        <v>59</v>
      </c>
      <c r="I1108" s="24" t="s">
        <v>59</v>
      </c>
      <c r="J1108" s="24" t="s">
        <v>60</v>
      </c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">
        <v>35.0</v>
      </c>
      <c r="B1109" s="35" t="str">
        <f t="array" ref="B1109">INDEX('Báo cáo 75 trang đích'!$B$2:$B$76,$A1109)</f>
        <v>https://techcombank.com/thong-tin/blog/cach-thanh-toan-the-tin-dung</v>
      </c>
      <c r="C1109" s="5" t="str">
        <f t="array" ref="C1109">INDEX('Báo cáo 75 trang đích'!$C$2:$C$76,$A1109)</f>
        <v>CCB</v>
      </c>
      <c r="D1109" s="20" t="s">
        <v>1453</v>
      </c>
      <c r="E1109" s="22" t="s">
        <v>819</v>
      </c>
      <c r="F1109" s="22" t="s">
        <v>81</v>
      </c>
      <c r="G1109" s="22" t="s">
        <v>1449</v>
      </c>
      <c r="H1109" s="24" t="s">
        <v>59</v>
      </c>
      <c r="I1109" s="24" t="s">
        <v>59</v>
      </c>
      <c r="J1109" s="24" t="s">
        <v>60</v>
      </c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">
        <v>35.0</v>
      </c>
      <c r="B1110" s="35" t="str">
        <f t="array" ref="B1110">INDEX('Báo cáo 75 trang đích'!$B$2:$B$76,$A1110)</f>
        <v>https://techcombank.com/thong-tin/blog/cach-thanh-toan-the-tin-dung</v>
      </c>
      <c r="C1110" s="5" t="str">
        <f t="array" ref="C1110">INDEX('Báo cáo 75 trang đích'!$C$2:$C$76,$A1110)</f>
        <v>CCB</v>
      </c>
      <c r="D1110" s="20" t="s">
        <v>766</v>
      </c>
      <c r="E1110" s="22" t="s">
        <v>243</v>
      </c>
      <c r="F1110" s="22" t="s">
        <v>81</v>
      </c>
      <c r="G1110" s="22" t="s">
        <v>1449</v>
      </c>
      <c r="H1110" s="24" t="s">
        <v>59</v>
      </c>
      <c r="I1110" s="24" t="s">
        <v>59</v>
      </c>
      <c r="J1110" s="24" t="s">
        <v>60</v>
      </c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">
        <v>35.0</v>
      </c>
      <c r="B1111" s="35" t="str">
        <f t="array" ref="B1111">INDEX('Báo cáo 75 trang đích'!$B$2:$B$76,$A1111)</f>
        <v>https://techcombank.com/thong-tin/blog/cach-thanh-toan-the-tin-dung</v>
      </c>
      <c r="C1111" s="5" t="str">
        <f t="array" ref="C1111">INDEX('Báo cáo 75 trang đích'!$C$2:$C$76,$A1111)</f>
        <v>CCB</v>
      </c>
      <c r="D1111" s="20" t="s">
        <v>1395</v>
      </c>
      <c r="E1111" s="22" t="s">
        <v>816</v>
      </c>
      <c r="F1111" s="22" t="s">
        <v>81</v>
      </c>
      <c r="G1111" s="22" t="s">
        <v>1449</v>
      </c>
      <c r="H1111" s="24" t="s">
        <v>59</v>
      </c>
      <c r="I1111" s="24" t="s">
        <v>59</v>
      </c>
      <c r="J1111" s="24" t="s">
        <v>60</v>
      </c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">
        <v>35.0</v>
      </c>
      <c r="B1112" s="35" t="str">
        <f t="array" ref="B1112">INDEX('Báo cáo 75 trang đích'!$B$2:$B$76,$A1112)</f>
        <v>https://techcombank.com/thong-tin/blog/cach-thanh-toan-the-tin-dung</v>
      </c>
      <c r="C1112" s="5" t="str">
        <f t="array" ref="C1112">INDEX('Báo cáo 75 trang đích'!$C$2:$C$76,$A1112)</f>
        <v>CCB</v>
      </c>
      <c r="D1112" s="20" t="s">
        <v>1455</v>
      </c>
      <c r="E1112" s="22" t="s">
        <v>819</v>
      </c>
      <c r="F1112" s="22" t="s">
        <v>81</v>
      </c>
      <c r="G1112" s="22" t="s">
        <v>1449</v>
      </c>
      <c r="H1112" s="24" t="s">
        <v>59</v>
      </c>
      <c r="I1112" s="24" t="s">
        <v>59</v>
      </c>
      <c r="J1112" s="24" t="s">
        <v>60</v>
      </c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">
        <v>35.0</v>
      </c>
      <c r="B1113" s="35" t="str">
        <f t="array" ref="B1113">INDEX('Báo cáo 75 trang đích'!$B$2:$B$76,$A1113)</f>
        <v>https://techcombank.com/thong-tin/blog/cach-thanh-toan-the-tin-dung</v>
      </c>
      <c r="C1113" s="5" t="str">
        <f t="array" ref="C1113">INDEX('Báo cáo 75 trang đích'!$C$2:$C$76,$A1113)</f>
        <v>CCB</v>
      </c>
      <c r="D1113" s="20" t="s">
        <v>1325</v>
      </c>
      <c r="E1113" s="22" t="s">
        <v>243</v>
      </c>
      <c r="F1113" s="22" t="s">
        <v>81</v>
      </c>
      <c r="G1113" s="22" t="s">
        <v>1449</v>
      </c>
      <c r="H1113" s="24" t="s">
        <v>59</v>
      </c>
      <c r="I1113" s="24" t="s">
        <v>59</v>
      </c>
      <c r="J1113" s="24" t="s">
        <v>60</v>
      </c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">
        <v>35.0</v>
      </c>
      <c r="B1114" s="35" t="str">
        <f t="array" ref="B1114">INDEX('Báo cáo 75 trang đích'!$B$2:$B$76,$A1114)</f>
        <v>https://techcombank.com/thong-tin/blog/cach-thanh-toan-the-tin-dung</v>
      </c>
      <c r="C1114" s="5" t="str">
        <f t="array" ref="C1114">INDEX('Báo cáo 75 trang đích'!$C$2:$C$76,$A1114)</f>
        <v>CCB</v>
      </c>
      <c r="D1114" s="20" t="s">
        <v>1456</v>
      </c>
      <c r="E1114" s="22" t="s">
        <v>816</v>
      </c>
      <c r="F1114" s="22" t="s">
        <v>81</v>
      </c>
      <c r="G1114" s="22" t="s">
        <v>1449</v>
      </c>
      <c r="H1114" s="24" t="s">
        <v>59</v>
      </c>
      <c r="I1114" s="24" t="s">
        <v>59</v>
      </c>
      <c r="J1114" s="24" t="s">
        <v>60</v>
      </c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">
        <v>35.0</v>
      </c>
      <c r="B1115" s="35" t="str">
        <f t="array" ref="B1115">INDEX('Báo cáo 75 trang đích'!$B$2:$B$76,$A1115)</f>
        <v>https://techcombank.com/thong-tin/blog/cach-thanh-toan-the-tin-dung</v>
      </c>
      <c r="C1115" s="5" t="str">
        <f t="array" ref="C1115">INDEX('Báo cáo 75 trang đích'!$C$2:$C$76,$A1115)</f>
        <v>CCB</v>
      </c>
      <c r="D1115" s="20" t="s">
        <v>1184</v>
      </c>
      <c r="E1115" s="22" t="s">
        <v>819</v>
      </c>
      <c r="F1115" s="22" t="s">
        <v>81</v>
      </c>
      <c r="G1115" s="22" t="s">
        <v>1449</v>
      </c>
      <c r="H1115" s="24" t="s">
        <v>59</v>
      </c>
      <c r="I1115" s="24" t="s">
        <v>59</v>
      </c>
      <c r="J1115" s="24" t="s">
        <v>60</v>
      </c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">
        <v>35.0</v>
      </c>
      <c r="B1116" s="35" t="str">
        <f t="array" ref="B1116">INDEX('Báo cáo 75 trang đích'!$B$2:$B$76,$A1116)</f>
        <v>https://techcombank.com/thong-tin/blog/cach-thanh-toan-the-tin-dung</v>
      </c>
      <c r="C1116" s="5" t="str">
        <f t="array" ref="C1116">INDEX('Báo cáo 75 trang đích'!$C$2:$C$76,$A1116)</f>
        <v>CCB</v>
      </c>
      <c r="D1116" s="20" t="s">
        <v>1396</v>
      </c>
      <c r="E1116" s="22" t="s">
        <v>243</v>
      </c>
      <c r="F1116" s="22" t="s">
        <v>81</v>
      </c>
      <c r="G1116" s="22" t="s">
        <v>1449</v>
      </c>
      <c r="H1116" s="24" t="s">
        <v>59</v>
      </c>
      <c r="I1116" s="24" t="s">
        <v>59</v>
      </c>
      <c r="J1116" s="24" t="s">
        <v>60</v>
      </c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">
        <v>35.0</v>
      </c>
      <c r="B1117" s="35" t="str">
        <f t="array" ref="B1117">INDEX('Báo cáo 75 trang đích'!$B$2:$B$76,$A1117)</f>
        <v>https://techcombank.com/thong-tin/blog/cach-thanh-toan-the-tin-dung</v>
      </c>
      <c r="C1117" s="5" t="str">
        <f t="array" ref="C1117">INDEX('Báo cáo 75 trang đích'!$C$2:$C$76,$A1117)</f>
        <v>CCB</v>
      </c>
      <c r="D1117" s="20" t="s">
        <v>802</v>
      </c>
      <c r="E1117" s="22" t="s">
        <v>816</v>
      </c>
      <c r="F1117" s="22" t="s">
        <v>81</v>
      </c>
      <c r="G1117" s="22" t="s">
        <v>1449</v>
      </c>
      <c r="H1117" s="24" t="s">
        <v>59</v>
      </c>
      <c r="I1117" s="24" t="s">
        <v>59</v>
      </c>
      <c r="J1117" s="24" t="s">
        <v>60</v>
      </c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">
        <v>35.0</v>
      </c>
      <c r="B1118" s="35" t="str">
        <f t="array" ref="B1118">INDEX('Báo cáo 75 trang đích'!$B$2:$B$76,$A1118)</f>
        <v>https://techcombank.com/thong-tin/blog/cach-thanh-toan-the-tin-dung</v>
      </c>
      <c r="C1118" s="5" t="str">
        <f t="array" ref="C1118">INDEX('Báo cáo 75 trang đích'!$C$2:$C$76,$A1118)</f>
        <v>CCB</v>
      </c>
      <c r="D1118" s="20" t="s">
        <v>207</v>
      </c>
      <c r="E1118" s="22" t="s">
        <v>819</v>
      </c>
      <c r="F1118" s="22" t="s">
        <v>81</v>
      </c>
      <c r="G1118" s="22" t="s">
        <v>1449</v>
      </c>
      <c r="H1118" s="24" t="s">
        <v>59</v>
      </c>
      <c r="I1118" s="24" t="s">
        <v>59</v>
      </c>
      <c r="J1118" s="24" t="s">
        <v>60</v>
      </c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">
        <v>35.0</v>
      </c>
      <c r="B1119" s="35" t="str">
        <f t="array" ref="B1119">INDEX('Báo cáo 75 trang đích'!$B$2:$B$76,$A1119)</f>
        <v>https://techcombank.com/thong-tin/blog/cach-thanh-toan-the-tin-dung</v>
      </c>
      <c r="C1119" s="5" t="str">
        <f t="array" ref="C1119">INDEX('Báo cáo 75 trang đích'!$C$2:$C$76,$A1119)</f>
        <v>CCB</v>
      </c>
      <c r="D1119" s="20" t="s">
        <v>763</v>
      </c>
      <c r="E1119" s="22" t="s">
        <v>243</v>
      </c>
      <c r="F1119" s="22" t="s">
        <v>81</v>
      </c>
      <c r="G1119" s="22" t="s">
        <v>1449</v>
      </c>
      <c r="H1119" s="24" t="s">
        <v>59</v>
      </c>
      <c r="I1119" s="24" t="s">
        <v>59</v>
      </c>
      <c r="J1119" s="24" t="s">
        <v>60</v>
      </c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">
        <v>35.0</v>
      </c>
      <c r="B1120" s="35" t="str">
        <f t="array" ref="B1120">INDEX('Báo cáo 75 trang đích'!$B$2:$B$76,$A1120)</f>
        <v>https://techcombank.com/thong-tin/blog/cach-thanh-toan-the-tin-dung</v>
      </c>
      <c r="C1120" s="5" t="str">
        <f t="array" ref="C1120">INDEX('Báo cáo 75 trang đích'!$C$2:$C$76,$A1120)</f>
        <v>CCB</v>
      </c>
      <c r="D1120" s="20" t="s">
        <v>1459</v>
      </c>
      <c r="E1120" s="22" t="s">
        <v>816</v>
      </c>
      <c r="F1120" s="22" t="s">
        <v>81</v>
      </c>
      <c r="G1120" s="22" t="s">
        <v>1449</v>
      </c>
      <c r="H1120" s="24" t="s">
        <v>59</v>
      </c>
      <c r="I1120" s="24" t="s">
        <v>59</v>
      </c>
      <c r="J1120" s="24" t="s">
        <v>60</v>
      </c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">
        <v>35.0</v>
      </c>
      <c r="B1121" s="35" t="str">
        <f t="array" ref="B1121">INDEX('Báo cáo 75 trang đích'!$B$2:$B$76,$A1121)</f>
        <v>https://techcombank.com/thong-tin/blog/cach-thanh-toan-the-tin-dung</v>
      </c>
      <c r="C1121" s="5" t="str">
        <f t="array" ref="C1121">INDEX('Báo cáo 75 trang đích'!$C$2:$C$76,$A1121)</f>
        <v>CCB</v>
      </c>
      <c r="D1121" s="20" t="s">
        <v>1460</v>
      </c>
      <c r="E1121" s="22" t="s">
        <v>819</v>
      </c>
      <c r="F1121" s="22" t="s">
        <v>81</v>
      </c>
      <c r="G1121" s="22" t="s">
        <v>1449</v>
      </c>
      <c r="H1121" s="24" t="s">
        <v>59</v>
      </c>
      <c r="I1121" s="24" t="s">
        <v>59</v>
      </c>
      <c r="J1121" s="24" t="s">
        <v>60</v>
      </c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">
        <v>35.0</v>
      </c>
      <c r="B1122" s="35" t="str">
        <f t="array" ref="B1122">INDEX('Báo cáo 75 trang đích'!$B$2:$B$76,$A1122)</f>
        <v>https://techcombank.com/thong-tin/blog/cach-thanh-toan-the-tin-dung</v>
      </c>
      <c r="C1122" s="5" t="str">
        <f t="array" ref="C1122">INDEX('Báo cáo 75 trang đích'!$C$2:$C$76,$A1122)</f>
        <v>CCB</v>
      </c>
      <c r="D1122" s="20" t="s">
        <v>738</v>
      </c>
      <c r="E1122" s="22" t="s">
        <v>243</v>
      </c>
      <c r="F1122" s="22" t="s">
        <v>81</v>
      </c>
      <c r="G1122" s="22" t="s">
        <v>1449</v>
      </c>
      <c r="H1122" s="24" t="s">
        <v>59</v>
      </c>
      <c r="I1122" s="24" t="s">
        <v>59</v>
      </c>
      <c r="J1122" s="24" t="s">
        <v>60</v>
      </c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">
        <v>35.0</v>
      </c>
      <c r="B1123" s="35" t="str">
        <f t="array" ref="B1123">INDEX('Báo cáo 75 trang đích'!$B$2:$B$76,$A1123)</f>
        <v>https://techcombank.com/thong-tin/blog/cach-thanh-toan-the-tin-dung</v>
      </c>
      <c r="C1123" s="5" t="str">
        <f t="array" ref="C1123">INDEX('Báo cáo 75 trang đích'!$C$2:$C$76,$A1123)</f>
        <v>CCB</v>
      </c>
      <c r="D1123" s="20" t="s">
        <v>281</v>
      </c>
      <c r="E1123" s="22" t="s">
        <v>816</v>
      </c>
      <c r="F1123" s="22" t="s">
        <v>81</v>
      </c>
      <c r="G1123" s="22" t="s">
        <v>1449</v>
      </c>
      <c r="H1123" s="24" t="s">
        <v>59</v>
      </c>
      <c r="I1123" s="24" t="s">
        <v>59</v>
      </c>
      <c r="J1123" s="24" t="s">
        <v>60</v>
      </c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">
        <v>35.0</v>
      </c>
      <c r="B1124" s="35" t="str">
        <f t="array" ref="B1124">INDEX('Báo cáo 75 trang đích'!$B$2:$B$76,$A1124)</f>
        <v>https://techcombank.com/thong-tin/blog/cach-thanh-toan-the-tin-dung</v>
      </c>
      <c r="C1124" s="5" t="str">
        <f t="array" ref="C1124">INDEX('Báo cáo 75 trang đích'!$C$2:$C$76,$A1124)</f>
        <v>CCB</v>
      </c>
      <c r="D1124" s="20" t="s">
        <v>1461</v>
      </c>
      <c r="E1124" s="22" t="s">
        <v>819</v>
      </c>
      <c r="F1124" s="22" t="s">
        <v>81</v>
      </c>
      <c r="G1124" s="22" t="s">
        <v>1449</v>
      </c>
      <c r="H1124" s="24" t="s">
        <v>59</v>
      </c>
      <c r="I1124" s="24" t="s">
        <v>59</v>
      </c>
      <c r="J1124" s="24" t="s">
        <v>60</v>
      </c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">
        <v>35.0</v>
      </c>
      <c r="B1125" s="35" t="str">
        <f t="array" ref="B1125">INDEX('Báo cáo 75 trang đích'!$B$2:$B$76,$A1125)</f>
        <v>https://techcombank.com/thong-tin/blog/cach-thanh-toan-the-tin-dung</v>
      </c>
      <c r="C1125" s="5" t="str">
        <f t="array" ref="C1125">INDEX('Báo cáo 75 trang đích'!$C$2:$C$76,$A1125)</f>
        <v>CCB</v>
      </c>
      <c r="D1125" s="20" t="s">
        <v>1462</v>
      </c>
      <c r="E1125" s="22" t="s">
        <v>243</v>
      </c>
      <c r="F1125" s="22" t="s">
        <v>81</v>
      </c>
      <c r="G1125" s="22" t="s">
        <v>1449</v>
      </c>
      <c r="H1125" s="24" t="s">
        <v>59</v>
      </c>
      <c r="I1125" s="24" t="s">
        <v>59</v>
      </c>
      <c r="J1125" s="24" t="s">
        <v>60</v>
      </c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">
        <v>35.0</v>
      </c>
      <c r="B1126" s="35" t="str">
        <f t="array" ref="B1126">INDEX('Báo cáo 75 trang đích'!$B$2:$B$76,$A1126)</f>
        <v>https://techcombank.com/thong-tin/blog/cach-thanh-toan-the-tin-dung</v>
      </c>
      <c r="C1126" s="5" t="str">
        <f t="array" ref="C1126">INDEX('Báo cáo 75 trang đích'!$C$2:$C$76,$A1126)</f>
        <v>CCB</v>
      </c>
      <c r="D1126" s="20" t="s">
        <v>447</v>
      </c>
      <c r="E1126" s="22" t="s">
        <v>816</v>
      </c>
      <c r="F1126" s="22" t="s">
        <v>81</v>
      </c>
      <c r="G1126" s="22" t="s">
        <v>1282</v>
      </c>
      <c r="H1126" s="24" t="s">
        <v>59</v>
      </c>
      <c r="I1126" s="24" t="s">
        <v>59</v>
      </c>
      <c r="J1126" s="24" t="s">
        <v>60</v>
      </c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">
        <v>35.0</v>
      </c>
      <c r="B1127" s="35" t="str">
        <f t="array" ref="B1127">INDEX('Báo cáo 75 trang đích'!$B$2:$B$76,$A1127)</f>
        <v>https://techcombank.com/thong-tin/blog/cach-thanh-toan-the-tin-dung</v>
      </c>
      <c r="C1127" s="5" t="str">
        <f t="array" ref="C1127">INDEX('Báo cáo 75 trang đích'!$C$2:$C$76,$A1127)</f>
        <v>CCB</v>
      </c>
      <c r="D1127" s="20" t="s">
        <v>1463</v>
      </c>
      <c r="E1127" s="22" t="s">
        <v>819</v>
      </c>
      <c r="F1127" s="22" t="s">
        <v>81</v>
      </c>
      <c r="G1127" s="22" t="s">
        <v>1449</v>
      </c>
      <c r="H1127" s="24" t="s">
        <v>59</v>
      </c>
      <c r="I1127" s="24" t="s">
        <v>59</v>
      </c>
      <c r="J1127" s="24" t="s">
        <v>60</v>
      </c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">
        <v>35.0</v>
      </c>
      <c r="B1128" s="35" t="str">
        <f t="array" ref="B1128">INDEX('Báo cáo 75 trang đích'!$B$2:$B$76,$A1128)</f>
        <v>https://techcombank.com/thong-tin/blog/cach-thanh-toan-the-tin-dung</v>
      </c>
      <c r="C1128" s="5" t="str">
        <f t="array" ref="C1128">INDEX('Báo cáo 75 trang đích'!$C$2:$C$76,$A1128)</f>
        <v>CCB</v>
      </c>
      <c r="D1128" s="20" t="s">
        <v>646</v>
      </c>
      <c r="E1128" s="22" t="s">
        <v>243</v>
      </c>
      <c r="F1128" s="22" t="s">
        <v>81</v>
      </c>
      <c r="G1128" s="22" t="s">
        <v>1449</v>
      </c>
      <c r="H1128" s="24" t="s">
        <v>59</v>
      </c>
      <c r="I1128" s="24" t="s">
        <v>59</v>
      </c>
      <c r="J1128" s="24" t="s">
        <v>60</v>
      </c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">
        <v>35.0</v>
      </c>
      <c r="B1129" s="35" t="str">
        <f t="array" ref="B1129">INDEX('Báo cáo 75 trang đích'!$B$2:$B$76,$A1129)</f>
        <v>https://techcombank.com/thong-tin/blog/cach-thanh-toan-the-tin-dung</v>
      </c>
      <c r="C1129" s="5" t="str">
        <f t="array" ref="C1129">INDEX('Báo cáo 75 trang đích'!$C$2:$C$76,$A1129)</f>
        <v>CCB</v>
      </c>
      <c r="D1129" s="20" t="s">
        <v>269</v>
      </c>
      <c r="E1129" s="22" t="s">
        <v>816</v>
      </c>
      <c r="F1129" s="22" t="s">
        <v>81</v>
      </c>
      <c r="G1129" s="22" t="s">
        <v>1449</v>
      </c>
      <c r="H1129" s="24" t="s">
        <v>59</v>
      </c>
      <c r="I1129" s="24" t="s">
        <v>59</v>
      </c>
      <c r="J1129" s="24" t="s">
        <v>60</v>
      </c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">
        <v>35.0</v>
      </c>
      <c r="B1130" s="35" t="str">
        <f t="array" ref="B1130">INDEX('Báo cáo 75 trang đích'!$B$2:$B$76,$A1130)</f>
        <v>https://techcombank.com/thong-tin/blog/cach-thanh-toan-the-tin-dung</v>
      </c>
      <c r="C1130" s="5" t="str">
        <f t="array" ref="C1130">INDEX('Báo cáo 75 trang đích'!$C$2:$C$76,$A1130)</f>
        <v>CCB</v>
      </c>
      <c r="D1130" s="20" t="s">
        <v>1401</v>
      </c>
      <c r="E1130" s="22" t="s">
        <v>819</v>
      </c>
      <c r="F1130" s="22" t="s">
        <v>81</v>
      </c>
      <c r="G1130" s="22" t="s">
        <v>1449</v>
      </c>
      <c r="H1130" s="24" t="s">
        <v>59</v>
      </c>
      <c r="I1130" s="24" t="s">
        <v>59</v>
      </c>
      <c r="J1130" s="24" t="s">
        <v>60</v>
      </c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">
        <v>35.0</v>
      </c>
      <c r="B1131" s="35" t="str">
        <f t="array" ref="B1131">INDEX('Báo cáo 75 trang đích'!$B$2:$B$76,$A1131)</f>
        <v>https://techcombank.com/thong-tin/blog/cach-thanh-toan-the-tin-dung</v>
      </c>
      <c r="C1131" s="5" t="str">
        <f t="array" ref="C1131">INDEX('Báo cáo 75 trang đích'!$C$2:$C$76,$A1131)</f>
        <v>CCB</v>
      </c>
      <c r="D1131" s="20" t="s">
        <v>1280</v>
      </c>
      <c r="E1131" s="22" t="s">
        <v>243</v>
      </c>
      <c r="F1131" s="22" t="s">
        <v>81</v>
      </c>
      <c r="G1131" s="22" t="s">
        <v>1449</v>
      </c>
      <c r="H1131" s="24" t="s">
        <v>59</v>
      </c>
      <c r="I1131" s="24" t="s">
        <v>59</v>
      </c>
      <c r="J1131" s="24" t="s">
        <v>60</v>
      </c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">
        <v>35.0</v>
      </c>
      <c r="B1132" s="35" t="str">
        <f t="array" ref="B1132">INDEX('Báo cáo 75 trang đích'!$B$2:$B$76,$A1132)</f>
        <v>https://techcombank.com/thong-tin/blog/cach-thanh-toan-the-tin-dung</v>
      </c>
      <c r="C1132" s="5" t="str">
        <f t="array" ref="C1132">INDEX('Báo cáo 75 trang đích'!$C$2:$C$76,$A1132)</f>
        <v>CCB</v>
      </c>
      <c r="D1132" s="20" t="s">
        <v>771</v>
      </c>
      <c r="E1132" s="22" t="s">
        <v>816</v>
      </c>
      <c r="F1132" s="22" t="s">
        <v>81</v>
      </c>
      <c r="G1132" s="22" t="s">
        <v>1449</v>
      </c>
      <c r="H1132" s="24" t="s">
        <v>59</v>
      </c>
      <c r="I1132" s="24" t="s">
        <v>59</v>
      </c>
      <c r="J1132" s="24" t="s">
        <v>60</v>
      </c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">
        <v>35.0</v>
      </c>
      <c r="B1133" s="35" t="str">
        <f t="array" ref="B1133">INDEX('Báo cáo 75 trang đích'!$B$2:$B$76,$A1133)</f>
        <v>https://techcombank.com/thong-tin/blog/cach-thanh-toan-the-tin-dung</v>
      </c>
      <c r="C1133" s="5" t="str">
        <f t="array" ref="C1133">INDEX('Báo cáo 75 trang đích'!$C$2:$C$76,$A1133)</f>
        <v>CCB</v>
      </c>
      <c r="D1133" s="20" t="s">
        <v>1464</v>
      </c>
      <c r="E1133" s="22" t="s">
        <v>819</v>
      </c>
      <c r="F1133" s="22" t="s">
        <v>81</v>
      </c>
      <c r="G1133" s="22" t="s">
        <v>1449</v>
      </c>
      <c r="H1133" s="24" t="s">
        <v>59</v>
      </c>
      <c r="I1133" s="24" t="s">
        <v>59</v>
      </c>
      <c r="J1133" s="24" t="s">
        <v>60</v>
      </c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">
        <v>35.0</v>
      </c>
      <c r="B1134" s="35" t="str">
        <f t="array" ref="B1134">INDEX('Báo cáo 75 trang đích'!$B$2:$B$76,$A1134)</f>
        <v>https://techcombank.com/thong-tin/blog/cach-thanh-toan-the-tin-dung</v>
      </c>
      <c r="C1134" s="5" t="str">
        <f t="array" ref="C1134">INDEX('Báo cáo 75 trang đích'!$C$2:$C$76,$A1134)</f>
        <v>CCB</v>
      </c>
      <c r="D1134" s="20" t="s">
        <v>749</v>
      </c>
      <c r="E1134" s="22" t="s">
        <v>243</v>
      </c>
      <c r="F1134" s="22" t="s">
        <v>81</v>
      </c>
      <c r="G1134" s="22" t="s">
        <v>1449</v>
      </c>
      <c r="H1134" s="24" t="s">
        <v>59</v>
      </c>
      <c r="I1134" s="24" t="s">
        <v>59</v>
      </c>
      <c r="J1134" s="24" t="s">
        <v>60</v>
      </c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">
        <v>35.0</v>
      </c>
      <c r="B1135" s="35" t="str">
        <f t="array" ref="B1135">INDEX('Báo cáo 75 trang đích'!$B$2:$B$76,$A1135)</f>
        <v>https://techcombank.com/thong-tin/blog/cach-thanh-toan-the-tin-dung</v>
      </c>
      <c r="C1135" s="5" t="str">
        <f t="array" ref="C1135">INDEX('Báo cáo 75 trang đích'!$C$2:$C$76,$A1135)</f>
        <v>CCB</v>
      </c>
      <c r="D1135" s="20" t="s">
        <v>776</v>
      </c>
      <c r="E1135" s="22" t="s">
        <v>816</v>
      </c>
      <c r="F1135" s="22" t="s">
        <v>81</v>
      </c>
      <c r="G1135" s="22" t="s">
        <v>1449</v>
      </c>
      <c r="H1135" s="24" t="s">
        <v>59</v>
      </c>
      <c r="I1135" s="24" t="s">
        <v>59</v>
      </c>
      <c r="J1135" s="24" t="s">
        <v>60</v>
      </c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">
        <v>35.0</v>
      </c>
      <c r="B1136" s="35" t="str">
        <f t="array" ref="B1136">INDEX('Báo cáo 75 trang đích'!$B$2:$B$76,$A1136)</f>
        <v>https://techcombank.com/thong-tin/blog/cach-thanh-toan-the-tin-dung</v>
      </c>
      <c r="C1136" s="5" t="str">
        <f t="array" ref="C1136">INDEX('Báo cáo 75 trang đích'!$C$2:$C$76,$A1136)</f>
        <v>CCB</v>
      </c>
      <c r="D1136" s="20" t="s">
        <v>1465</v>
      </c>
      <c r="E1136" s="22" t="s">
        <v>819</v>
      </c>
      <c r="F1136" s="22" t="s">
        <v>81</v>
      </c>
      <c r="G1136" s="22" t="s">
        <v>1449</v>
      </c>
      <c r="H1136" s="24" t="s">
        <v>59</v>
      </c>
      <c r="I1136" s="24" t="s">
        <v>59</v>
      </c>
      <c r="J1136" s="24" t="s">
        <v>60</v>
      </c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">
        <v>35.0</v>
      </c>
      <c r="B1137" s="35" t="str">
        <f t="array" ref="B1137">INDEX('Báo cáo 75 trang đích'!$B$2:$B$76,$A1137)</f>
        <v>https://techcombank.com/thong-tin/blog/cach-thanh-toan-the-tin-dung</v>
      </c>
      <c r="C1137" s="5" t="str">
        <f t="array" ref="C1137">INDEX('Báo cáo 75 trang đích'!$C$2:$C$76,$A1137)</f>
        <v>CCB</v>
      </c>
      <c r="D1137" s="20" t="s">
        <v>1466</v>
      </c>
      <c r="E1137" s="22" t="s">
        <v>243</v>
      </c>
      <c r="F1137" s="22" t="s">
        <v>81</v>
      </c>
      <c r="G1137" s="22" t="s">
        <v>1449</v>
      </c>
      <c r="H1137" s="24" t="s">
        <v>59</v>
      </c>
      <c r="I1137" s="24" t="s">
        <v>59</v>
      </c>
      <c r="J1137" s="24" t="s">
        <v>60</v>
      </c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">
        <v>35.0</v>
      </c>
      <c r="B1138" s="35" t="str">
        <f t="array" ref="B1138">INDEX('Báo cáo 75 trang đích'!$B$2:$B$76,$A1138)</f>
        <v>https://techcombank.com/thong-tin/blog/cach-thanh-toan-the-tin-dung</v>
      </c>
      <c r="C1138" s="5" t="str">
        <f t="array" ref="C1138">INDEX('Báo cáo 75 trang đích'!$C$2:$C$76,$A1138)</f>
        <v>CCB</v>
      </c>
      <c r="D1138" s="20" t="s">
        <v>431</v>
      </c>
      <c r="E1138" s="22" t="s">
        <v>816</v>
      </c>
      <c r="F1138" s="22" t="s">
        <v>81</v>
      </c>
      <c r="G1138" s="22" t="s">
        <v>1449</v>
      </c>
      <c r="H1138" s="24" t="s">
        <v>59</v>
      </c>
      <c r="I1138" s="24" t="s">
        <v>59</v>
      </c>
      <c r="J1138" s="24" t="s">
        <v>60</v>
      </c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">
        <v>35.0</v>
      </c>
      <c r="B1139" s="35" t="str">
        <f t="array" ref="B1139">INDEX('Báo cáo 75 trang đích'!$B$2:$B$76,$A1139)</f>
        <v>https://techcombank.com/thong-tin/blog/cach-thanh-toan-the-tin-dung</v>
      </c>
      <c r="C1139" s="5" t="str">
        <f t="array" ref="C1139">INDEX('Báo cáo 75 trang đích'!$C$2:$C$76,$A1139)</f>
        <v>CCB</v>
      </c>
      <c r="D1139" s="20" t="s">
        <v>1331</v>
      </c>
      <c r="E1139" s="22" t="s">
        <v>819</v>
      </c>
      <c r="F1139" s="22" t="s">
        <v>81</v>
      </c>
      <c r="G1139" s="22" t="s">
        <v>1449</v>
      </c>
      <c r="H1139" s="24" t="s">
        <v>59</v>
      </c>
      <c r="I1139" s="24" t="s">
        <v>59</v>
      </c>
      <c r="J1139" s="24" t="s">
        <v>60</v>
      </c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">
        <v>35.0</v>
      </c>
      <c r="B1140" s="35" t="str">
        <f t="array" ref="B1140">INDEX('Báo cáo 75 trang đích'!$B$2:$B$76,$A1140)</f>
        <v>https://techcombank.com/thong-tin/blog/cach-thanh-toan-the-tin-dung</v>
      </c>
      <c r="C1140" s="5" t="str">
        <f t="array" ref="C1140">INDEX('Báo cáo 75 trang đích'!$C$2:$C$76,$A1140)</f>
        <v>CCB</v>
      </c>
      <c r="D1140" s="20" t="s">
        <v>1468</v>
      </c>
      <c r="E1140" s="22" t="s">
        <v>243</v>
      </c>
      <c r="F1140" s="22" t="s">
        <v>81</v>
      </c>
      <c r="G1140" s="22" t="s">
        <v>1449</v>
      </c>
      <c r="H1140" s="24" t="s">
        <v>59</v>
      </c>
      <c r="I1140" s="24" t="s">
        <v>59</v>
      </c>
      <c r="J1140" s="24" t="s">
        <v>60</v>
      </c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">
        <v>35.0</v>
      </c>
      <c r="B1141" s="35" t="str">
        <f t="array" ref="B1141">INDEX('Báo cáo 75 trang đích'!$B$2:$B$76,$A1141)</f>
        <v>https://techcombank.com/thong-tin/blog/cach-thanh-toan-the-tin-dung</v>
      </c>
      <c r="C1141" s="5" t="str">
        <f t="array" ref="C1141">INDEX('Báo cáo 75 trang đích'!$C$2:$C$76,$A1141)</f>
        <v>CCB</v>
      </c>
      <c r="D1141" s="20" t="s">
        <v>198</v>
      </c>
      <c r="E1141" s="22" t="s">
        <v>816</v>
      </c>
      <c r="F1141" s="22" t="s">
        <v>81</v>
      </c>
      <c r="G1141" s="22" t="s">
        <v>1449</v>
      </c>
      <c r="H1141" s="24" t="s">
        <v>59</v>
      </c>
      <c r="I1141" s="24" t="s">
        <v>59</v>
      </c>
      <c r="J1141" s="24" t="s">
        <v>60</v>
      </c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">
        <v>35.0</v>
      </c>
      <c r="B1142" s="35" t="str">
        <f t="array" ref="B1142">INDEX('Báo cáo 75 trang đích'!$B$2:$B$76,$A1142)</f>
        <v>https://techcombank.com/thong-tin/blog/cach-thanh-toan-the-tin-dung</v>
      </c>
      <c r="C1142" s="5" t="str">
        <f t="array" ref="C1142">INDEX('Báo cáo 75 trang đích'!$C$2:$C$76,$A1142)</f>
        <v>CCB</v>
      </c>
      <c r="D1142" s="20" t="s">
        <v>1469</v>
      </c>
      <c r="E1142" s="22" t="s">
        <v>819</v>
      </c>
      <c r="F1142" s="22" t="s">
        <v>81</v>
      </c>
      <c r="G1142" s="22" t="s">
        <v>1449</v>
      </c>
      <c r="H1142" s="24" t="s">
        <v>59</v>
      </c>
      <c r="I1142" s="24" t="s">
        <v>59</v>
      </c>
      <c r="J1142" s="24" t="s">
        <v>60</v>
      </c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">
        <v>35.0</v>
      </c>
      <c r="B1143" s="35" t="str">
        <f t="array" ref="B1143">INDEX('Báo cáo 75 trang đích'!$B$2:$B$76,$A1143)</f>
        <v>https://techcombank.com/thong-tin/blog/cach-thanh-toan-the-tin-dung</v>
      </c>
      <c r="C1143" s="5" t="str">
        <f t="array" ref="C1143">INDEX('Báo cáo 75 trang đích'!$C$2:$C$76,$A1143)</f>
        <v>CCB</v>
      </c>
      <c r="D1143" s="20" t="s">
        <v>187</v>
      </c>
      <c r="E1143" s="22" t="s">
        <v>243</v>
      </c>
      <c r="F1143" s="22" t="s">
        <v>81</v>
      </c>
      <c r="G1143" s="22" t="s">
        <v>1449</v>
      </c>
      <c r="H1143" s="24" t="s">
        <v>59</v>
      </c>
      <c r="I1143" s="24" t="s">
        <v>59</v>
      </c>
      <c r="J1143" s="24" t="s">
        <v>60</v>
      </c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">
        <v>35.0</v>
      </c>
      <c r="B1144" s="35" t="str">
        <f t="array" ref="B1144">INDEX('Báo cáo 75 trang đích'!$B$2:$B$76,$A1144)</f>
        <v>https://techcombank.com/thong-tin/blog/cach-thanh-toan-the-tin-dung</v>
      </c>
      <c r="C1144" s="5" t="str">
        <f t="array" ref="C1144">INDEX('Báo cáo 75 trang đích'!$C$2:$C$76,$A1144)</f>
        <v>CCB</v>
      </c>
      <c r="D1144" s="20" t="s">
        <v>1470</v>
      </c>
      <c r="E1144" s="22" t="s">
        <v>816</v>
      </c>
      <c r="F1144" s="22" t="s">
        <v>81</v>
      </c>
      <c r="G1144" s="22" t="s">
        <v>1449</v>
      </c>
      <c r="H1144" s="24" t="s">
        <v>59</v>
      </c>
      <c r="I1144" s="24" t="s">
        <v>59</v>
      </c>
      <c r="J1144" s="24" t="s">
        <v>60</v>
      </c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">
        <v>35.0</v>
      </c>
      <c r="B1145" s="35" t="str">
        <f t="array" ref="B1145">INDEX('Báo cáo 75 trang đích'!$B$2:$B$76,$A1145)</f>
        <v>https://techcombank.com/thong-tin/blog/cach-thanh-toan-the-tin-dung</v>
      </c>
      <c r="C1145" s="5" t="str">
        <f t="array" ref="C1145">INDEX('Báo cáo 75 trang đích'!$C$2:$C$76,$A1145)</f>
        <v>CCB</v>
      </c>
      <c r="D1145" s="20" t="s">
        <v>1471</v>
      </c>
      <c r="E1145" s="22" t="s">
        <v>819</v>
      </c>
      <c r="F1145" s="22" t="s">
        <v>81</v>
      </c>
      <c r="G1145" s="22" t="s">
        <v>1449</v>
      </c>
      <c r="H1145" s="24" t="s">
        <v>59</v>
      </c>
      <c r="I1145" s="24" t="s">
        <v>59</v>
      </c>
      <c r="J1145" s="24" t="s">
        <v>60</v>
      </c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">
        <v>35.0</v>
      </c>
      <c r="B1146" s="35" t="str">
        <f t="array" ref="B1146">INDEX('Báo cáo 75 trang đích'!$B$2:$B$76,$A1146)</f>
        <v>https://techcombank.com/thong-tin/blog/cach-thanh-toan-the-tin-dung</v>
      </c>
      <c r="C1146" s="5" t="str">
        <f t="array" ref="C1146">INDEX('Báo cáo 75 trang đích'!$C$2:$C$76,$A1146)</f>
        <v>CCB</v>
      </c>
      <c r="D1146" s="20" t="s">
        <v>1525</v>
      </c>
      <c r="E1146" s="22" t="s">
        <v>243</v>
      </c>
      <c r="F1146" s="22" t="s">
        <v>81</v>
      </c>
      <c r="G1146" s="22" t="s">
        <v>1526</v>
      </c>
      <c r="H1146" s="24" t="s">
        <v>59</v>
      </c>
      <c r="I1146" s="24" t="s">
        <v>59</v>
      </c>
      <c r="J1146" s="24" t="s">
        <v>60</v>
      </c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">
        <v>35.0</v>
      </c>
      <c r="B1147" s="35" t="str">
        <f t="array" ref="B1147">INDEX('Báo cáo 75 trang đích'!$B$2:$B$76,$A1147)</f>
        <v>https://techcombank.com/thong-tin/blog/cach-thanh-toan-the-tin-dung</v>
      </c>
      <c r="C1147" s="5" t="str">
        <f t="array" ref="C1147">INDEX('Báo cáo 75 trang đích'!$C$2:$C$76,$A1147)</f>
        <v>CCB</v>
      </c>
      <c r="D1147" s="20" t="s">
        <v>752</v>
      </c>
      <c r="E1147" s="22" t="s">
        <v>816</v>
      </c>
      <c r="F1147" s="22" t="s">
        <v>81</v>
      </c>
      <c r="G1147" s="22" t="s">
        <v>1449</v>
      </c>
      <c r="H1147" s="24" t="s">
        <v>59</v>
      </c>
      <c r="I1147" s="24" t="s">
        <v>59</v>
      </c>
      <c r="J1147" s="24" t="s">
        <v>60</v>
      </c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">
        <v>35.0</v>
      </c>
      <c r="B1148" s="35" t="str">
        <f t="array" ref="B1148">INDEX('Báo cáo 75 trang đích'!$B$2:$B$76,$A1148)</f>
        <v>https://techcombank.com/thong-tin/blog/cach-thanh-toan-the-tin-dung</v>
      </c>
      <c r="C1148" s="5" t="str">
        <f t="array" ref="C1148">INDEX('Báo cáo 75 trang đích'!$C$2:$C$76,$A1148)</f>
        <v>CCB</v>
      </c>
      <c r="D1148" s="20" t="s">
        <v>786</v>
      </c>
      <c r="E1148" s="22" t="s">
        <v>819</v>
      </c>
      <c r="F1148" s="22" t="s">
        <v>81</v>
      </c>
      <c r="G1148" s="22" t="s">
        <v>1449</v>
      </c>
      <c r="H1148" s="24" t="s">
        <v>59</v>
      </c>
      <c r="I1148" s="24" t="s">
        <v>59</v>
      </c>
      <c r="J1148" s="24" t="s">
        <v>60</v>
      </c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">
        <v>35.0</v>
      </c>
      <c r="B1149" s="35" t="str">
        <f t="array" ref="B1149">INDEX('Báo cáo 75 trang đích'!$B$2:$B$76,$A1149)</f>
        <v>https://techcombank.com/thong-tin/blog/cach-thanh-toan-the-tin-dung</v>
      </c>
      <c r="C1149" s="5" t="str">
        <f t="array" ref="C1149">INDEX('Báo cáo 75 trang đích'!$C$2:$C$76,$A1149)</f>
        <v>CCB</v>
      </c>
      <c r="D1149" s="20" t="s">
        <v>747</v>
      </c>
      <c r="E1149" s="22" t="s">
        <v>243</v>
      </c>
      <c r="F1149" s="22" t="s">
        <v>81</v>
      </c>
      <c r="G1149" s="22" t="s">
        <v>1449</v>
      </c>
      <c r="H1149" s="24" t="s">
        <v>59</v>
      </c>
      <c r="I1149" s="24" t="s">
        <v>59</v>
      </c>
      <c r="J1149" s="24" t="s">
        <v>60</v>
      </c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">
        <v>35.0</v>
      </c>
      <c r="B1150" s="35" t="str">
        <f t="array" ref="B1150">INDEX('Báo cáo 75 trang đích'!$B$2:$B$76,$A1150)</f>
        <v>https://techcombank.com/thong-tin/blog/cach-thanh-toan-the-tin-dung</v>
      </c>
      <c r="C1150" s="5" t="str">
        <f t="array" ref="C1150">INDEX('Báo cáo 75 trang đích'!$C$2:$C$76,$A1150)</f>
        <v>CCB</v>
      </c>
      <c r="D1150" s="20" t="s">
        <v>1283</v>
      </c>
      <c r="E1150" s="22" t="s">
        <v>816</v>
      </c>
      <c r="F1150" s="22" t="s">
        <v>81</v>
      </c>
      <c r="G1150" s="22" t="s">
        <v>1449</v>
      </c>
      <c r="H1150" s="24" t="s">
        <v>59</v>
      </c>
      <c r="I1150" s="24" t="s">
        <v>59</v>
      </c>
      <c r="J1150" s="24" t="s">
        <v>60</v>
      </c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">
        <v>35.0</v>
      </c>
      <c r="B1151" s="35" t="str">
        <f t="array" ref="B1151">INDEX('Báo cáo 75 trang đích'!$B$2:$B$76,$A1151)</f>
        <v>https://techcombank.com/thong-tin/blog/cach-thanh-toan-the-tin-dung</v>
      </c>
      <c r="C1151" s="5" t="str">
        <f t="array" ref="C1151">INDEX('Báo cáo 75 trang đích'!$C$2:$C$76,$A1151)</f>
        <v>CCB</v>
      </c>
      <c r="D1151" s="20" t="s">
        <v>1166</v>
      </c>
      <c r="E1151" s="22" t="s">
        <v>819</v>
      </c>
      <c r="F1151" s="22" t="s">
        <v>81</v>
      </c>
      <c r="G1151" s="22" t="s">
        <v>1526</v>
      </c>
      <c r="H1151" s="24" t="s">
        <v>59</v>
      </c>
      <c r="I1151" s="24" t="s">
        <v>59</v>
      </c>
      <c r="J1151" s="24" t="s">
        <v>60</v>
      </c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">
        <v>35.0</v>
      </c>
      <c r="B1152" s="35" t="str">
        <f t="array" ref="B1152">INDEX('Báo cáo 75 trang đích'!$B$2:$B$76,$A1152)</f>
        <v>https://techcombank.com/thong-tin/blog/cach-thanh-toan-the-tin-dung</v>
      </c>
      <c r="C1152" s="5" t="str">
        <f t="array" ref="C1152">INDEX('Báo cáo 75 trang đích'!$C$2:$C$76,$A1152)</f>
        <v>CCB</v>
      </c>
      <c r="D1152" s="20" t="s">
        <v>1527</v>
      </c>
      <c r="E1152" s="22" t="s">
        <v>243</v>
      </c>
      <c r="F1152" s="22" t="s">
        <v>81</v>
      </c>
      <c r="G1152" s="22" t="s">
        <v>1526</v>
      </c>
      <c r="H1152" s="24" t="s">
        <v>59</v>
      </c>
      <c r="I1152" s="24" t="s">
        <v>59</v>
      </c>
      <c r="J1152" s="24" t="s">
        <v>60</v>
      </c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">
        <v>35.0</v>
      </c>
      <c r="B1153" s="35" t="str">
        <f t="array" ref="B1153">INDEX('Báo cáo 75 trang đích'!$B$2:$B$76,$A1153)</f>
        <v>https://techcombank.com/thong-tin/blog/cach-thanh-toan-the-tin-dung</v>
      </c>
      <c r="C1153" s="5" t="str">
        <f t="array" ref="C1153">INDEX('Báo cáo 75 trang đích'!$C$2:$C$76,$A1153)</f>
        <v>CCB</v>
      </c>
      <c r="D1153" s="20" t="s">
        <v>1472</v>
      </c>
      <c r="E1153" s="22" t="s">
        <v>816</v>
      </c>
      <c r="F1153" s="22" t="s">
        <v>81</v>
      </c>
      <c r="G1153" s="22" t="s">
        <v>1449</v>
      </c>
      <c r="H1153" s="24" t="s">
        <v>59</v>
      </c>
      <c r="I1153" s="24" t="s">
        <v>59</v>
      </c>
      <c r="J1153" s="24" t="s">
        <v>60</v>
      </c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">
        <v>35.0</v>
      </c>
      <c r="B1154" s="35" t="str">
        <f t="array" ref="B1154">INDEX('Báo cáo 75 trang đích'!$B$2:$B$76,$A1154)</f>
        <v>https://techcombank.com/thong-tin/blog/cach-thanh-toan-the-tin-dung</v>
      </c>
      <c r="C1154" s="5" t="str">
        <f t="array" ref="C1154">INDEX('Báo cáo 75 trang đích'!$C$2:$C$76,$A1154)</f>
        <v>CCB</v>
      </c>
      <c r="D1154" s="20" t="s">
        <v>758</v>
      </c>
      <c r="E1154" s="22" t="s">
        <v>819</v>
      </c>
      <c r="F1154" s="22" t="s">
        <v>81</v>
      </c>
      <c r="G1154" s="22" t="s">
        <v>1449</v>
      </c>
      <c r="H1154" s="24" t="s">
        <v>59</v>
      </c>
      <c r="I1154" s="24" t="s">
        <v>59</v>
      </c>
      <c r="J1154" s="24" t="s">
        <v>60</v>
      </c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">
        <v>35.0</v>
      </c>
      <c r="B1155" s="35" t="str">
        <f t="array" ref="B1155">INDEX('Báo cáo 75 trang đích'!$B$2:$B$76,$A1155)</f>
        <v>https://techcombank.com/thong-tin/blog/cach-thanh-toan-the-tin-dung</v>
      </c>
      <c r="C1155" s="5" t="str">
        <f t="array" ref="C1155">INDEX('Báo cáo 75 trang đích'!$C$2:$C$76,$A1155)</f>
        <v>CCB</v>
      </c>
      <c r="D1155" s="20" t="s">
        <v>1473</v>
      </c>
      <c r="E1155" s="22" t="s">
        <v>243</v>
      </c>
      <c r="F1155" s="22" t="s">
        <v>81</v>
      </c>
      <c r="G1155" s="22" t="s">
        <v>1449</v>
      </c>
      <c r="H1155" s="24" t="s">
        <v>59</v>
      </c>
      <c r="I1155" s="24" t="s">
        <v>59</v>
      </c>
      <c r="J1155" s="24" t="s">
        <v>60</v>
      </c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">
        <v>35.0</v>
      </c>
      <c r="B1156" s="35" t="str">
        <f t="array" ref="B1156">INDEX('Báo cáo 75 trang đích'!$B$2:$B$76,$A1156)</f>
        <v>https://techcombank.com/thong-tin/blog/cach-thanh-toan-the-tin-dung</v>
      </c>
      <c r="C1156" s="5" t="str">
        <f t="array" ref="C1156">INDEX('Báo cáo 75 trang đích'!$C$2:$C$76,$A1156)</f>
        <v>CCB</v>
      </c>
      <c r="D1156" s="20" t="s">
        <v>800</v>
      </c>
      <c r="E1156" s="22" t="s">
        <v>816</v>
      </c>
      <c r="F1156" s="22" t="s">
        <v>81</v>
      </c>
      <c r="G1156" s="22" t="s">
        <v>1449</v>
      </c>
      <c r="H1156" s="24" t="s">
        <v>59</v>
      </c>
      <c r="I1156" s="24" t="s">
        <v>59</v>
      </c>
      <c r="J1156" s="24" t="s">
        <v>60</v>
      </c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">
        <v>35.0</v>
      </c>
      <c r="B1157" s="35" t="str">
        <f t="array" ref="B1157">INDEX('Báo cáo 75 trang đích'!$B$2:$B$76,$A1157)</f>
        <v>https://techcombank.com/thong-tin/blog/cach-thanh-toan-the-tin-dung</v>
      </c>
      <c r="C1157" s="5" t="str">
        <f t="array" ref="C1157">INDEX('Báo cáo 75 trang đích'!$C$2:$C$76,$A1157)</f>
        <v>CCB</v>
      </c>
      <c r="D1157" s="20" t="s">
        <v>1223</v>
      </c>
      <c r="E1157" s="22" t="s">
        <v>819</v>
      </c>
      <c r="F1157" s="22" t="s">
        <v>81</v>
      </c>
      <c r="G1157" s="22" t="s">
        <v>1449</v>
      </c>
      <c r="H1157" s="24" t="s">
        <v>59</v>
      </c>
      <c r="I1157" s="24" t="s">
        <v>59</v>
      </c>
      <c r="J1157" s="24" t="s">
        <v>60</v>
      </c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">
        <v>35.0</v>
      </c>
      <c r="B1158" s="35" t="str">
        <f t="array" ref="B1158">INDEX('Báo cáo 75 trang đích'!$B$2:$B$76,$A1158)</f>
        <v>https://techcombank.com/thong-tin/blog/cach-thanh-toan-the-tin-dung</v>
      </c>
      <c r="C1158" s="5" t="str">
        <f t="array" ref="C1158">INDEX('Báo cáo 75 trang đích'!$C$2:$C$76,$A1158)</f>
        <v>CCB</v>
      </c>
      <c r="D1158" s="20" t="s">
        <v>316</v>
      </c>
      <c r="E1158" s="22" t="s">
        <v>243</v>
      </c>
      <c r="F1158" s="22" t="s">
        <v>81</v>
      </c>
      <c r="G1158" s="22" t="s">
        <v>1526</v>
      </c>
      <c r="H1158" s="24" t="s">
        <v>59</v>
      </c>
      <c r="I1158" s="24" t="s">
        <v>59</v>
      </c>
      <c r="J1158" s="24" t="s">
        <v>60</v>
      </c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">
        <v>35.0</v>
      </c>
      <c r="B1159" s="35" t="str">
        <f t="array" ref="B1159">INDEX('Báo cáo 75 trang đích'!$B$2:$B$76,$A1159)</f>
        <v>https://techcombank.com/thong-tin/blog/cach-thanh-toan-the-tin-dung</v>
      </c>
      <c r="C1159" s="5" t="str">
        <f t="array" ref="C1159">INDEX('Báo cáo 75 trang đích'!$C$2:$C$76,$A1159)</f>
        <v>CCB</v>
      </c>
      <c r="D1159" s="20" t="s">
        <v>755</v>
      </c>
      <c r="E1159" s="22" t="s">
        <v>816</v>
      </c>
      <c r="F1159" s="22" t="s">
        <v>81</v>
      </c>
      <c r="G1159" s="22" t="s">
        <v>1449</v>
      </c>
      <c r="H1159" s="24" t="s">
        <v>59</v>
      </c>
      <c r="I1159" s="24" t="s">
        <v>59</v>
      </c>
      <c r="J1159" s="24" t="s">
        <v>60</v>
      </c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">
        <v>35.0</v>
      </c>
      <c r="B1160" s="35" t="str">
        <f t="array" ref="B1160">INDEX('Báo cáo 75 trang đích'!$B$2:$B$76,$A1160)</f>
        <v>https://techcombank.com/thong-tin/blog/cach-thanh-toan-the-tin-dung</v>
      </c>
      <c r="C1160" s="5" t="str">
        <f t="array" ref="C1160">INDEX('Báo cáo 75 trang đích'!$C$2:$C$76,$A1160)</f>
        <v>CCB</v>
      </c>
      <c r="D1160" s="20" t="s">
        <v>1426</v>
      </c>
      <c r="E1160" s="22" t="s">
        <v>819</v>
      </c>
      <c r="F1160" s="22" t="s">
        <v>81</v>
      </c>
      <c r="G1160" s="22" t="s">
        <v>1449</v>
      </c>
      <c r="H1160" s="24" t="s">
        <v>59</v>
      </c>
      <c r="I1160" s="24" t="s">
        <v>59</v>
      </c>
      <c r="J1160" s="24" t="s">
        <v>60</v>
      </c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">
        <v>35.0</v>
      </c>
      <c r="B1161" s="35" t="str">
        <f t="array" ref="B1161">INDEX('Báo cáo 75 trang đích'!$B$2:$B$76,$A1161)</f>
        <v>https://techcombank.com/thong-tin/blog/cach-thanh-toan-the-tin-dung</v>
      </c>
      <c r="C1161" s="5" t="str">
        <f t="array" ref="C1161">INDEX('Báo cáo 75 trang đích'!$C$2:$C$76,$A1161)</f>
        <v>CCB</v>
      </c>
      <c r="D1161" s="20" t="s">
        <v>768</v>
      </c>
      <c r="E1161" s="22" t="s">
        <v>243</v>
      </c>
      <c r="F1161" s="22" t="s">
        <v>81</v>
      </c>
      <c r="G1161" s="22" t="s">
        <v>1449</v>
      </c>
      <c r="H1161" s="24" t="s">
        <v>59</v>
      </c>
      <c r="I1161" s="24" t="s">
        <v>59</v>
      </c>
      <c r="J1161" s="24" t="s">
        <v>60</v>
      </c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">
        <v>35.0</v>
      </c>
      <c r="B1162" s="35" t="str">
        <f t="array" ref="B1162">INDEX('Báo cáo 75 trang đích'!$B$2:$B$76,$A1162)</f>
        <v>https://techcombank.com/thong-tin/blog/cach-thanh-toan-the-tin-dung</v>
      </c>
      <c r="C1162" s="5" t="str">
        <f t="array" ref="C1162">INDEX('Báo cáo 75 trang đích'!$C$2:$C$76,$A1162)</f>
        <v>CCB</v>
      </c>
      <c r="D1162" s="20" t="s">
        <v>1244</v>
      </c>
      <c r="E1162" s="22" t="s">
        <v>816</v>
      </c>
      <c r="F1162" s="22" t="s">
        <v>81</v>
      </c>
      <c r="G1162" s="22" t="s">
        <v>1526</v>
      </c>
      <c r="H1162" s="24" t="s">
        <v>59</v>
      </c>
      <c r="I1162" s="24" t="s">
        <v>59</v>
      </c>
      <c r="J1162" s="24" t="s">
        <v>60</v>
      </c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">
        <v>35.0</v>
      </c>
      <c r="B1163" s="35" t="str">
        <f t="array" ref="B1163">INDEX('Báo cáo 75 trang đích'!$B$2:$B$76,$A1163)</f>
        <v>https://techcombank.com/thong-tin/blog/cach-thanh-toan-the-tin-dung</v>
      </c>
      <c r="C1163" s="5" t="str">
        <f t="array" ref="C1163">INDEX('Báo cáo 75 trang đích'!$C$2:$C$76,$A1163)</f>
        <v>CCB</v>
      </c>
      <c r="D1163" s="20" t="s">
        <v>1207</v>
      </c>
      <c r="E1163" s="22" t="s">
        <v>819</v>
      </c>
      <c r="F1163" s="22" t="s">
        <v>81</v>
      </c>
      <c r="G1163" s="22" t="s">
        <v>1528</v>
      </c>
      <c r="H1163" s="24" t="s">
        <v>59</v>
      </c>
      <c r="I1163" s="24" t="s">
        <v>59</v>
      </c>
      <c r="J1163" s="24" t="s">
        <v>60</v>
      </c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">
        <v>35.0</v>
      </c>
      <c r="B1164" s="35" t="str">
        <f t="array" ref="B1164">INDEX('Báo cáo 75 trang đích'!$B$2:$B$76,$A1164)</f>
        <v>https://techcombank.com/thong-tin/blog/cach-thanh-toan-the-tin-dung</v>
      </c>
      <c r="C1164" s="5" t="str">
        <f t="array" ref="C1164">INDEX('Báo cáo 75 trang đích'!$C$2:$C$76,$A1164)</f>
        <v>CCB</v>
      </c>
      <c r="D1164" s="20" t="s">
        <v>709</v>
      </c>
      <c r="E1164" s="22" t="s">
        <v>243</v>
      </c>
      <c r="F1164" s="22" t="s">
        <v>81</v>
      </c>
      <c r="G1164" s="22" t="s">
        <v>1449</v>
      </c>
      <c r="H1164" s="24" t="s">
        <v>59</v>
      </c>
      <c r="I1164" s="24" t="s">
        <v>59</v>
      </c>
      <c r="J1164" s="24" t="s">
        <v>60</v>
      </c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">
        <v>35.0</v>
      </c>
      <c r="B1165" s="35" t="str">
        <f t="array" ref="B1165">INDEX('Báo cáo 75 trang đích'!$B$2:$B$76,$A1165)</f>
        <v>https://techcombank.com/thong-tin/blog/cach-thanh-toan-the-tin-dung</v>
      </c>
      <c r="C1165" s="5" t="str">
        <f t="array" ref="C1165">INDEX('Báo cáo 75 trang đích'!$C$2:$C$76,$A1165)</f>
        <v>CCB</v>
      </c>
      <c r="D1165" s="20" t="s">
        <v>760</v>
      </c>
      <c r="E1165" s="22" t="s">
        <v>816</v>
      </c>
      <c r="F1165" s="22" t="s">
        <v>81</v>
      </c>
      <c r="G1165" s="22" t="s">
        <v>1449</v>
      </c>
      <c r="H1165" s="24" t="s">
        <v>59</v>
      </c>
      <c r="I1165" s="24" t="s">
        <v>59</v>
      </c>
      <c r="J1165" s="24" t="s">
        <v>60</v>
      </c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">
        <v>35.0</v>
      </c>
      <c r="B1166" s="35" t="str">
        <f t="array" ref="B1166">INDEX('Báo cáo 75 trang đích'!$B$2:$B$76,$A1166)</f>
        <v>https://techcombank.com/thong-tin/blog/cach-thanh-toan-the-tin-dung</v>
      </c>
      <c r="C1166" s="5" t="str">
        <f t="array" ref="C1166">INDEX('Báo cáo 75 trang đích'!$C$2:$C$76,$A1166)</f>
        <v>CCB</v>
      </c>
      <c r="D1166" s="20" t="s">
        <v>1474</v>
      </c>
      <c r="E1166" s="22" t="s">
        <v>819</v>
      </c>
      <c r="F1166" s="22" t="s">
        <v>81</v>
      </c>
      <c r="G1166" s="22" t="s">
        <v>1449</v>
      </c>
      <c r="H1166" s="24" t="s">
        <v>59</v>
      </c>
      <c r="I1166" s="24" t="s">
        <v>59</v>
      </c>
      <c r="J1166" s="24" t="s">
        <v>60</v>
      </c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">
        <v>35.0</v>
      </c>
      <c r="B1167" s="35" t="str">
        <f t="array" ref="B1167">INDEX('Báo cáo 75 trang đích'!$B$2:$B$76,$A1167)</f>
        <v>https://techcombank.com/thong-tin/blog/cach-thanh-toan-the-tin-dung</v>
      </c>
      <c r="C1167" s="5" t="str">
        <f t="array" ref="C1167">INDEX('Báo cáo 75 trang đích'!$C$2:$C$76,$A1167)</f>
        <v>CCB</v>
      </c>
      <c r="D1167" s="20" t="s">
        <v>151</v>
      </c>
      <c r="E1167" s="22" t="s">
        <v>243</v>
      </c>
      <c r="F1167" s="22" t="s">
        <v>81</v>
      </c>
      <c r="G1167" s="22" t="s">
        <v>1282</v>
      </c>
      <c r="H1167" s="24" t="s">
        <v>59</v>
      </c>
      <c r="I1167" s="24" t="s">
        <v>59</v>
      </c>
      <c r="J1167" s="24" t="s">
        <v>60</v>
      </c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">
        <v>35.0</v>
      </c>
      <c r="B1168" s="35" t="str">
        <f t="array" ref="B1168">INDEX('Báo cáo 75 trang đích'!$B$2:$B$76,$A1168)</f>
        <v>https://techcombank.com/thong-tin/blog/cach-thanh-toan-the-tin-dung</v>
      </c>
      <c r="C1168" s="5" t="str">
        <f t="array" ref="C1168">INDEX('Báo cáo 75 trang đích'!$C$2:$C$76,$A1168)</f>
        <v>CCB</v>
      </c>
      <c r="D1168" s="20" t="s">
        <v>1290</v>
      </c>
      <c r="E1168" s="22" t="s">
        <v>816</v>
      </c>
      <c r="F1168" s="22" t="s">
        <v>81</v>
      </c>
      <c r="G1168" s="22" t="s">
        <v>1449</v>
      </c>
      <c r="H1168" s="24" t="s">
        <v>59</v>
      </c>
      <c r="I1168" s="24" t="s">
        <v>59</v>
      </c>
      <c r="J1168" s="24" t="s">
        <v>60</v>
      </c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">
        <v>35.0</v>
      </c>
      <c r="B1169" s="35" t="str">
        <f t="array" ref="B1169">INDEX('Báo cáo 75 trang đích'!$B$2:$B$76,$A1169)</f>
        <v>https://techcombank.com/thong-tin/blog/cach-thanh-toan-the-tin-dung</v>
      </c>
      <c r="C1169" s="5" t="str">
        <f t="array" ref="C1169">INDEX('Báo cáo 75 trang đích'!$C$2:$C$76,$A1169)</f>
        <v>CCB</v>
      </c>
      <c r="D1169" s="20" t="s">
        <v>194</v>
      </c>
      <c r="E1169" s="22" t="s">
        <v>819</v>
      </c>
      <c r="F1169" s="22" t="s">
        <v>81</v>
      </c>
      <c r="G1169" s="22" t="s">
        <v>1449</v>
      </c>
      <c r="H1169" s="24" t="s">
        <v>59</v>
      </c>
      <c r="I1169" s="24" t="s">
        <v>59</v>
      </c>
      <c r="J1169" s="24" t="s">
        <v>60</v>
      </c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">
        <v>35.0</v>
      </c>
      <c r="B1170" s="35" t="str">
        <f t="array" ref="B1170">INDEX('Báo cáo 75 trang đích'!$B$2:$B$76,$A1170)</f>
        <v>https://techcombank.com/thong-tin/blog/cach-thanh-toan-the-tin-dung</v>
      </c>
      <c r="C1170" s="5" t="str">
        <f t="array" ref="C1170">INDEX('Báo cáo 75 trang đích'!$C$2:$C$76,$A1170)</f>
        <v>CCB</v>
      </c>
      <c r="D1170" s="20" t="s">
        <v>1475</v>
      </c>
      <c r="E1170" s="22" t="s">
        <v>243</v>
      </c>
      <c r="F1170" s="22" t="s">
        <v>81</v>
      </c>
      <c r="G1170" s="22" t="s">
        <v>1449</v>
      </c>
      <c r="H1170" s="24" t="s">
        <v>59</v>
      </c>
      <c r="I1170" s="24" t="s">
        <v>59</v>
      </c>
      <c r="J1170" s="24" t="s">
        <v>60</v>
      </c>
      <c r="K1170" s="22" t="s">
        <v>97</v>
      </c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">
        <v>35.0</v>
      </c>
      <c r="B1171" s="35" t="str">
        <f t="array" ref="B1171">INDEX('Báo cáo 75 trang đích'!$B$2:$B$76,$A1171)</f>
        <v>https://techcombank.com/thong-tin/blog/cach-thanh-toan-the-tin-dung</v>
      </c>
      <c r="C1171" s="5" t="str">
        <f t="array" ref="C1171">INDEX('Báo cáo 75 trang đích'!$C$2:$C$76,$A1171)</f>
        <v>CCB</v>
      </c>
      <c r="D1171" s="20" t="s">
        <v>734</v>
      </c>
      <c r="E1171" s="22" t="s">
        <v>816</v>
      </c>
      <c r="F1171" s="22" t="s">
        <v>81</v>
      </c>
      <c r="G1171" s="22" t="s">
        <v>1449</v>
      </c>
      <c r="H1171" s="24" t="s">
        <v>59</v>
      </c>
      <c r="I1171" s="24" t="s">
        <v>59</v>
      </c>
      <c r="J1171" s="24" t="s">
        <v>60</v>
      </c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">
        <v>35.0</v>
      </c>
      <c r="B1172" s="35" t="str">
        <f t="array" ref="B1172">INDEX('Báo cáo 75 trang đích'!$B$2:$B$76,$A1172)</f>
        <v>https://techcombank.com/thong-tin/blog/cach-thanh-toan-the-tin-dung</v>
      </c>
      <c r="C1172" s="5" t="str">
        <f t="array" ref="C1172">INDEX('Báo cáo 75 trang đích'!$C$2:$C$76,$A1172)</f>
        <v>CCB</v>
      </c>
      <c r="D1172" s="20" t="s">
        <v>728</v>
      </c>
      <c r="E1172" s="22" t="s">
        <v>819</v>
      </c>
      <c r="F1172" s="22" t="s">
        <v>81</v>
      </c>
      <c r="G1172" s="22" t="s">
        <v>1526</v>
      </c>
      <c r="H1172" s="24" t="s">
        <v>59</v>
      </c>
      <c r="I1172" s="24" t="s">
        <v>59</v>
      </c>
      <c r="J1172" s="24" t="s">
        <v>60</v>
      </c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">
        <v>35.0</v>
      </c>
      <c r="B1173" s="35" t="str">
        <f t="array" ref="B1173">INDEX('Báo cáo 75 trang đích'!$B$2:$B$76,$A1173)</f>
        <v>https://techcombank.com/thong-tin/blog/cach-thanh-toan-the-tin-dung</v>
      </c>
      <c r="C1173" s="5" t="str">
        <f t="array" ref="C1173">INDEX('Báo cáo 75 trang đích'!$C$2:$C$76,$A1173)</f>
        <v>CCB</v>
      </c>
      <c r="D1173" s="20" t="s">
        <v>720</v>
      </c>
      <c r="E1173" s="22" t="s">
        <v>243</v>
      </c>
      <c r="F1173" s="22" t="s">
        <v>81</v>
      </c>
      <c r="G1173" s="22" t="s">
        <v>1449</v>
      </c>
      <c r="H1173" s="24" t="s">
        <v>59</v>
      </c>
      <c r="I1173" s="24" t="s">
        <v>59</v>
      </c>
      <c r="J1173" s="24" t="s">
        <v>60</v>
      </c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">
        <v>35.0</v>
      </c>
      <c r="B1174" s="35" t="str">
        <f t="array" ref="B1174">INDEX('Báo cáo 75 trang đích'!$B$2:$B$76,$A1174)</f>
        <v>https://techcombank.com/thong-tin/blog/cach-thanh-toan-the-tin-dung</v>
      </c>
      <c r="C1174" s="5" t="str">
        <f t="array" ref="C1174">INDEX('Báo cáo 75 trang đích'!$C$2:$C$76,$A1174)</f>
        <v>CCB</v>
      </c>
      <c r="D1174" s="20" t="s">
        <v>1476</v>
      </c>
      <c r="E1174" s="22" t="s">
        <v>816</v>
      </c>
      <c r="F1174" s="22" t="s">
        <v>81</v>
      </c>
      <c r="G1174" s="22" t="s">
        <v>1449</v>
      </c>
      <c r="H1174" s="24" t="s">
        <v>59</v>
      </c>
      <c r="I1174" s="24" t="s">
        <v>59</v>
      </c>
      <c r="J1174" s="24" t="s">
        <v>60</v>
      </c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">
        <v>35.0</v>
      </c>
      <c r="B1175" s="35" t="str">
        <f t="array" ref="B1175">INDEX('Báo cáo 75 trang đích'!$B$2:$B$76,$A1175)</f>
        <v>https://techcombank.com/thong-tin/blog/cach-thanh-toan-the-tin-dung</v>
      </c>
      <c r="C1175" s="5" t="str">
        <f t="array" ref="C1175">INDEX('Báo cáo 75 trang đích'!$C$2:$C$76,$A1175)</f>
        <v>CCB</v>
      </c>
      <c r="D1175" s="20" t="s">
        <v>793</v>
      </c>
      <c r="E1175" s="22" t="s">
        <v>819</v>
      </c>
      <c r="F1175" s="22" t="s">
        <v>81</v>
      </c>
      <c r="G1175" s="22" t="s">
        <v>1449</v>
      </c>
      <c r="H1175" s="24" t="s">
        <v>59</v>
      </c>
      <c r="I1175" s="24" t="s">
        <v>59</v>
      </c>
      <c r="J1175" s="24" t="s">
        <v>60</v>
      </c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">
        <v>35.0</v>
      </c>
      <c r="B1176" s="35" t="str">
        <f t="array" ref="B1176">INDEX('Báo cáo 75 trang đích'!$B$2:$B$76,$A1176)</f>
        <v>https://techcombank.com/thong-tin/blog/cach-thanh-toan-the-tin-dung</v>
      </c>
      <c r="C1176" s="5" t="str">
        <f t="array" ref="C1176">INDEX('Báo cáo 75 trang đích'!$C$2:$C$76,$A1176)</f>
        <v>CCB</v>
      </c>
      <c r="D1176" s="20" t="s">
        <v>1477</v>
      </c>
      <c r="E1176" s="22" t="s">
        <v>243</v>
      </c>
      <c r="F1176" s="22" t="s">
        <v>81</v>
      </c>
      <c r="G1176" s="22" t="s">
        <v>1449</v>
      </c>
      <c r="H1176" s="24" t="s">
        <v>59</v>
      </c>
      <c r="I1176" s="24" t="s">
        <v>59</v>
      </c>
      <c r="J1176" s="24" t="s">
        <v>60</v>
      </c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">
        <v>35.0</v>
      </c>
      <c r="B1177" s="35" t="str">
        <f t="array" ref="B1177">INDEX('Báo cáo 75 trang đích'!$B$2:$B$76,$A1177)</f>
        <v>https://techcombank.com/thong-tin/blog/cach-thanh-toan-the-tin-dung</v>
      </c>
      <c r="C1177" s="5" t="str">
        <f t="array" ref="C1177">INDEX('Báo cáo 75 trang đích'!$C$2:$C$76,$A1177)</f>
        <v>CCB</v>
      </c>
      <c r="D1177" s="20" t="s">
        <v>1293</v>
      </c>
      <c r="E1177" s="22" t="s">
        <v>816</v>
      </c>
      <c r="F1177" s="22" t="s">
        <v>81</v>
      </c>
      <c r="G1177" s="22" t="s">
        <v>1449</v>
      </c>
      <c r="H1177" s="24" t="s">
        <v>59</v>
      </c>
      <c r="I1177" s="24" t="s">
        <v>59</v>
      </c>
      <c r="J1177" s="24" t="s">
        <v>60</v>
      </c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">
        <v>35.0</v>
      </c>
      <c r="B1178" s="35" t="str">
        <f t="array" ref="B1178">INDEX('Báo cáo 75 trang đích'!$B$2:$B$76,$A1178)</f>
        <v>https://techcombank.com/thong-tin/blog/cach-thanh-toan-the-tin-dung</v>
      </c>
      <c r="C1178" s="5" t="str">
        <f t="array" ref="C1178">INDEX('Báo cáo 75 trang đích'!$C$2:$C$76,$A1178)</f>
        <v>CCB</v>
      </c>
      <c r="D1178" s="20" t="s">
        <v>204</v>
      </c>
      <c r="E1178" s="22" t="s">
        <v>819</v>
      </c>
      <c r="F1178" s="22" t="s">
        <v>81</v>
      </c>
      <c r="G1178" s="22" t="s">
        <v>1449</v>
      </c>
      <c r="H1178" s="24" t="s">
        <v>59</v>
      </c>
      <c r="I1178" s="24" t="s">
        <v>59</v>
      </c>
      <c r="J1178" s="24" t="s">
        <v>60</v>
      </c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">
        <v>35.0</v>
      </c>
      <c r="B1179" s="35" t="str">
        <f t="array" ref="B1179">INDEX('Báo cáo 75 trang đích'!$B$2:$B$76,$A1179)</f>
        <v>https://techcombank.com/thong-tin/blog/cach-thanh-toan-the-tin-dung</v>
      </c>
      <c r="C1179" s="5" t="str">
        <f t="array" ref="C1179">INDEX('Báo cáo 75 trang đích'!$C$2:$C$76,$A1179)</f>
        <v>CCB</v>
      </c>
      <c r="D1179" s="20" t="s">
        <v>1478</v>
      </c>
      <c r="E1179" s="22" t="s">
        <v>243</v>
      </c>
      <c r="F1179" s="22" t="s">
        <v>81</v>
      </c>
      <c r="G1179" s="22" t="s">
        <v>1449</v>
      </c>
      <c r="H1179" s="24" t="s">
        <v>59</v>
      </c>
      <c r="I1179" s="24" t="s">
        <v>59</v>
      </c>
      <c r="J1179" s="24" t="s">
        <v>60</v>
      </c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">
        <v>35.0</v>
      </c>
      <c r="B1180" s="35" t="str">
        <f t="array" ref="B1180">INDEX('Báo cáo 75 trang đích'!$B$2:$B$76,$A1180)</f>
        <v>https://techcombank.com/thong-tin/blog/cach-thanh-toan-the-tin-dung</v>
      </c>
      <c r="C1180" s="5" t="str">
        <f t="array" ref="C1180">INDEX('Báo cáo 75 trang đích'!$C$2:$C$76,$A1180)</f>
        <v>CCB</v>
      </c>
      <c r="D1180" s="20" t="s">
        <v>495</v>
      </c>
      <c r="E1180" s="22" t="s">
        <v>816</v>
      </c>
      <c r="F1180" s="22" t="s">
        <v>81</v>
      </c>
      <c r="G1180" s="22" t="s">
        <v>1449</v>
      </c>
      <c r="H1180" s="24" t="s">
        <v>59</v>
      </c>
      <c r="I1180" s="24" t="s">
        <v>59</v>
      </c>
      <c r="J1180" s="24" t="s">
        <v>60</v>
      </c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">
        <v>36.0</v>
      </c>
      <c r="B1181" s="35" t="str">
        <f t="array" ref="B1181">INDEX('Báo cáo 75 trang đích'!$B$2:$B$76,$A1181)</f>
        <v>https://techcombank.com/thong-tin/blog/chung-chi-tien-gui-la-gi</v>
      </c>
      <c r="C1181" s="5" t="str">
        <f t="array" ref="C1181">INDEX('Báo cáo 75 trang đích'!$C$2:$C$76,$A1181)</f>
        <v>CD</v>
      </c>
      <c r="D1181" s="20" t="s">
        <v>824</v>
      </c>
      <c r="E1181" s="22" t="s">
        <v>249</v>
      </c>
      <c r="F1181" s="22" t="s">
        <v>57</v>
      </c>
      <c r="G1181" s="22" t="s">
        <v>1529</v>
      </c>
      <c r="H1181" s="24" t="s">
        <v>59</v>
      </c>
      <c r="I1181" s="24" t="s">
        <v>59</v>
      </c>
      <c r="J1181" s="24" t="s">
        <v>60</v>
      </c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">
        <v>36.0</v>
      </c>
      <c r="B1182" s="35" t="str">
        <f t="array" ref="B1182">INDEX('Báo cáo 75 trang đích'!$B$2:$B$76,$A1182)</f>
        <v>https://techcombank.com/thong-tin/blog/chung-chi-tien-gui-la-gi</v>
      </c>
      <c r="C1182" s="5" t="str">
        <f t="array" ref="C1182">INDEX('Báo cáo 75 trang đích'!$C$2:$C$76,$A1182)</f>
        <v>CD</v>
      </c>
      <c r="D1182" s="20" t="s">
        <v>827</v>
      </c>
      <c r="E1182" s="22" t="s">
        <v>830</v>
      </c>
      <c r="F1182" s="22" t="s">
        <v>57</v>
      </c>
      <c r="G1182" s="22" t="s">
        <v>1530</v>
      </c>
      <c r="H1182" s="24" t="s">
        <v>59</v>
      </c>
      <c r="I1182" s="24" t="s">
        <v>59</v>
      </c>
      <c r="J1182" s="24" t="s">
        <v>60</v>
      </c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">
        <v>36.0</v>
      </c>
      <c r="B1183" s="35" t="str">
        <f t="array" ref="B1183">INDEX('Báo cáo 75 trang đích'!$B$2:$B$76,$A1183)</f>
        <v>https://techcombank.com/thong-tin/blog/chung-chi-tien-gui-la-gi</v>
      </c>
      <c r="C1183" s="5" t="str">
        <f t="array" ref="C1183">INDEX('Báo cáo 75 trang đích'!$C$2:$C$76,$A1183)</f>
        <v>CD</v>
      </c>
      <c r="D1183" s="20" t="s">
        <v>831</v>
      </c>
      <c r="E1183" s="22" t="s">
        <v>249</v>
      </c>
      <c r="F1183" s="22" t="s">
        <v>57</v>
      </c>
      <c r="G1183" s="22" t="s">
        <v>1531</v>
      </c>
      <c r="H1183" s="24" t="s">
        <v>59</v>
      </c>
      <c r="I1183" s="24" t="s">
        <v>59</v>
      </c>
      <c r="J1183" s="24" t="s">
        <v>60</v>
      </c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">
        <v>36.0</v>
      </c>
      <c r="B1184" s="35" t="str">
        <f t="array" ref="B1184">INDEX('Báo cáo 75 trang đích'!$B$2:$B$76,$A1184)</f>
        <v>https://techcombank.com/thong-tin/blog/chung-chi-tien-gui-la-gi</v>
      </c>
      <c r="C1184" s="5" t="str">
        <f t="array" ref="C1184">INDEX('Báo cáo 75 trang đích'!$C$2:$C$76,$A1184)</f>
        <v>CD</v>
      </c>
      <c r="D1184" s="20" t="s">
        <v>834</v>
      </c>
      <c r="E1184" s="22" t="s">
        <v>830</v>
      </c>
      <c r="F1184" s="22" t="s">
        <v>57</v>
      </c>
      <c r="G1184" s="22" t="s">
        <v>1532</v>
      </c>
      <c r="H1184" s="24" t="s">
        <v>59</v>
      </c>
      <c r="I1184" s="24" t="s">
        <v>59</v>
      </c>
      <c r="J1184" s="24" t="s">
        <v>60</v>
      </c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">
        <v>36.0</v>
      </c>
      <c r="B1185" s="35" t="str">
        <f t="array" ref="B1185">INDEX('Báo cáo 75 trang đích'!$B$2:$B$76,$A1185)</f>
        <v>https://techcombank.com/thong-tin/blog/chung-chi-tien-gui-la-gi</v>
      </c>
      <c r="C1185" s="5" t="str">
        <f t="array" ref="C1185">INDEX('Báo cáo 75 trang đích'!$C$2:$C$76,$A1185)</f>
        <v>CD</v>
      </c>
      <c r="D1185" s="20" t="s">
        <v>836</v>
      </c>
      <c r="E1185" s="22" t="s">
        <v>249</v>
      </c>
      <c r="F1185" s="22" t="s">
        <v>76</v>
      </c>
      <c r="G1185" s="22" t="s">
        <v>1533</v>
      </c>
      <c r="H1185" s="24" t="s">
        <v>59</v>
      </c>
      <c r="I1185" s="24" t="s">
        <v>59</v>
      </c>
      <c r="J1185" s="24" t="s">
        <v>60</v>
      </c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">
        <v>36.0</v>
      </c>
      <c r="B1186" s="35" t="str">
        <f t="array" ref="B1186">INDEX('Báo cáo 75 trang đích'!$B$2:$B$76,$A1186)</f>
        <v>https://techcombank.com/thong-tin/blog/chung-chi-tien-gui-la-gi</v>
      </c>
      <c r="C1186" s="5" t="str">
        <f t="array" ref="C1186">INDEX('Báo cáo 75 trang đích'!$C$2:$C$76,$A1186)</f>
        <v>CD</v>
      </c>
      <c r="D1186" s="20" t="s">
        <v>1534</v>
      </c>
      <c r="E1186" s="22" t="s">
        <v>830</v>
      </c>
      <c r="F1186" s="22" t="s">
        <v>81</v>
      </c>
      <c r="G1186" s="22" t="s">
        <v>1535</v>
      </c>
      <c r="H1186" s="24" t="s">
        <v>59</v>
      </c>
      <c r="I1186" s="24" t="s">
        <v>59</v>
      </c>
      <c r="J1186" s="24" t="s">
        <v>60</v>
      </c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">
        <v>36.0</v>
      </c>
      <c r="B1187" s="35" t="str">
        <f t="array" ref="B1187">INDEX('Báo cáo 75 trang đích'!$B$2:$B$76,$A1187)</f>
        <v>https://techcombank.com/thong-tin/blog/chung-chi-tien-gui-la-gi</v>
      </c>
      <c r="C1187" s="5" t="str">
        <f t="array" ref="C1187">INDEX('Báo cáo 75 trang đích'!$C$2:$C$76,$A1187)</f>
        <v>CD</v>
      </c>
      <c r="D1187" s="20" t="s">
        <v>1135</v>
      </c>
      <c r="E1187" s="22" t="s">
        <v>249</v>
      </c>
      <c r="F1187" s="22" t="s">
        <v>81</v>
      </c>
      <c r="G1187" s="22" t="s">
        <v>1536</v>
      </c>
      <c r="H1187" s="24" t="s">
        <v>59</v>
      </c>
      <c r="I1187" s="24" t="s">
        <v>59</v>
      </c>
      <c r="J1187" s="24" t="s">
        <v>60</v>
      </c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">
        <v>36.0</v>
      </c>
      <c r="B1188" s="35" t="str">
        <f t="array" ref="B1188">INDEX('Báo cáo 75 trang đích'!$B$2:$B$76,$A1188)</f>
        <v>https://techcombank.com/thong-tin/blog/chung-chi-tien-gui-la-gi</v>
      </c>
      <c r="C1188" s="5" t="str">
        <f t="array" ref="C1188">INDEX('Báo cáo 75 trang đích'!$C$2:$C$76,$A1188)</f>
        <v>CD</v>
      </c>
      <c r="D1188" s="20" t="s">
        <v>1537</v>
      </c>
      <c r="E1188" s="22" t="s">
        <v>830</v>
      </c>
      <c r="F1188" s="22" t="s">
        <v>81</v>
      </c>
      <c r="G1188" s="22" t="s">
        <v>1536</v>
      </c>
      <c r="H1188" s="24" t="s">
        <v>59</v>
      </c>
      <c r="I1188" s="24" t="s">
        <v>59</v>
      </c>
      <c r="J1188" s="24" t="s">
        <v>60</v>
      </c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">
        <v>36.0</v>
      </c>
      <c r="B1189" s="35" t="str">
        <f t="array" ref="B1189">INDEX('Báo cáo 75 trang đích'!$B$2:$B$76,$A1189)</f>
        <v>https://techcombank.com/thong-tin/blog/chung-chi-tien-gui-la-gi</v>
      </c>
      <c r="C1189" s="5" t="str">
        <f t="array" ref="C1189">INDEX('Báo cáo 75 trang đích'!$C$2:$C$76,$A1189)</f>
        <v>CD</v>
      </c>
      <c r="D1189" s="20" t="s">
        <v>1538</v>
      </c>
      <c r="E1189" s="22" t="s">
        <v>249</v>
      </c>
      <c r="F1189" s="22" t="s">
        <v>81</v>
      </c>
      <c r="G1189" s="22" t="s">
        <v>1536</v>
      </c>
      <c r="H1189" s="24" t="s">
        <v>59</v>
      </c>
      <c r="I1189" s="24" t="s">
        <v>59</v>
      </c>
      <c r="J1189" s="24" t="s">
        <v>60</v>
      </c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">
        <v>36.0</v>
      </c>
      <c r="B1190" s="35" t="str">
        <f t="array" ref="B1190">INDEX('Báo cáo 75 trang đích'!$B$2:$B$76,$A1190)</f>
        <v>https://techcombank.com/thong-tin/blog/chung-chi-tien-gui-la-gi</v>
      </c>
      <c r="C1190" s="5" t="str">
        <f t="array" ref="C1190">INDEX('Báo cáo 75 trang đích'!$C$2:$C$76,$A1190)</f>
        <v>CD</v>
      </c>
      <c r="D1190" s="20" t="s">
        <v>1539</v>
      </c>
      <c r="E1190" s="22" t="s">
        <v>830</v>
      </c>
      <c r="F1190" s="22" t="s">
        <v>81</v>
      </c>
      <c r="G1190" s="22" t="s">
        <v>1536</v>
      </c>
      <c r="H1190" s="24" t="s">
        <v>59</v>
      </c>
      <c r="I1190" s="24" t="s">
        <v>59</v>
      </c>
      <c r="J1190" s="24" t="s">
        <v>60</v>
      </c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">
        <v>36.0</v>
      </c>
      <c r="B1191" s="35" t="str">
        <f t="array" ref="B1191">INDEX('Báo cáo 75 trang đích'!$B$2:$B$76,$A1191)</f>
        <v>https://techcombank.com/thong-tin/blog/chung-chi-tien-gui-la-gi</v>
      </c>
      <c r="C1191" s="5" t="str">
        <f t="array" ref="C1191">INDEX('Báo cáo 75 trang đích'!$C$2:$C$76,$A1191)</f>
        <v>CD</v>
      </c>
      <c r="D1191" s="20" t="s">
        <v>1085</v>
      </c>
      <c r="E1191" s="22" t="s">
        <v>249</v>
      </c>
      <c r="F1191" s="22" t="s">
        <v>81</v>
      </c>
      <c r="G1191" s="22" t="s">
        <v>1536</v>
      </c>
      <c r="H1191" s="24" t="s">
        <v>59</v>
      </c>
      <c r="I1191" s="24" t="s">
        <v>59</v>
      </c>
      <c r="J1191" s="24" t="s">
        <v>60</v>
      </c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">
        <v>36.0</v>
      </c>
      <c r="B1192" s="35" t="str">
        <f t="array" ref="B1192">INDEX('Báo cáo 75 trang đích'!$B$2:$B$76,$A1192)</f>
        <v>https://techcombank.com/thong-tin/blog/chung-chi-tien-gui-la-gi</v>
      </c>
      <c r="C1192" s="5" t="str">
        <f t="array" ref="C1192">INDEX('Báo cáo 75 trang đích'!$C$2:$C$76,$A1192)</f>
        <v>CD</v>
      </c>
      <c r="D1192" s="20" t="s">
        <v>1540</v>
      </c>
      <c r="E1192" s="22" t="s">
        <v>830</v>
      </c>
      <c r="F1192" s="22" t="s">
        <v>81</v>
      </c>
      <c r="G1192" s="22" t="s">
        <v>1541</v>
      </c>
      <c r="H1192" s="24" t="s">
        <v>59</v>
      </c>
      <c r="I1192" s="24" t="s">
        <v>59</v>
      </c>
      <c r="J1192" s="24" t="s">
        <v>60</v>
      </c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">
        <v>36.0</v>
      </c>
      <c r="B1193" s="35" t="str">
        <f t="array" ref="B1193">INDEX('Báo cáo 75 trang đích'!$B$2:$B$76,$A1193)</f>
        <v>https://techcombank.com/thong-tin/blog/chung-chi-tien-gui-la-gi</v>
      </c>
      <c r="C1193" s="5" t="str">
        <f t="array" ref="C1193">INDEX('Báo cáo 75 trang đích'!$C$2:$C$76,$A1193)</f>
        <v>CD</v>
      </c>
      <c r="D1193" s="20" t="s">
        <v>1185</v>
      </c>
      <c r="E1193" s="22" t="s">
        <v>249</v>
      </c>
      <c r="F1193" s="22" t="s">
        <v>81</v>
      </c>
      <c r="G1193" s="22" t="s">
        <v>1536</v>
      </c>
      <c r="H1193" s="24" t="s">
        <v>59</v>
      </c>
      <c r="I1193" s="24" t="s">
        <v>59</v>
      </c>
      <c r="J1193" s="24" t="s">
        <v>60</v>
      </c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">
        <v>36.0</v>
      </c>
      <c r="B1194" s="35" t="str">
        <f t="array" ref="B1194">INDEX('Báo cáo 75 trang đích'!$B$2:$B$76,$A1194)</f>
        <v>https://techcombank.com/thong-tin/blog/chung-chi-tien-gui-la-gi</v>
      </c>
      <c r="C1194" s="5" t="str">
        <f t="array" ref="C1194">INDEX('Báo cáo 75 trang đích'!$C$2:$C$76,$A1194)</f>
        <v>CD</v>
      </c>
      <c r="D1194" s="20" t="s">
        <v>1542</v>
      </c>
      <c r="E1194" s="22" t="s">
        <v>830</v>
      </c>
      <c r="F1194" s="22" t="s">
        <v>81</v>
      </c>
      <c r="G1194" s="22" t="s">
        <v>1535</v>
      </c>
      <c r="H1194" s="24" t="s">
        <v>59</v>
      </c>
      <c r="I1194" s="24" t="s">
        <v>59</v>
      </c>
      <c r="J1194" s="24" t="s">
        <v>60</v>
      </c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">
        <v>36.0</v>
      </c>
      <c r="B1195" s="35" t="str">
        <f t="array" ref="B1195">INDEX('Báo cáo 75 trang đích'!$B$2:$B$76,$A1195)</f>
        <v>https://techcombank.com/thong-tin/blog/chung-chi-tien-gui-la-gi</v>
      </c>
      <c r="C1195" s="5" t="str">
        <f t="array" ref="C1195">INDEX('Báo cáo 75 trang đích'!$C$2:$C$76,$A1195)</f>
        <v>CD</v>
      </c>
      <c r="D1195" s="20" t="s">
        <v>1089</v>
      </c>
      <c r="E1195" s="22" t="s">
        <v>249</v>
      </c>
      <c r="F1195" s="22" t="s">
        <v>81</v>
      </c>
      <c r="G1195" s="22" t="s">
        <v>1536</v>
      </c>
      <c r="H1195" s="24" t="s">
        <v>59</v>
      </c>
      <c r="I1195" s="24" t="s">
        <v>59</v>
      </c>
      <c r="J1195" s="24" t="s">
        <v>60</v>
      </c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">
        <v>36.0</v>
      </c>
      <c r="B1196" s="35" t="str">
        <f t="array" ref="B1196">INDEX('Báo cáo 75 trang đích'!$B$2:$B$76,$A1196)</f>
        <v>https://techcombank.com/thong-tin/blog/chung-chi-tien-gui-la-gi</v>
      </c>
      <c r="C1196" s="5" t="str">
        <f t="array" ref="C1196">INDEX('Báo cáo 75 trang đích'!$C$2:$C$76,$A1196)</f>
        <v>CD</v>
      </c>
      <c r="D1196" s="20" t="s">
        <v>212</v>
      </c>
      <c r="E1196" s="22" t="s">
        <v>830</v>
      </c>
      <c r="F1196" s="22" t="s">
        <v>81</v>
      </c>
      <c r="G1196" s="22" t="s">
        <v>1536</v>
      </c>
      <c r="H1196" s="24" t="s">
        <v>59</v>
      </c>
      <c r="I1196" s="24" t="s">
        <v>59</v>
      </c>
      <c r="J1196" s="24" t="s">
        <v>60</v>
      </c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">
        <v>36.0</v>
      </c>
      <c r="B1197" s="35" t="str">
        <f t="array" ref="B1197">INDEX('Báo cáo 75 trang đích'!$B$2:$B$76,$A1197)</f>
        <v>https://techcombank.com/thong-tin/blog/chung-chi-tien-gui-la-gi</v>
      </c>
      <c r="C1197" s="5" t="str">
        <f t="array" ref="C1197">INDEX('Báo cáo 75 trang đích'!$C$2:$C$76,$A1197)</f>
        <v>CD</v>
      </c>
      <c r="D1197" s="20" t="s">
        <v>1543</v>
      </c>
      <c r="E1197" s="22" t="s">
        <v>249</v>
      </c>
      <c r="F1197" s="22" t="s">
        <v>81</v>
      </c>
      <c r="G1197" s="22" t="s">
        <v>1544</v>
      </c>
      <c r="H1197" s="24" t="s">
        <v>59</v>
      </c>
      <c r="I1197" s="24" t="s">
        <v>59</v>
      </c>
      <c r="J1197" s="24" t="s">
        <v>60</v>
      </c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">
        <v>36.0</v>
      </c>
      <c r="B1198" s="35" t="str">
        <f t="array" ref="B1198">INDEX('Báo cáo 75 trang đích'!$B$2:$B$76,$A1198)</f>
        <v>https://techcombank.com/thong-tin/blog/chung-chi-tien-gui-la-gi</v>
      </c>
      <c r="C1198" s="5" t="str">
        <f t="array" ref="C1198">INDEX('Báo cáo 75 trang đích'!$C$2:$C$76,$A1198)</f>
        <v>CD</v>
      </c>
      <c r="D1198" s="20" t="s">
        <v>1149</v>
      </c>
      <c r="E1198" s="22" t="s">
        <v>830</v>
      </c>
      <c r="F1198" s="22" t="s">
        <v>81</v>
      </c>
      <c r="G1198" s="22" t="s">
        <v>1536</v>
      </c>
      <c r="H1198" s="24" t="s">
        <v>59</v>
      </c>
      <c r="I1198" s="24" t="s">
        <v>59</v>
      </c>
      <c r="J1198" s="24" t="s">
        <v>60</v>
      </c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">
        <v>36.0</v>
      </c>
      <c r="B1199" s="35" t="str">
        <f t="array" ref="B1199">INDEX('Báo cáo 75 trang đích'!$B$2:$B$76,$A1199)</f>
        <v>https://techcombank.com/thong-tin/blog/chung-chi-tien-gui-la-gi</v>
      </c>
      <c r="C1199" s="5" t="str">
        <f t="array" ref="C1199">INDEX('Báo cáo 75 trang đích'!$C$2:$C$76,$A1199)</f>
        <v>CD</v>
      </c>
      <c r="D1199" s="20" t="s">
        <v>1545</v>
      </c>
      <c r="E1199" s="22" t="s">
        <v>249</v>
      </c>
      <c r="F1199" s="22" t="s">
        <v>81</v>
      </c>
      <c r="G1199" s="22" t="s">
        <v>1546</v>
      </c>
      <c r="H1199" s="24" t="s">
        <v>59</v>
      </c>
      <c r="I1199" s="24" t="s">
        <v>59</v>
      </c>
      <c r="J1199" s="24" t="s">
        <v>60</v>
      </c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">
        <v>36.0</v>
      </c>
      <c r="B1200" s="35" t="str">
        <f t="array" ref="B1200">INDEX('Báo cáo 75 trang đích'!$B$2:$B$76,$A1200)</f>
        <v>https://techcombank.com/thong-tin/blog/chung-chi-tien-gui-la-gi</v>
      </c>
      <c r="C1200" s="5" t="str">
        <f t="array" ref="C1200">INDEX('Báo cáo 75 trang đích'!$C$2:$C$76,$A1200)</f>
        <v>CD</v>
      </c>
      <c r="D1200" s="20" t="s">
        <v>1158</v>
      </c>
      <c r="E1200" s="22" t="s">
        <v>830</v>
      </c>
      <c r="F1200" s="22" t="s">
        <v>81</v>
      </c>
      <c r="G1200" s="22" t="s">
        <v>1536</v>
      </c>
      <c r="H1200" s="24" t="s">
        <v>59</v>
      </c>
      <c r="I1200" s="24" t="s">
        <v>59</v>
      </c>
      <c r="J1200" s="24" t="s">
        <v>60</v>
      </c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">
        <v>36.0</v>
      </c>
      <c r="B1201" s="35" t="str">
        <f t="array" ref="B1201">INDEX('Báo cáo 75 trang đích'!$B$2:$B$76,$A1201)</f>
        <v>https://techcombank.com/thong-tin/blog/chung-chi-tien-gui-la-gi</v>
      </c>
      <c r="C1201" s="5" t="str">
        <f t="array" ref="C1201">INDEX('Báo cáo 75 trang đích'!$C$2:$C$76,$A1201)</f>
        <v>CD</v>
      </c>
      <c r="D1201" s="20" t="s">
        <v>599</v>
      </c>
      <c r="E1201" s="22" t="s">
        <v>249</v>
      </c>
      <c r="F1201" s="22" t="s">
        <v>81</v>
      </c>
      <c r="G1201" s="22" t="s">
        <v>1536</v>
      </c>
      <c r="H1201" s="24" t="s">
        <v>59</v>
      </c>
      <c r="I1201" s="24" t="s">
        <v>59</v>
      </c>
      <c r="J1201" s="24" t="s">
        <v>60</v>
      </c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">
        <v>36.0</v>
      </c>
      <c r="B1202" s="35" t="str">
        <f t="array" ref="B1202">INDEX('Báo cáo 75 trang đích'!$B$2:$B$76,$A1202)</f>
        <v>https://techcombank.com/thong-tin/blog/chung-chi-tien-gui-la-gi</v>
      </c>
      <c r="C1202" s="5" t="str">
        <f t="array" ref="C1202">INDEX('Báo cáo 75 trang đích'!$C$2:$C$76,$A1202)</f>
        <v>CD</v>
      </c>
      <c r="D1202" s="20" t="s">
        <v>1547</v>
      </c>
      <c r="E1202" s="22" t="s">
        <v>830</v>
      </c>
      <c r="F1202" s="22" t="s">
        <v>81</v>
      </c>
      <c r="G1202" s="22" t="s">
        <v>1544</v>
      </c>
      <c r="H1202" s="24" t="s">
        <v>59</v>
      </c>
      <c r="I1202" s="24" t="s">
        <v>59</v>
      </c>
      <c r="J1202" s="24" t="s">
        <v>60</v>
      </c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">
        <v>36.0</v>
      </c>
      <c r="B1203" s="35" t="str">
        <f t="array" ref="B1203">INDEX('Báo cáo 75 trang đích'!$B$2:$B$76,$A1203)</f>
        <v>https://techcombank.com/thong-tin/blog/chung-chi-tien-gui-la-gi</v>
      </c>
      <c r="C1203" s="5" t="str">
        <f t="array" ref="C1203">INDEX('Báo cáo 75 trang đích'!$C$2:$C$76,$A1203)</f>
        <v>CD</v>
      </c>
      <c r="D1203" s="20" t="s">
        <v>1081</v>
      </c>
      <c r="E1203" s="22" t="s">
        <v>249</v>
      </c>
      <c r="F1203" s="22" t="s">
        <v>81</v>
      </c>
      <c r="G1203" s="22" t="s">
        <v>1536</v>
      </c>
      <c r="H1203" s="24" t="s">
        <v>59</v>
      </c>
      <c r="I1203" s="24" t="s">
        <v>59</v>
      </c>
      <c r="J1203" s="24" t="s">
        <v>60</v>
      </c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">
        <v>36.0</v>
      </c>
      <c r="B1204" s="35" t="str">
        <f t="array" ref="B1204">INDEX('Báo cáo 75 trang đích'!$B$2:$B$76,$A1204)</f>
        <v>https://techcombank.com/thong-tin/blog/chung-chi-tien-gui-la-gi</v>
      </c>
      <c r="C1204" s="5" t="str">
        <f t="array" ref="C1204">INDEX('Báo cáo 75 trang đích'!$C$2:$C$76,$A1204)</f>
        <v>CD</v>
      </c>
      <c r="D1204" s="20" t="s">
        <v>1548</v>
      </c>
      <c r="E1204" s="22" t="s">
        <v>830</v>
      </c>
      <c r="F1204" s="22" t="s">
        <v>81</v>
      </c>
      <c r="G1204" s="22" t="s">
        <v>1535</v>
      </c>
      <c r="H1204" s="24" t="s">
        <v>59</v>
      </c>
      <c r="I1204" s="24" t="s">
        <v>59</v>
      </c>
      <c r="J1204" s="24" t="s">
        <v>60</v>
      </c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">
        <v>36.0</v>
      </c>
      <c r="B1205" s="35" t="str">
        <f t="array" ref="B1205">INDEX('Báo cáo 75 trang đích'!$B$2:$B$76,$A1205)</f>
        <v>https://techcombank.com/thong-tin/blog/chung-chi-tien-gui-la-gi</v>
      </c>
      <c r="C1205" s="5" t="str">
        <f t="array" ref="C1205">INDEX('Báo cáo 75 trang đích'!$C$2:$C$76,$A1205)</f>
        <v>CD</v>
      </c>
      <c r="D1205" s="20" t="s">
        <v>216</v>
      </c>
      <c r="E1205" s="22" t="s">
        <v>249</v>
      </c>
      <c r="F1205" s="22" t="s">
        <v>81</v>
      </c>
      <c r="G1205" s="22" t="s">
        <v>1535</v>
      </c>
      <c r="H1205" s="24" t="s">
        <v>59</v>
      </c>
      <c r="I1205" s="24" t="s">
        <v>59</v>
      </c>
      <c r="J1205" s="24" t="s">
        <v>60</v>
      </c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">
        <v>36.0</v>
      </c>
      <c r="B1206" s="35" t="str">
        <f t="array" ref="B1206">INDEX('Báo cáo 75 trang đích'!$B$2:$B$76,$A1206)</f>
        <v>https://techcombank.com/thong-tin/blog/chung-chi-tien-gui-la-gi</v>
      </c>
      <c r="C1206" s="5" t="str">
        <f t="array" ref="C1206">INDEX('Báo cáo 75 trang đích'!$C$2:$C$76,$A1206)</f>
        <v>CD</v>
      </c>
      <c r="D1206" s="20" t="s">
        <v>1181</v>
      </c>
      <c r="E1206" s="22" t="s">
        <v>830</v>
      </c>
      <c r="F1206" s="22" t="s">
        <v>81</v>
      </c>
      <c r="G1206" s="22" t="s">
        <v>1536</v>
      </c>
      <c r="H1206" s="24" t="s">
        <v>59</v>
      </c>
      <c r="I1206" s="24" t="s">
        <v>59</v>
      </c>
      <c r="J1206" s="24" t="s">
        <v>60</v>
      </c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">
        <v>36.0</v>
      </c>
      <c r="B1207" s="35" t="str">
        <f t="array" ref="B1207">INDEX('Báo cáo 75 trang đích'!$B$2:$B$76,$A1207)</f>
        <v>https://techcombank.com/thong-tin/blog/chung-chi-tien-gui-la-gi</v>
      </c>
      <c r="C1207" s="5" t="str">
        <f t="array" ref="C1207">INDEX('Báo cáo 75 trang đích'!$C$2:$C$76,$A1207)</f>
        <v>CD</v>
      </c>
      <c r="D1207" s="20" t="s">
        <v>1102</v>
      </c>
      <c r="E1207" s="22" t="s">
        <v>249</v>
      </c>
      <c r="F1207" s="22" t="s">
        <v>81</v>
      </c>
      <c r="G1207" s="22" t="s">
        <v>1546</v>
      </c>
      <c r="H1207" s="24" t="s">
        <v>59</v>
      </c>
      <c r="I1207" s="24" t="s">
        <v>59</v>
      </c>
      <c r="J1207" s="24" t="s">
        <v>60</v>
      </c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">
        <v>36.0</v>
      </c>
      <c r="B1208" s="35" t="str">
        <f t="array" ref="B1208">INDEX('Báo cáo 75 trang đích'!$B$2:$B$76,$A1208)</f>
        <v>https://techcombank.com/thong-tin/blog/chung-chi-tien-gui-la-gi</v>
      </c>
      <c r="C1208" s="5" t="str">
        <f t="array" ref="C1208">INDEX('Báo cáo 75 trang đích'!$C$2:$C$76,$A1208)</f>
        <v>CD</v>
      </c>
      <c r="D1208" s="20" t="s">
        <v>349</v>
      </c>
      <c r="E1208" s="22" t="s">
        <v>830</v>
      </c>
      <c r="F1208" s="22" t="s">
        <v>81</v>
      </c>
      <c r="G1208" s="22" t="s">
        <v>1536</v>
      </c>
      <c r="H1208" s="24" t="s">
        <v>59</v>
      </c>
      <c r="I1208" s="24" t="s">
        <v>59</v>
      </c>
      <c r="J1208" s="24" t="s">
        <v>60</v>
      </c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">
        <v>36.0</v>
      </c>
      <c r="B1209" s="35" t="str">
        <f t="array" ref="B1209">INDEX('Báo cáo 75 trang đích'!$B$2:$B$76,$A1209)</f>
        <v>https://techcombank.com/thong-tin/blog/chung-chi-tien-gui-la-gi</v>
      </c>
      <c r="C1209" s="5" t="str">
        <f t="array" ref="C1209">INDEX('Báo cáo 75 trang đích'!$C$2:$C$76,$A1209)</f>
        <v>CD</v>
      </c>
      <c r="D1209" s="20" t="s">
        <v>840</v>
      </c>
      <c r="E1209" s="22" t="s">
        <v>249</v>
      </c>
      <c r="F1209" s="22" t="s">
        <v>81</v>
      </c>
      <c r="G1209" s="22" t="s">
        <v>1541</v>
      </c>
      <c r="H1209" s="24" t="s">
        <v>59</v>
      </c>
      <c r="I1209" s="24" t="s">
        <v>59</v>
      </c>
      <c r="J1209" s="24" t="s">
        <v>60</v>
      </c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">
        <v>36.0</v>
      </c>
      <c r="B1210" s="35" t="str">
        <f t="array" ref="B1210">INDEX('Báo cáo 75 trang đích'!$B$2:$B$76,$A1210)</f>
        <v>https://techcombank.com/thong-tin/blog/chung-chi-tien-gui-la-gi</v>
      </c>
      <c r="C1210" s="5" t="str">
        <f t="array" ref="C1210">INDEX('Báo cáo 75 trang đích'!$C$2:$C$76,$A1210)</f>
        <v>CD</v>
      </c>
      <c r="D1210" s="20" t="s">
        <v>331</v>
      </c>
      <c r="E1210" s="22" t="s">
        <v>830</v>
      </c>
      <c r="F1210" s="22" t="s">
        <v>81</v>
      </c>
      <c r="G1210" s="22" t="s">
        <v>1536</v>
      </c>
      <c r="H1210" s="24" t="s">
        <v>59</v>
      </c>
      <c r="I1210" s="24" t="s">
        <v>59</v>
      </c>
      <c r="J1210" s="24" t="s">
        <v>60</v>
      </c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">
        <v>36.0</v>
      </c>
      <c r="B1211" s="35" t="str">
        <f t="array" ref="B1211">INDEX('Báo cáo 75 trang đích'!$B$2:$B$76,$A1211)</f>
        <v>https://techcombank.com/thong-tin/blog/chung-chi-tien-gui-la-gi</v>
      </c>
      <c r="C1211" s="5" t="str">
        <f t="array" ref="C1211">INDEX('Báo cáo 75 trang đích'!$C$2:$C$76,$A1211)</f>
        <v>CD</v>
      </c>
      <c r="D1211" s="20" t="s">
        <v>1549</v>
      </c>
      <c r="E1211" s="22" t="s">
        <v>249</v>
      </c>
      <c r="F1211" s="22" t="s">
        <v>81</v>
      </c>
      <c r="G1211" s="22" t="s">
        <v>1544</v>
      </c>
      <c r="H1211" s="24" t="s">
        <v>59</v>
      </c>
      <c r="I1211" s="24" t="s">
        <v>59</v>
      </c>
      <c r="J1211" s="24" t="s">
        <v>60</v>
      </c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">
        <v>36.0</v>
      </c>
      <c r="B1212" s="35" t="str">
        <f t="array" ref="B1212">INDEX('Báo cáo 75 trang đích'!$B$2:$B$76,$A1212)</f>
        <v>https://techcombank.com/thong-tin/blog/chung-chi-tien-gui-la-gi</v>
      </c>
      <c r="C1212" s="5" t="str">
        <f t="array" ref="C1212">INDEX('Báo cáo 75 trang đích'!$C$2:$C$76,$A1212)</f>
        <v>CD</v>
      </c>
      <c r="D1212" s="20" t="s">
        <v>848</v>
      </c>
      <c r="E1212" s="22" t="s">
        <v>830</v>
      </c>
      <c r="F1212" s="22" t="s">
        <v>81</v>
      </c>
      <c r="G1212" s="22" t="s">
        <v>1541</v>
      </c>
      <c r="H1212" s="24" t="s">
        <v>59</v>
      </c>
      <c r="I1212" s="24" t="s">
        <v>59</v>
      </c>
      <c r="J1212" s="24" t="s">
        <v>60</v>
      </c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">
        <v>36.0</v>
      </c>
      <c r="B1213" s="35" t="str">
        <f t="array" ref="B1213">INDEX('Báo cáo 75 trang đích'!$B$2:$B$76,$A1213)</f>
        <v>https://techcombank.com/thong-tin/blog/chung-chi-tien-gui-la-gi</v>
      </c>
      <c r="C1213" s="5" t="str">
        <f t="array" ref="C1213">INDEX('Báo cáo 75 trang đích'!$C$2:$C$76,$A1213)</f>
        <v>CD</v>
      </c>
      <c r="D1213" s="20" t="s">
        <v>694</v>
      </c>
      <c r="E1213" s="22" t="s">
        <v>249</v>
      </c>
      <c r="F1213" s="22" t="s">
        <v>81</v>
      </c>
      <c r="G1213" s="22" t="s">
        <v>1536</v>
      </c>
      <c r="H1213" s="24" t="s">
        <v>59</v>
      </c>
      <c r="I1213" s="24" t="s">
        <v>59</v>
      </c>
      <c r="J1213" s="24" t="s">
        <v>60</v>
      </c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">
        <v>36.0</v>
      </c>
      <c r="B1214" s="35" t="str">
        <f t="array" ref="B1214">INDEX('Báo cáo 75 trang đích'!$B$2:$B$76,$A1214)</f>
        <v>https://techcombank.com/thong-tin/blog/chung-chi-tien-gui-la-gi</v>
      </c>
      <c r="C1214" s="5" t="str">
        <f t="array" ref="C1214">INDEX('Báo cáo 75 trang đích'!$C$2:$C$76,$A1214)</f>
        <v>CD</v>
      </c>
      <c r="D1214" s="20" t="s">
        <v>1160</v>
      </c>
      <c r="E1214" s="22" t="s">
        <v>830</v>
      </c>
      <c r="F1214" s="22" t="s">
        <v>81</v>
      </c>
      <c r="G1214" s="22" t="s">
        <v>1536</v>
      </c>
      <c r="H1214" s="24" t="s">
        <v>59</v>
      </c>
      <c r="I1214" s="24" t="s">
        <v>59</v>
      </c>
      <c r="J1214" s="24" t="s">
        <v>60</v>
      </c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">
        <v>36.0</v>
      </c>
      <c r="B1215" s="35" t="str">
        <f t="array" ref="B1215">INDEX('Báo cáo 75 trang đích'!$B$2:$B$76,$A1215)</f>
        <v>https://techcombank.com/thong-tin/blog/chung-chi-tien-gui-la-gi</v>
      </c>
      <c r="C1215" s="5" t="str">
        <f t="array" ref="C1215">INDEX('Báo cáo 75 trang đích'!$C$2:$C$76,$A1215)</f>
        <v>CD</v>
      </c>
      <c r="D1215" s="20" t="s">
        <v>559</v>
      </c>
      <c r="E1215" s="22" t="s">
        <v>249</v>
      </c>
      <c r="F1215" s="22" t="s">
        <v>81</v>
      </c>
      <c r="G1215" s="22" t="s">
        <v>1536</v>
      </c>
      <c r="H1215" s="24" t="s">
        <v>59</v>
      </c>
      <c r="I1215" s="24" t="s">
        <v>59</v>
      </c>
      <c r="J1215" s="24" t="s">
        <v>60</v>
      </c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">
        <v>36.0</v>
      </c>
      <c r="B1216" s="35" t="str">
        <f t="array" ref="B1216">INDEX('Báo cáo 75 trang đích'!$B$2:$B$76,$A1216)</f>
        <v>https://techcombank.com/thong-tin/blog/chung-chi-tien-gui-la-gi</v>
      </c>
      <c r="C1216" s="5" t="str">
        <f t="array" ref="C1216">INDEX('Báo cáo 75 trang đích'!$C$2:$C$76,$A1216)</f>
        <v>CD</v>
      </c>
      <c r="D1216" s="20" t="s">
        <v>223</v>
      </c>
      <c r="E1216" s="22" t="s">
        <v>830</v>
      </c>
      <c r="F1216" s="22" t="s">
        <v>81</v>
      </c>
      <c r="G1216" s="22" t="s">
        <v>1541</v>
      </c>
      <c r="H1216" s="24" t="s">
        <v>59</v>
      </c>
      <c r="I1216" s="24" t="s">
        <v>59</v>
      </c>
      <c r="J1216" s="24" t="s">
        <v>60</v>
      </c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">
        <v>36.0</v>
      </c>
      <c r="B1217" s="35" t="str">
        <f t="array" ref="B1217">INDEX('Báo cáo 75 trang đích'!$B$2:$B$76,$A1217)</f>
        <v>https://techcombank.com/thong-tin/blog/chung-chi-tien-gui-la-gi</v>
      </c>
      <c r="C1217" s="5" t="str">
        <f t="array" ref="C1217">INDEX('Báo cáo 75 trang đích'!$C$2:$C$76,$A1217)</f>
        <v>CD</v>
      </c>
      <c r="D1217" s="20" t="s">
        <v>1152</v>
      </c>
      <c r="E1217" s="22" t="s">
        <v>249</v>
      </c>
      <c r="F1217" s="22" t="s">
        <v>81</v>
      </c>
      <c r="G1217" s="22" t="s">
        <v>1536</v>
      </c>
      <c r="H1217" s="24" t="s">
        <v>59</v>
      </c>
      <c r="I1217" s="24" t="s">
        <v>59</v>
      </c>
      <c r="J1217" s="24" t="s">
        <v>60</v>
      </c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">
        <v>36.0</v>
      </c>
      <c r="B1218" s="35" t="str">
        <f t="array" ref="B1218">INDEX('Báo cáo 75 trang đích'!$B$2:$B$76,$A1218)</f>
        <v>https://techcombank.com/thong-tin/blog/chung-chi-tien-gui-la-gi</v>
      </c>
      <c r="C1218" s="5" t="str">
        <f t="array" ref="C1218">INDEX('Báo cáo 75 trang đích'!$C$2:$C$76,$A1218)</f>
        <v>CD</v>
      </c>
      <c r="D1218" s="20" t="s">
        <v>1155</v>
      </c>
      <c r="E1218" s="22" t="s">
        <v>830</v>
      </c>
      <c r="F1218" s="22" t="s">
        <v>81</v>
      </c>
      <c r="G1218" s="22" t="s">
        <v>1536</v>
      </c>
      <c r="H1218" s="24" t="s">
        <v>59</v>
      </c>
      <c r="I1218" s="24" t="s">
        <v>59</v>
      </c>
      <c r="J1218" s="24" t="s">
        <v>60</v>
      </c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">
        <v>36.0</v>
      </c>
      <c r="B1219" s="35" t="str">
        <f t="array" ref="B1219">INDEX('Báo cáo 75 trang đích'!$B$2:$B$76,$A1219)</f>
        <v>https://techcombank.com/thong-tin/blog/chung-chi-tien-gui-la-gi</v>
      </c>
      <c r="C1219" s="5" t="str">
        <f t="array" ref="C1219">INDEX('Báo cáo 75 trang đích'!$C$2:$C$76,$A1219)</f>
        <v>CD</v>
      </c>
      <c r="D1219" s="20" t="s">
        <v>1115</v>
      </c>
      <c r="E1219" s="22" t="s">
        <v>249</v>
      </c>
      <c r="F1219" s="22" t="s">
        <v>81</v>
      </c>
      <c r="G1219" s="22" t="s">
        <v>1536</v>
      </c>
      <c r="H1219" s="24" t="s">
        <v>59</v>
      </c>
      <c r="I1219" s="24" t="s">
        <v>59</v>
      </c>
      <c r="J1219" s="24" t="s">
        <v>60</v>
      </c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">
        <v>36.0</v>
      </c>
      <c r="B1220" s="35" t="str">
        <f t="array" ref="B1220">INDEX('Báo cáo 75 trang đích'!$B$2:$B$76,$A1220)</f>
        <v>https://techcombank.com/thong-tin/blog/chung-chi-tien-gui-la-gi</v>
      </c>
      <c r="C1220" s="5" t="str">
        <f t="array" ref="C1220">INDEX('Báo cáo 75 trang đích'!$C$2:$C$76,$A1220)</f>
        <v>CD</v>
      </c>
      <c r="D1220" s="20" t="s">
        <v>224</v>
      </c>
      <c r="E1220" s="22" t="s">
        <v>830</v>
      </c>
      <c r="F1220" s="22" t="s">
        <v>81</v>
      </c>
      <c r="G1220" s="22" t="s">
        <v>1541</v>
      </c>
      <c r="H1220" s="24" t="s">
        <v>59</v>
      </c>
      <c r="I1220" s="24" t="s">
        <v>59</v>
      </c>
      <c r="J1220" s="24" t="s">
        <v>60</v>
      </c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">
        <v>36.0</v>
      </c>
      <c r="B1221" s="35" t="str">
        <f t="array" ref="B1221">INDEX('Báo cáo 75 trang đích'!$B$2:$B$76,$A1221)</f>
        <v>https://techcombank.com/thong-tin/blog/chung-chi-tien-gui-la-gi</v>
      </c>
      <c r="C1221" s="5" t="str">
        <f t="array" ref="C1221">INDEX('Báo cáo 75 trang đích'!$C$2:$C$76,$A1221)</f>
        <v>CD</v>
      </c>
      <c r="D1221" s="20" t="s">
        <v>1550</v>
      </c>
      <c r="E1221" s="22" t="s">
        <v>249</v>
      </c>
      <c r="F1221" s="22" t="s">
        <v>81</v>
      </c>
      <c r="G1221" s="22" t="s">
        <v>1536</v>
      </c>
      <c r="H1221" s="24" t="s">
        <v>59</v>
      </c>
      <c r="I1221" s="24" t="s">
        <v>59</v>
      </c>
      <c r="J1221" s="24" t="s">
        <v>60</v>
      </c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">
        <v>36.0</v>
      </c>
      <c r="B1222" s="35" t="str">
        <f t="array" ref="B1222">INDEX('Báo cáo 75 trang đích'!$B$2:$B$76,$A1222)</f>
        <v>https://techcombank.com/thong-tin/blog/chung-chi-tien-gui-la-gi</v>
      </c>
      <c r="C1222" s="5" t="str">
        <f t="array" ref="C1222">INDEX('Báo cáo 75 trang đích'!$C$2:$C$76,$A1222)</f>
        <v>CD</v>
      </c>
      <c r="D1222" s="20" t="s">
        <v>1411</v>
      </c>
      <c r="E1222" s="22" t="s">
        <v>830</v>
      </c>
      <c r="F1222" s="22" t="s">
        <v>81</v>
      </c>
      <c r="G1222" s="22" t="s">
        <v>1544</v>
      </c>
      <c r="H1222" s="24" t="s">
        <v>59</v>
      </c>
      <c r="I1222" s="24" t="s">
        <v>59</v>
      </c>
      <c r="J1222" s="24" t="s">
        <v>60</v>
      </c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">
        <v>36.0</v>
      </c>
      <c r="B1223" s="35" t="str">
        <f t="array" ref="B1223">INDEX('Báo cáo 75 trang đích'!$B$2:$B$76,$A1223)</f>
        <v>https://techcombank.com/thong-tin/blog/chung-chi-tien-gui-la-gi</v>
      </c>
      <c r="C1223" s="5" t="str">
        <f t="array" ref="C1223">INDEX('Báo cáo 75 trang đích'!$C$2:$C$76,$A1223)</f>
        <v>CD</v>
      </c>
      <c r="D1223" s="20" t="s">
        <v>1095</v>
      </c>
      <c r="E1223" s="22" t="s">
        <v>249</v>
      </c>
      <c r="F1223" s="22" t="s">
        <v>81</v>
      </c>
      <c r="G1223" s="22" t="s">
        <v>1536</v>
      </c>
      <c r="H1223" s="24" t="s">
        <v>59</v>
      </c>
      <c r="I1223" s="24" t="s">
        <v>59</v>
      </c>
      <c r="J1223" s="24" t="s">
        <v>60</v>
      </c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">
        <v>36.0</v>
      </c>
      <c r="B1224" s="35" t="str">
        <f t="array" ref="B1224">INDEX('Báo cáo 75 trang đích'!$B$2:$B$76,$A1224)</f>
        <v>https://techcombank.com/thong-tin/blog/chung-chi-tien-gui-la-gi</v>
      </c>
      <c r="C1224" s="5" t="str">
        <f t="array" ref="C1224">INDEX('Báo cáo 75 trang đích'!$C$2:$C$76,$A1224)</f>
        <v>CD</v>
      </c>
      <c r="D1224" s="20" t="s">
        <v>845</v>
      </c>
      <c r="E1224" s="22" t="s">
        <v>830</v>
      </c>
      <c r="F1224" s="22" t="s">
        <v>81</v>
      </c>
      <c r="G1224" s="22" t="s">
        <v>1541</v>
      </c>
      <c r="H1224" s="24" t="s">
        <v>59</v>
      </c>
      <c r="I1224" s="24" t="s">
        <v>59</v>
      </c>
      <c r="J1224" s="24" t="s">
        <v>60</v>
      </c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">
        <v>36.0</v>
      </c>
      <c r="B1225" s="35" t="str">
        <f t="array" ref="B1225">INDEX('Báo cáo 75 trang đích'!$B$2:$B$76,$A1225)</f>
        <v>https://techcombank.com/thong-tin/blog/chung-chi-tien-gui-la-gi</v>
      </c>
      <c r="C1225" s="5" t="str">
        <f t="array" ref="C1225">INDEX('Báo cáo 75 trang đích'!$C$2:$C$76,$A1225)</f>
        <v>CD</v>
      </c>
      <c r="D1225" s="20" t="s">
        <v>1551</v>
      </c>
      <c r="E1225" s="22" t="s">
        <v>249</v>
      </c>
      <c r="F1225" s="22" t="s">
        <v>81</v>
      </c>
      <c r="G1225" s="22" t="s">
        <v>1536</v>
      </c>
      <c r="H1225" s="24" t="s">
        <v>59</v>
      </c>
      <c r="I1225" s="24" t="s">
        <v>59</v>
      </c>
      <c r="J1225" s="24" t="s">
        <v>60</v>
      </c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">
        <v>36.0</v>
      </c>
      <c r="B1226" s="35" t="str">
        <f t="array" ref="B1226">INDEX('Báo cáo 75 trang đích'!$B$2:$B$76,$A1226)</f>
        <v>https://techcombank.com/thong-tin/blog/chung-chi-tien-gui-la-gi</v>
      </c>
      <c r="C1226" s="5" t="str">
        <f t="array" ref="C1226">INDEX('Báo cáo 75 trang đích'!$C$2:$C$76,$A1226)</f>
        <v>CD</v>
      </c>
      <c r="D1226" s="20" t="s">
        <v>226</v>
      </c>
      <c r="E1226" s="22" t="s">
        <v>830</v>
      </c>
      <c r="F1226" s="22" t="s">
        <v>81</v>
      </c>
      <c r="G1226" s="22" t="s">
        <v>1536</v>
      </c>
      <c r="H1226" s="24" t="s">
        <v>59</v>
      </c>
      <c r="I1226" s="24" t="s">
        <v>59</v>
      </c>
      <c r="J1226" s="24" t="s">
        <v>60</v>
      </c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">
        <v>36.0</v>
      </c>
      <c r="B1227" s="35" t="str">
        <f t="array" ref="B1227">INDEX('Báo cáo 75 trang đích'!$B$2:$B$76,$A1227)</f>
        <v>https://techcombank.com/thong-tin/blog/chung-chi-tien-gui-la-gi</v>
      </c>
      <c r="C1227" s="5" t="str">
        <f t="array" ref="C1227">INDEX('Báo cáo 75 trang đích'!$C$2:$C$76,$A1227)</f>
        <v>CD</v>
      </c>
      <c r="D1227" s="20" t="s">
        <v>872</v>
      </c>
      <c r="E1227" s="22" t="s">
        <v>249</v>
      </c>
      <c r="F1227" s="22" t="s">
        <v>81</v>
      </c>
      <c r="G1227" s="22" t="s">
        <v>1536</v>
      </c>
      <c r="H1227" s="24" t="s">
        <v>59</v>
      </c>
      <c r="I1227" s="24" t="s">
        <v>59</v>
      </c>
      <c r="J1227" s="24" t="s">
        <v>60</v>
      </c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">
        <v>36.0</v>
      </c>
      <c r="B1228" s="35" t="str">
        <f t="array" ref="B1228">INDEX('Báo cáo 75 trang đích'!$B$2:$B$76,$A1228)</f>
        <v>https://techcombank.com/thong-tin/blog/chung-chi-tien-gui-la-gi</v>
      </c>
      <c r="C1228" s="5" t="str">
        <f t="array" ref="C1228">INDEX('Báo cáo 75 trang đích'!$C$2:$C$76,$A1228)</f>
        <v>CD</v>
      </c>
      <c r="D1228" s="20" t="s">
        <v>1552</v>
      </c>
      <c r="E1228" s="22" t="s">
        <v>830</v>
      </c>
      <c r="F1228" s="22" t="s">
        <v>81</v>
      </c>
      <c r="G1228" s="22" t="s">
        <v>1536</v>
      </c>
      <c r="H1228" s="24" t="s">
        <v>59</v>
      </c>
      <c r="I1228" s="24" t="s">
        <v>59</v>
      </c>
      <c r="J1228" s="24" t="s">
        <v>60</v>
      </c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">
        <v>37.0</v>
      </c>
      <c r="B1229" s="35" t="str">
        <f t="array" ref="B1229">INDEX('Báo cáo 75 trang đích'!$B$2:$B$76,$A1229)</f>
        <v>https://techcombank.com/thong-tin/blog/lai-suat-chung-chi-tien-gui-cac-ngan-hang</v>
      </c>
      <c r="C1229" s="5" t="str">
        <f t="array" ref="C1229">INDEX('Báo cáo 75 trang đích'!$C$2:$C$76,$A1229)</f>
        <v>CD</v>
      </c>
      <c r="D1229" s="20" t="s">
        <v>223</v>
      </c>
      <c r="E1229" s="22" t="s">
        <v>254</v>
      </c>
      <c r="F1229" s="22" t="s">
        <v>57</v>
      </c>
      <c r="G1229" s="22" t="s">
        <v>1553</v>
      </c>
      <c r="H1229" s="24" t="s">
        <v>59</v>
      </c>
      <c r="I1229" s="24" t="s">
        <v>59</v>
      </c>
      <c r="J1229" s="24" t="s">
        <v>60</v>
      </c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">
        <v>37.0</v>
      </c>
      <c r="B1230" s="35" t="str">
        <f t="array" ref="B1230">INDEX('Báo cáo 75 trang đích'!$B$2:$B$76,$A1230)</f>
        <v>https://techcombank.com/thong-tin/blog/lai-suat-chung-chi-tien-gui-cac-ngan-hang</v>
      </c>
      <c r="C1230" s="5" t="str">
        <f t="array" ref="C1230">INDEX('Báo cáo 75 trang đích'!$C$2:$C$76,$A1230)</f>
        <v>CD</v>
      </c>
      <c r="D1230" s="20" t="s">
        <v>840</v>
      </c>
      <c r="E1230" s="22" t="s">
        <v>843</v>
      </c>
      <c r="F1230" s="22" t="s">
        <v>76</v>
      </c>
      <c r="G1230" s="22" t="s">
        <v>1554</v>
      </c>
      <c r="H1230" s="24" t="s">
        <v>59</v>
      </c>
      <c r="I1230" s="24" t="s">
        <v>59</v>
      </c>
      <c r="J1230" s="24" t="s">
        <v>60</v>
      </c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">
        <v>37.0</v>
      </c>
      <c r="B1231" s="35" t="str">
        <f t="array" ref="B1231">INDEX('Báo cáo 75 trang đích'!$B$2:$B$76,$A1231)</f>
        <v>https://techcombank.com/thong-tin/blog/lai-suat-chung-chi-tien-gui-cac-ngan-hang</v>
      </c>
      <c r="C1231" s="5" t="str">
        <f t="array" ref="C1231">INDEX('Báo cáo 75 trang đích'!$C$2:$C$76,$A1231)</f>
        <v>CD</v>
      </c>
      <c r="D1231" s="20" t="s">
        <v>845</v>
      </c>
      <c r="E1231" s="22" t="s">
        <v>847</v>
      </c>
      <c r="F1231" s="22" t="s">
        <v>76</v>
      </c>
      <c r="G1231" s="22" t="s">
        <v>1555</v>
      </c>
      <c r="H1231" s="24" t="s">
        <v>59</v>
      </c>
      <c r="I1231" s="24" t="s">
        <v>59</v>
      </c>
      <c r="J1231" s="24" t="s">
        <v>60</v>
      </c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">
        <v>37.0</v>
      </c>
      <c r="B1232" s="35" t="str">
        <f t="array" ref="B1232">INDEX('Báo cáo 75 trang đích'!$B$2:$B$76,$A1232)</f>
        <v>https://techcombank.com/thong-tin/blog/lai-suat-chung-chi-tien-gui-cac-ngan-hang</v>
      </c>
      <c r="C1232" s="5" t="str">
        <f t="array" ref="C1232">INDEX('Báo cáo 75 trang đích'!$C$2:$C$76,$A1232)</f>
        <v>CD</v>
      </c>
      <c r="D1232" s="20" t="s">
        <v>848</v>
      </c>
      <c r="E1232" s="22" t="s">
        <v>254</v>
      </c>
      <c r="F1232" s="22" t="s">
        <v>76</v>
      </c>
      <c r="G1232" s="22" t="s">
        <v>1556</v>
      </c>
      <c r="H1232" s="24" t="s">
        <v>59</v>
      </c>
      <c r="I1232" s="24" t="s">
        <v>59</v>
      </c>
      <c r="J1232" s="24" t="s">
        <v>60</v>
      </c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">
        <v>37.0</v>
      </c>
      <c r="B1233" s="35" t="str">
        <f t="array" ref="B1233">INDEX('Báo cáo 75 trang đích'!$B$2:$B$76,$A1233)</f>
        <v>https://techcombank.com/thong-tin/blog/lai-suat-chung-chi-tien-gui-cac-ngan-hang</v>
      </c>
      <c r="C1233" s="5" t="str">
        <f t="array" ref="C1233">INDEX('Báo cáo 75 trang đích'!$C$2:$C$76,$A1233)</f>
        <v>CD</v>
      </c>
      <c r="D1233" s="20" t="s">
        <v>1540</v>
      </c>
      <c r="E1233" s="22" t="s">
        <v>843</v>
      </c>
      <c r="F1233" s="22" t="s">
        <v>76</v>
      </c>
      <c r="G1233" s="22" t="s">
        <v>1557</v>
      </c>
      <c r="H1233" s="24" t="s">
        <v>59</v>
      </c>
      <c r="I1233" s="24" t="s">
        <v>59</v>
      </c>
      <c r="J1233" s="24" t="s">
        <v>60</v>
      </c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">
        <v>37.0</v>
      </c>
      <c r="B1234" s="35" t="str">
        <f t="array" ref="B1234">INDEX('Báo cáo 75 trang đích'!$B$2:$B$76,$A1234)</f>
        <v>https://techcombank.com/thong-tin/blog/lai-suat-chung-chi-tien-gui-cac-ngan-hang</v>
      </c>
      <c r="C1234" s="5" t="str">
        <f t="array" ref="C1234">INDEX('Báo cáo 75 trang đích'!$C$2:$C$76,$A1234)</f>
        <v>CD</v>
      </c>
      <c r="D1234" s="20" t="s">
        <v>219</v>
      </c>
      <c r="E1234" s="22" t="s">
        <v>847</v>
      </c>
      <c r="F1234" s="22" t="s">
        <v>81</v>
      </c>
      <c r="G1234" s="22" t="s">
        <v>1541</v>
      </c>
      <c r="H1234" s="24" t="s">
        <v>59</v>
      </c>
      <c r="I1234" s="24" t="s">
        <v>59</v>
      </c>
      <c r="J1234" s="24" t="s">
        <v>60</v>
      </c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">
        <v>37.0</v>
      </c>
      <c r="B1235" s="35" t="str">
        <f t="array" ref="B1235">INDEX('Báo cáo 75 trang đích'!$B$2:$B$76,$A1235)</f>
        <v>https://techcombank.com/thong-tin/blog/lai-suat-chung-chi-tien-gui-cac-ngan-hang</v>
      </c>
      <c r="C1235" s="5" t="str">
        <f t="array" ref="C1235">INDEX('Báo cáo 75 trang đích'!$C$2:$C$76,$A1235)</f>
        <v>CD</v>
      </c>
      <c r="D1235" s="20" t="s">
        <v>212</v>
      </c>
      <c r="E1235" s="22" t="s">
        <v>254</v>
      </c>
      <c r="F1235" s="22" t="s">
        <v>81</v>
      </c>
      <c r="G1235" s="22" t="s">
        <v>1558</v>
      </c>
      <c r="H1235" s="24" t="s">
        <v>59</v>
      </c>
      <c r="I1235" s="24" t="s">
        <v>59</v>
      </c>
      <c r="J1235" s="24" t="s">
        <v>60</v>
      </c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">
        <v>37.0</v>
      </c>
      <c r="B1236" s="35" t="str">
        <f t="array" ref="B1236">INDEX('Báo cáo 75 trang đích'!$B$2:$B$76,$A1236)</f>
        <v>https://techcombank.com/thong-tin/blog/lai-suat-chung-chi-tien-gui-cac-ngan-hang</v>
      </c>
      <c r="C1236" s="5" t="str">
        <f t="array" ref="C1236">INDEX('Báo cáo 75 trang đích'!$C$2:$C$76,$A1236)</f>
        <v>CD</v>
      </c>
      <c r="D1236" s="20" t="s">
        <v>831</v>
      </c>
      <c r="E1236" s="22" t="s">
        <v>843</v>
      </c>
      <c r="F1236" s="22" t="s">
        <v>81</v>
      </c>
      <c r="G1236" s="22" t="s">
        <v>1541</v>
      </c>
      <c r="H1236" s="24" t="s">
        <v>59</v>
      </c>
      <c r="I1236" s="24" t="s">
        <v>59</v>
      </c>
      <c r="J1236" s="24" t="s">
        <v>60</v>
      </c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">
        <v>37.0</v>
      </c>
      <c r="B1237" s="35" t="str">
        <f t="array" ref="B1237">INDEX('Báo cáo 75 trang đích'!$B$2:$B$76,$A1237)</f>
        <v>https://techcombank.com/thong-tin/blog/lai-suat-chung-chi-tien-gui-cac-ngan-hang</v>
      </c>
      <c r="C1237" s="5" t="str">
        <f t="array" ref="C1237">INDEX('Báo cáo 75 trang đích'!$C$2:$C$76,$A1237)</f>
        <v>CD</v>
      </c>
      <c r="D1237" s="20" t="s">
        <v>1547</v>
      </c>
      <c r="E1237" s="22" t="s">
        <v>847</v>
      </c>
      <c r="F1237" s="22" t="s">
        <v>81</v>
      </c>
      <c r="G1237" s="22" t="s">
        <v>1558</v>
      </c>
      <c r="H1237" s="24" t="s">
        <v>59</v>
      </c>
      <c r="I1237" s="24" t="s">
        <v>59</v>
      </c>
      <c r="J1237" s="24" t="s">
        <v>60</v>
      </c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">
        <v>37.0</v>
      </c>
      <c r="B1238" s="35" t="str">
        <f t="array" ref="B1238">INDEX('Báo cáo 75 trang đích'!$B$2:$B$76,$A1238)</f>
        <v>https://techcombank.com/thong-tin/blog/lai-suat-chung-chi-tien-gui-cac-ngan-hang</v>
      </c>
      <c r="C1238" s="5" t="str">
        <f t="array" ref="C1238">INDEX('Báo cáo 75 trang đích'!$C$2:$C$76,$A1238)</f>
        <v>CD</v>
      </c>
      <c r="D1238" s="20" t="s">
        <v>331</v>
      </c>
      <c r="E1238" s="22" t="s">
        <v>254</v>
      </c>
      <c r="F1238" s="22" t="s">
        <v>81</v>
      </c>
      <c r="G1238" s="22" t="s">
        <v>1558</v>
      </c>
      <c r="H1238" s="24" t="s">
        <v>59</v>
      </c>
      <c r="I1238" s="24" t="s">
        <v>59</v>
      </c>
      <c r="J1238" s="24" t="s">
        <v>60</v>
      </c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">
        <v>37.0</v>
      </c>
      <c r="B1239" s="35" t="str">
        <f t="array" ref="B1239">INDEX('Báo cáo 75 trang đích'!$B$2:$B$76,$A1239)</f>
        <v>https://techcombank.com/thong-tin/blog/lai-suat-chung-chi-tien-gui-cac-ngan-hang</v>
      </c>
      <c r="C1239" s="5" t="str">
        <f t="array" ref="C1239">INDEX('Báo cáo 75 trang đích'!$C$2:$C$76,$A1239)</f>
        <v>CD</v>
      </c>
      <c r="D1239" s="20" t="s">
        <v>1549</v>
      </c>
      <c r="E1239" s="22" t="s">
        <v>843</v>
      </c>
      <c r="F1239" s="22" t="s">
        <v>81</v>
      </c>
      <c r="G1239" s="22" t="s">
        <v>1558</v>
      </c>
      <c r="H1239" s="24" t="s">
        <v>59</v>
      </c>
      <c r="I1239" s="24" t="s">
        <v>59</v>
      </c>
      <c r="J1239" s="24" t="s">
        <v>60</v>
      </c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">
        <v>37.0</v>
      </c>
      <c r="B1240" s="35" t="str">
        <f t="array" ref="B1240">INDEX('Báo cáo 75 trang đích'!$B$2:$B$76,$A1240)</f>
        <v>https://techcombank.com/thong-tin/blog/lai-suat-chung-chi-tien-gui-cac-ngan-hang</v>
      </c>
      <c r="C1240" s="5" t="str">
        <f t="array" ref="C1240">INDEX('Báo cáo 75 trang đích'!$C$2:$C$76,$A1240)</f>
        <v>CD</v>
      </c>
      <c r="D1240" s="20" t="s">
        <v>824</v>
      </c>
      <c r="E1240" s="22" t="s">
        <v>847</v>
      </c>
      <c r="F1240" s="22" t="s">
        <v>81</v>
      </c>
      <c r="G1240" s="22" t="s">
        <v>1541</v>
      </c>
      <c r="H1240" s="24" t="s">
        <v>59</v>
      </c>
      <c r="I1240" s="24" t="s">
        <v>59</v>
      </c>
      <c r="J1240" s="24" t="s">
        <v>60</v>
      </c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">
        <v>37.0</v>
      </c>
      <c r="B1241" s="35" t="str">
        <f t="array" ref="B1241">INDEX('Báo cáo 75 trang đích'!$B$2:$B$76,$A1241)</f>
        <v>https://techcombank.com/thong-tin/blog/lai-suat-chung-chi-tien-gui-cac-ngan-hang</v>
      </c>
      <c r="C1241" s="5" t="str">
        <f t="array" ref="C1241">INDEX('Báo cáo 75 trang đích'!$C$2:$C$76,$A1241)</f>
        <v>CD</v>
      </c>
      <c r="D1241" s="20" t="s">
        <v>827</v>
      </c>
      <c r="E1241" s="22" t="s">
        <v>254</v>
      </c>
      <c r="F1241" s="22" t="s">
        <v>81</v>
      </c>
      <c r="G1241" s="22" t="s">
        <v>1541</v>
      </c>
      <c r="H1241" s="24" t="s">
        <v>59</v>
      </c>
      <c r="I1241" s="24" t="s">
        <v>59</v>
      </c>
      <c r="J1241" s="24" t="s">
        <v>60</v>
      </c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">
        <v>37.0</v>
      </c>
      <c r="B1242" s="35" t="str">
        <f t="array" ref="B1242">INDEX('Báo cáo 75 trang đích'!$B$2:$B$76,$A1242)</f>
        <v>https://techcombank.com/thong-tin/blog/lai-suat-chung-chi-tien-gui-cac-ngan-hang</v>
      </c>
      <c r="C1242" s="5" t="str">
        <f t="array" ref="C1242">INDEX('Báo cáo 75 trang đích'!$C$2:$C$76,$A1242)</f>
        <v>CD</v>
      </c>
      <c r="D1242" s="20" t="s">
        <v>834</v>
      </c>
      <c r="E1242" s="22" t="s">
        <v>843</v>
      </c>
      <c r="F1242" s="22" t="s">
        <v>81</v>
      </c>
      <c r="G1242" s="22" t="s">
        <v>1541</v>
      </c>
      <c r="H1242" s="24" t="s">
        <v>59</v>
      </c>
      <c r="I1242" s="24" t="s">
        <v>59</v>
      </c>
      <c r="J1242" s="24" t="s">
        <v>60</v>
      </c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">
        <v>38.0</v>
      </c>
      <c r="B1243" s="35" t="str">
        <f t="array" ref="B1243">INDEX('Báo cáo 75 trang đích'!$B$2:$B$76,$A1243)</f>
        <v>https://techcombank.com/thong-tin/blog/1-te-bang-bao-nhieu-tien-viet-nam</v>
      </c>
      <c r="C1243" s="5" t="str">
        <f t="array" ref="C1243">INDEX('Báo cáo 75 trang đích'!$C$2:$C$76,$A1243)</f>
        <v>FX</v>
      </c>
      <c r="D1243" s="20" t="s">
        <v>852</v>
      </c>
      <c r="E1243" s="22" t="s">
        <v>259</v>
      </c>
      <c r="F1243" s="22" t="s">
        <v>57</v>
      </c>
      <c r="G1243" s="22" t="s">
        <v>1559</v>
      </c>
      <c r="H1243" s="24" t="s">
        <v>59</v>
      </c>
      <c r="I1243" s="24" t="s">
        <v>59</v>
      </c>
      <c r="J1243" s="24" t="s">
        <v>60</v>
      </c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">
        <v>38.0</v>
      </c>
      <c r="B1244" s="35" t="str">
        <f t="array" ref="B1244">INDEX('Báo cáo 75 trang đích'!$B$2:$B$76,$A1244)</f>
        <v>https://techcombank.com/thong-tin/blog/1-te-bang-bao-nhieu-tien-viet-nam</v>
      </c>
      <c r="C1244" s="5" t="str">
        <f t="array" ref="C1244">INDEX('Báo cáo 75 trang đích'!$C$2:$C$76,$A1244)</f>
        <v>FX</v>
      </c>
      <c r="D1244" s="20" t="s">
        <v>855</v>
      </c>
      <c r="E1244" s="22" t="s">
        <v>857</v>
      </c>
      <c r="F1244" s="22" t="s">
        <v>57</v>
      </c>
      <c r="G1244" s="22" t="s">
        <v>1560</v>
      </c>
      <c r="H1244" s="24" t="s">
        <v>59</v>
      </c>
      <c r="I1244" s="24" t="s">
        <v>59</v>
      </c>
      <c r="J1244" s="24" t="s">
        <v>60</v>
      </c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">
        <v>38.0</v>
      </c>
      <c r="B1245" s="35" t="str">
        <f t="array" ref="B1245">INDEX('Báo cáo 75 trang đích'!$B$2:$B$76,$A1245)</f>
        <v>https://techcombank.com/thong-tin/blog/1-te-bang-bao-nhieu-tien-viet-nam</v>
      </c>
      <c r="C1245" s="5" t="str">
        <f t="array" ref="C1245">INDEX('Báo cáo 75 trang đích'!$C$2:$C$76,$A1245)</f>
        <v>FX</v>
      </c>
      <c r="D1245" s="20" t="s">
        <v>858</v>
      </c>
      <c r="E1245" s="22" t="s">
        <v>259</v>
      </c>
      <c r="F1245" s="22" t="s">
        <v>57</v>
      </c>
      <c r="G1245" s="22" t="s">
        <v>1561</v>
      </c>
      <c r="H1245" s="24" t="s">
        <v>59</v>
      </c>
      <c r="I1245" s="24" t="s">
        <v>59</v>
      </c>
      <c r="J1245" s="24" t="s">
        <v>60</v>
      </c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">
        <v>38.0</v>
      </c>
      <c r="B1246" s="35" t="str">
        <f t="array" ref="B1246">INDEX('Báo cáo 75 trang đích'!$B$2:$B$76,$A1246)</f>
        <v>https://techcombank.com/thong-tin/blog/1-te-bang-bao-nhieu-tien-viet-nam</v>
      </c>
      <c r="C1246" s="5" t="str">
        <f t="array" ref="C1246">INDEX('Báo cáo 75 trang đích'!$C$2:$C$76,$A1246)</f>
        <v>FX</v>
      </c>
      <c r="D1246" s="20" t="s">
        <v>861</v>
      </c>
      <c r="E1246" s="22" t="s">
        <v>857</v>
      </c>
      <c r="F1246" s="22" t="s">
        <v>57</v>
      </c>
      <c r="G1246" s="22" t="s">
        <v>1562</v>
      </c>
      <c r="H1246" s="24" t="s">
        <v>59</v>
      </c>
      <c r="I1246" s="24" t="s">
        <v>59</v>
      </c>
      <c r="J1246" s="24" t="s">
        <v>60</v>
      </c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">
        <v>38.0</v>
      </c>
      <c r="B1247" s="35" t="str">
        <f t="array" ref="B1247">INDEX('Báo cáo 75 trang đích'!$B$2:$B$76,$A1247)</f>
        <v>https://techcombank.com/thong-tin/blog/1-te-bang-bao-nhieu-tien-viet-nam</v>
      </c>
      <c r="C1247" s="5" t="str">
        <f t="array" ref="C1247">INDEX('Báo cáo 75 trang đích'!$C$2:$C$76,$A1247)</f>
        <v>FX</v>
      </c>
      <c r="D1247" s="20" t="s">
        <v>694</v>
      </c>
      <c r="E1247" s="22" t="s">
        <v>259</v>
      </c>
      <c r="F1247" s="22" t="s">
        <v>81</v>
      </c>
      <c r="G1247" s="22" t="s">
        <v>1563</v>
      </c>
      <c r="H1247" s="24" t="s">
        <v>59</v>
      </c>
      <c r="I1247" s="24" t="s">
        <v>59</v>
      </c>
      <c r="J1247" s="24" t="s">
        <v>60</v>
      </c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">
        <v>38.0</v>
      </c>
      <c r="B1248" s="35" t="str">
        <f t="array" ref="B1248">INDEX('Báo cáo 75 trang đích'!$B$2:$B$76,$A1248)</f>
        <v>https://techcombank.com/thong-tin/blog/1-te-bang-bao-nhieu-tien-viet-nam</v>
      </c>
      <c r="C1248" s="5" t="str">
        <f t="array" ref="C1248">INDEX('Báo cáo 75 trang đích'!$C$2:$C$76,$A1248)</f>
        <v>FX</v>
      </c>
      <c r="D1248" s="20" t="s">
        <v>885</v>
      </c>
      <c r="E1248" s="22" t="s">
        <v>857</v>
      </c>
      <c r="F1248" s="22" t="s">
        <v>81</v>
      </c>
      <c r="G1248" s="22" t="s">
        <v>1563</v>
      </c>
      <c r="H1248" s="24" t="s">
        <v>59</v>
      </c>
      <c r="I1248" s="24" t="s">
        <v>59</v>
      </c>
      <c r="J1248" s="24" t="s">
        <v>60</v>
      </c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">
        <v>38.0</v>
      </c>
      <c r="B1249" s="35" t="str">
        <f t="array" ref="B1249">INDEX('Báo cáo 75 trang đích'!$B$2:$B$76,$A1249)</f>
        <v>https://techcombank.com/thong-tin/blog/1-te-bang-bao-nhieu-tien-viet-nam</v>
      </c>
      <c r="C1249" s="5" t="str">
        <f t="array" ref="C1249">INDEX('Báo cáo 75 trang đích'!$C$2:$C$76,$A1249)</f>
        <v>FX</v>
      </c>
      <c r="D1249" s="20" t="s">
        <v>913</v>
      </c>
      <c r="E1249" s="22" t="s">
        <v>259</v>
      </c>
      <c r="F1249" s="22" t="s">
        <v>81</v>
      </c>
      <c r="G1249" s="22" t="s">
        <v>1563</v>
      </c>
      <c r="H1249" s="24" t="s">
        <v>59</v>
      </c>
      <c r="I1249" s="24" t="s">
        <v>59</v>
      </c>
      <c r="J1249" s="24" t="s">
        <v>60</v>
      </c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">
        <v>38.0</v>
      </c>
      <c r="B1250" s="35" t="str">
        <f t="array" ref="B1250">INDEX('Báo cáo 75 trang đích'!$B$2:$B$76,$A1250)</f>
        <v>https://techcombank.com/thong-tin/blog/1-te-bang-bao-nhieu-tien-viet-nam</v>
      </c>
      <c r="C1250" s="5" t="str">
        <f t="array" ref="C1250">INDEX('Báo cáo 75 trang đích'!$C$2:$C$76,$A1250)</f>
        <v>FX</v>
      </c>
      <c r="D1250" s="20" t="s">
        <v>907</v>
      </c>
      <c r="E1250" s="22" t="s">
        <v>857</v>
      </c>
      <c r="F1250" s="22" t="s">
        <v>81</v>
      </c>
      <c r="G1250" s="22" t="s">
        <v>1563</v>
      </c>
      <c r="H1250" s="24" t="s">
        <v>59</v>
      </c>
      <c r="I1250" s="24" t="s">
        <v>59</v>
      </c>
      <c r="J1250" s="24" t="s">
        <v>60</v>
      </c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">
        <v>38.0</v>
      </c>
      <c r="B1251" s="35" t="str">
        <f t="array" ref="B1251">INDEX('Báo cáo 75 trang đích'!$B$2:$B$76,$A1251)</f>
        <v>https://techcombank.com/thong-tin/blog/1-te-bang-bao-nhieu-tien-viet-nam</v>
      </c>
      <c r="C1251" s="5" t="str">
        <f t="array" ref="C1251">INDEX('Báo cáo 75 trang đích'!$C$2:$C$76,$A1251)</f>
        <v>FX</v>
      </c>
      <c r="D1251" s="20" t="s">
        <v>495</v>
      </c>
      <c r="E1251" s="22" t="s">
        <v>259</v>
      </c>
      <c r="F1251" s="22" t="s">
        <v>81</v>
      </c>
      <c r="G1251" s="22" t="s">
        <v>1563</v>
      </c>
      <c r="H1251" s="24" t="s">
        <v>59</v>
      </c>
      <c r="I1251" s="24" t="s">
        <v>59</v>
      </c>
      <c r="J1251" s="24" t="s">
        <v>60</v>
      </c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">
        <v>38.0</v>
      </c>
      <c r="B1252" s="35" t="str">
        <f t="array" ref="B1252">INDEX('Báo cáo 75 trang đích'!$B$2:$B$76,$A1252)</f>
        <v>https://techcombank.com/thong-tin/blog/1-te-bang-bao-nhieu-tien-viet-nam</v>
      </c>
      <c r="C1252" s="5" t="str">
        <f t="array" ref="C1252">INDEX('Báo cáo 75 trang đích'!$C$2:$C$76,$A1252)</f>
        <v>FX</v>
      </c>
      <c r="D1252" s="20" t="s">
        <v>929</v>
      </c>
      <c r="E1252" s="22" t="s">
        <v>857</v>
      </c>
      <c r="F1252" s="22" t="s">
        <v>81</v>
      </c>
      <c r="G1252" s="22" t="s">
        <v>1563</v>
      </c>
      <c r="H1252" s="24" t="s">
        <v>59</v>
      </c>
      <c r="I1252" s="24" t="s">
        <v>59</v>
      </c>
      <c r="J1252" s="24" t="s">
        <v>60</v>
      </c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">
        <v>38.0</v>
      </c>
      <c r="B1253" s="35" t="str">
        <f t="array" ref="B1253">INDEX('Báo cáo 75 trang đích'!$B$2:$B$76,$A1253)</f>
        <v>https://techcombank.com/thong-tin/blog/1-te-bang-bao-nhieu-tien-viet-nam</v>
      </c>
      <c r="C1253" s="5" t="str">
        <f t="array" ref="C1253">INDEX('Báo cáo 75 trang đích'!$C$2:$C$76,$A1253)</f>
        <v>FX</v>
      </c>
      <c r="D1253" s="20" t="s">
        <v>1564</v>
      </c>
      <c r="E1253" s="22" t="s">
        <v>259</v>
      </c>
      <c r="F1253" s="22" t="s">
        <v>81</v>
      </c>
      <c r="G1253" s="22" t="s">
        <v>1563</v>
      </c>
      <c r="H1253" s="24" t="s">
        <v>59</v>
      </c>
      <c r="I1253" s="24" t="s">
        <v>59</v>
      </c>
      <c r="J1253" s="24" t="s">
        <v>60</v>
      </c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">
        <v>38.0</v>
      </c>
      <c r="B1254" s="35" t="str">
        <f t="array" ref="B1254">INDEX('Báo cáo 75 trang đích'!$B$2:$B$76,$A1254)</f>
        <v>https://techcombank.com/thong-tin/blog/1-te-bang-bao-nhieu-tien-viet-nam</v>
      </c>
      <c r="C1254" s="5" t="str">
        <f t="array" ref="C1254">INDEX('Báo cáo 75 trang đích'!$C$2:$C$76,$A1254)</f>
        <v>FX</v>
      </c>
      <c r="D1254" s="20" t="s">
        <v>912</v>
      </c>
      <c r="E1254" s="22" t="s">
        <v>857</v>
      </c>
      <c r="F1254" s="22" t="s">
        <v>81</v>
      </c>
      <c r="G1254" s="22" t="s">
        <v>1563</v>
      </c>
      <c r="H1254" s="24" t="s">
        <v>59</v>
      </c>
      <c r="I1254" s="24" t="s">
        <v>59</v>
      </c>
      <c r="J1254" s="24" t="s">
        <v>60</v>
      </c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">
        <v>38.0</v>
      </c>
      <c r="B1255" s="35" t="str">
        <f t="array" ref="B1255">INDEX('Báo cáo 75 trang đích'!$B$2:$B$76,$A1255)</f>
        <v>https://techcombank.com/thong-tin/blog/1-te-bang-bao-nhieu-tien-viet-nam</v>
      </c>
      <c r="C1255" s="5" t="str">
        <f t="array" ref="C1255">INDEX('Báo cáo 75 trang đích'!$C$2:$C$76,$A1255)</f>
        <v>FX</v>
      </c>
      <c r="D1255" s="20" t="s">
        <v>273</v>
      </c>
      <c r="E1255" s="22" t="s">
        <v>259</v>
      </c>
      <c r="F1255" s="22" t="s">
        <v>81</v>
      </c>
      <c r="G1255" s="22" t="s">
        <v>1565</v>
      </c>
      <c r="H1255" s="24" t="s">
        <v>59</v>
      </c>
      <c r="I1255" s="24" t="s">
        <v>59</v>
      </c>
      <c r="J1255" s="24" t="s">
        <v>60</v>
      </c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">
        <v>38.0</v>
      </c>
      <c r="B1256" s="35" t="str">
        <f t="array" ref="B1256">INDEX('Báo cáo 75 trang đích'!$B$2:$B$76,$A1256)</f>
        <v>https://techcombank.com/thong-tin/blog/1-te-bang-bao-nhieu-tien-viet-nam</v>
      </c>
      <c r="C1256" s="5" t="str">
        <f t="array" ref="C1256">INDEX('Báo cáo 75 trang đích'!$C$2:$C$76,$A1256)</f>
        <v>FX</v>
      </c>
      <c r="D1256" s="20" t="s">
        <v>233</v>
      </c>
      <c r="E1256" s="22" t="s">
        <v>857</v>
      </c>
      <c r="F1256" s="22" t="s">
        <v>81</v>
      </c>
      <c r="G1256" s="22" t="s">
        <v>1563</v>
      </c>
      <c r="H1256" s="24" t="s">
        <v>59</v>
      </c>
      <c r="I1256" s="24" t="s">
        <v>59</v>
      </c>
      <c r="J1256" s="24" t="s">
        <v>60</v>
      </c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">
        <v>38.0</v>
      </c>
      <c r="B1257" s="35" t="str">
        <f t="array" ref="B1257">INDEX('Báo cáo 75 trang đích'!$B$2:$B$76,$A1257)</f>
        <v>https://techcombank.com/thong-tin/blog/1-te-bang-bao-nhieu-tien-viet-nam</v>
      </c>
      <c r="C1257" s="5" t="str">
        <f t="array" ref="C1257">INDEX('Báo cáo 75 trang đích'!$C$2:$C$76,$A1257)</f>
        <v>FX</v>
      </c>
      <c r="D1257" s="20" t="s">
        <v>1566</v>
      </c>
      <c r="E1257" s="22" t="s">
        <v>259</v>
      </c>
      <c r="F1257" s="22" t="s">
        <v>81</v>
      </c>
      <c r="G1257" s="22" t="s">
        <v>1563</v>
      </c>
      <c r="H1257" s="24" t="s">
        <v>59</v>
      </c>
      <c r="I1257" s="24" t="s">
        <v>59</v>
      </c>
      <c r="J1257" s="24" t="s">
        <v>60</v>
      </c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">
        <v>38.0</v>
      </c>
      <c r="B1258" s="35" t="str">
        <f t="array" ref="B1258">INDEX('Báo cáo 75 trang đích'!$B$2:$B$76,$A1258)</f>
        <v>https://techcombank.com/thong-tin/blog/1-te-bang-bao-nhieu-tien-viet-nam</v>
      </c>
      <c r="C1258" s="5" t="str">
        <f t="array" ref="C1258">INDEX('Báo cáo 75 trang đích'!$C$2:$C$76,$A1258)</f>
        <v>FX</v>
      </c>
      <c r="D1258" s="20" t="s">
        <v>879</v>
      </c>
      <c r="E1258" s="22" t="s">
        <v>857</v>
      </c>
      <c r="F1258" s="22" t="s">
        <v>81</v>
      </c>
      <c r="G1258" s="22" t="s">
        <v>1563</v>
      </c>
      <c r="H1258" s="24" t="s">
        <v>59</v>
      </c>
      <c r="I1258" s="24" t="s">
        <v>59</v>
      </c>
      <c r="J1258" s="24" t="s">
        <v>60</v>
      </c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">
        <v>38.0</v>
      </c>
      <c r="B1259" s="35" t="str">
        <f t="array" ref="B1259">INDEX('Báo cáo 75 trang đích'!$B$2:$B$76,$A1259)</f>
        <v>https://techcombank.com/thong-tin/blog/1-te-bang-bao-nhieu-tien-viet-nam</v>
      </c>
      <c r="C1259" s="5" t="str">
        <f t="array" ref="C1259">INDEX('Báo cáo 75 trang đích'!$C$2:$C$76,$A1259)</f>
        <v>FX</v>
      </c>
      <c r="D1259" s="20" t="s">
        <v>270</v>
      </c>
      <c r="E1259" s="22" t="s">
        <v>259</v>
      </c>
      <c r="F1259" s="22" t="s">
        <v>81</v>
      </c>
      <c r="G1259" s="22" t="s">
        <v>1563</v>
      </c>
      <c r="H1259" s="24" t="s">
        <v>59</v>
      </c>
      <c r="I1259" s="24" t="s">
        <v>59</v>
      </c>
      <c r="J1259" s="24" t="s">
        <v>60</v>
      </c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">
        <v>38.0</v>
      </c>
      <c r="B1260" s="35" t="str">
        <f t="array" ref="B1260">INDEX('Báo cáo 75 trang đích'!$B$2:$B$76,$A1260)</f>
        <v>https://techcombank.com/thong-tin/blog/1-te-bang-bao-nhieu-tien-viet-nam</v>
      </c>
      <c r="C1260" s="5" t="str">
        <f t="array" ref="C1260">INDEX('Báo cáo 75 trang đích'!$C$2:$C$76,$A1260)</f>
        <v>FX</v>
      </c>
      <c r="D1260" s="20" t="s">
        <v>255</v>
      </c>
      <c r="E1260" s="22" t="s">
        <v>857</v>
      </c>
      <c r="F1260" s="22" t="s">
        <v>81</v>
      </c>
      <c r="G1260" s="22" t="s">
        <v>1563</v>
      </c>
      <c r="H1260" s="24" t="s">
        <v>59</v>
      </c>
      <c r="I1260" s="24" t="s">
        <v>59</v>
      </c>
      <c r="J1260" s="24" t="s">
        <v>60</v>
      </c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">
        <v>38.0</v>
      </c>
      <c r="B1261" s="35" t="str">
        <f t="array" ref="B1261">INDEX('Báo cáo 75 trang đích'!$B$2:$B$76,$A1261)</f>
        <v>https://techcombank.com/thong-tin/blog/1-te-bang-bao-nhieu-tien-viet-nam</v>
      </c>
      <c r="C1261" s="5" t="str">
        <f t="array" ref="C1261">INDEX('Báo cáo 75 trang đích'!$C$2:$C$76,$A1261)</f>
        <v>FX</v>
      </c>
      <c r="D1261" s="20" t="s">
        <v>745</v>
      </c>
      <c r="E1261" s="22" t="s">
        <v>259</v>
      </c>
      <c r="F1261" s="22" t="s">
        <v>81</v>
      </c>
      <c r="G1261" s="22" t="s">
        <v>1563</v>
      </c>
      <c r="H1261" s="24" t="s">
        <v>59</v>
      </c>
      <c r="I1261" s="24" t="s">
        <v>59</v>
      </c>
      <c r="J1261" s="24" t="s">
        <v>60</v>
      </c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">
        <v>38.0</v>
      </c>
      <c r="B1262" s="35" t="str">
        <f t="array" ref="B1262">INDEX('Báo cáo 75 trang đích'!$B$2:$B$76,$A1262)</f>
        <v>https://techcombank.com/thong-tin/blog/1-te-bang-bao-nhieu-tien-viet-nam</v>
      </c>
      <c r="C1262" s="5" t="str">
        <f t="array" ref="C1262">INDEX('Báo cáo 75 trang đích'!$C$2:$C$76,$A1262)</f>
        <v>FX</v>
      </c>
      <c r="D1262" s="20" t="s">
        <v>750</v>
      </c>
      <c r="E1262" s="22" t="s">
        <v>857</v>
      </c>
      <c r="F1262" s="22" t="s">
        <v>81</v>
      </c>
      <c r="G1262" s="22" t="s">
        <v>1563</v>
      </c>
      <c r="H1262" s="24" t="s">
        <v>59</v>
      </c>
      <c r="I1262" s="24" t="s">
        <v>59</v>
      </c>
      <c r="J1262" s="24" t="s">
        <v>60</v>
      </c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">
        <v>39.0</v>
      </c>
      <c r="B1263" s="35" t="str">
        <f t="array" ref="B1263">INDEX('Báo cáo 75 trang đích'!$B$2:$B$76,$A1263)</f>
        <v>https://techcombank.com/thong-tin/blog/1-dong-do-la-my-bang-bao-nhieu-tien-viet-nam</v>
      </c>
      <c r="C1263" s="5" t="str">
        <f t="array" ref="C1263">INDEX('Báo cáo 75 trang đích'!$C$2:$C$76,$A1263)</f>
        <v>FX</v>
      </c>
      <c r="D1263" s="20" t="s">
        <v>864</v>
      </c>
      <c r="E1263" s="22" t="s">
        <v>262</v>
      </c>
      <c r="F1263" s="22" t="s">
        <v>57</v>
      </c>
      <c r="G1263" s="22" t="s">
        <v>1567</v>
      </c>
      <c r="H1263" s="24" t="s">
        <v>59</v>
      </c>
      <c r="I1263" s="24" t="s">
        <v>59</v>
      </c>
      <c r="J1263" s="24" t="s">
        <v>60</v>
      </c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">
        <v>39.0</v>
      </c>
      <c r="B1264" s="35" t="str">
        <f t="array" ref="B1264">INDEX('Báo cáo 75 trang đích'!$B$2:$B$76,$A1264)</f>
        <v>https://techcombank.com/thong-tin/blog/1-dong-do-la-my-bang-bao-nhieu-tien-viet-nam</v>
      </c>
      <c r="C1264" s="5" t="str">
        <f t="array" ref="C1264">INDEX('Báo cáo 75 trang đích'!$C$2:$C$76,$A1264)</f>
        <v>FX</v>
      </c>
      <c r="D1264" s="20" t="s">
        <v>866</v>
      </c>
      <c r="E1264" s="22" t="s">
        <v>868</v>
      </c>
      <c r="F1264" s="22" t="s">
        <v>57</v>
      </c>
      <c r="G1264" s="22" t="s">
        <v>1568</v>
      </c>
      <c r="H1264" s="24" t="s">
        <v>59</v>
      </c>
      <c r="I1264" s="24" t="s">
        <v>59</v>
      </c>
      <c r="J1264" s="24" t="s">
        <v>60</v>
      </c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">
        <v>39.0</v>
      </c>
      <c r="B1265" s="35" t="str">
        <f t="array" ref="B1265">INDEX('Báo cáo 75 trang đích'!$B$2:$B$76,$A1265)</f>
        <v>https://techcombank.com/thong-tin/blog/1-dong-do-la-my-bang-bao-nhieu-tien-viet-nam</v>
      </c>
      <c r="C1265" s="5" t="str">
        <f t="array" ref="C1265">INDEX('Báo cáo 75 trang đích'!$C$2:$C$76,$A1265)</f>
        <v>FX</v>
      </c>
      <c r="D1265" s="20" t="s">
        <v>869</v>
      </c>
      <c r="E1265" s="22" t="s">
        <v>871</v>
      </c>
      <c r="F1265" s="22" t="s">
        <v>57</v>
      </c>
      <c r="G1265" s="22" t="s">
        <v>1569</v>
      </c>
      <c r="H1265" s="24" t="s">
        <v>59</v>
      </c>
      <c r="I1265" s="24" t="s">
        <v>59</v>
      </c>
      <c r="J1265" s="24" t="s">
        <v>60</v>
      </c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">
        <v>39.0</v>
      </c>
      <c r="B1266" s="35" t="str">
        <f t="array" ref="B1266">INDEX('Báo cáo 75 trang đích'!$B$2:$B$76,$A1266)</f>
        <v>https://techcombank.com/thong-tin/blog/1-dong-do-la-my-bang-bao-nhieu-tien-viet-nam</v>
      </c>
      <c r="C1266" s="5" t="str">
        <f t="array" ref="C1266">INDEX('Báo cáo 75 trang đích'!$C$2:$C$76,$A1266)</f>
        <v>FX</v>
      </c>
      <c r="D1266" s="20" t="s">
        <v>872</v>
      </c>
      <c r="E1266" s="22" t="s">
        <v>262</v>
      </c>
      <c r="F1266" s="22" t="s">
        <v>76</v>
      </c>
      <c r="G1266" s="22" t="s">
        <v>1570</v>
      </c>
      <c r="H1266" s="24" t="s">
        <v>59</v>
      </c>
      <c r="I1266" s="24" t="s">
        <v>59</v>
      </c>
      <c r="J1266" s="24" t="s">
        <v>60</v>
      </c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">
        <v>39.0</v>
      </c>
      <c r="B1267" s="35" t="str">
        <f t="array" ref="B1267">INDEX('Báo cáo 75 trang đích'!$B$2:$B$76,$A1267)</f>
        <v>https://techcombank.com/thong-tin/blog/1-dong-do-la-my-bang-bao-nhieu-tien-viet-nam</v>
      </c>
      <c r="C1267" s="5" t="str">
        <f t="array" ref="C1267">INDEX('Báo cáo 75 trang đích'!$C$2:$C$76,$A1267)</f>
        <v>FX</v>
      </c>
      <c r="D1267" s="20" t="s">
        <v>874</v>
      </c>
      <c r="E1267" s="22" t="s">
        <v>868</v>
      </c>
      <c r="F1267" s="22" t="s">
        <v>76</v>
      </c>
      <c r="G1267" s="22" t="s">
        <v>1571</v>
      </c>
      <c r="H1267" s="24" t="s">
        <v>59</v>
      </c>
      <c r="I1267" s="24" t="s">
        <v>59</v>
      </c>
      <c r="J1267" s="24" t="s">
        <v>60</v>
      </c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">
        <v>39.0</v>
      </c>
      <c r="B1268" s="35" t="str">
        <f t="array" ref="B1268">INDEX('Báo cáo 75 trang đích'!$B$2:$B$76,$A1268)</f>
        <v>https://techcombank.com/thong-tin/blog/1-dong-do-la-my-bang-bao-nhieu-tien-viet-nam</v>
      </c>
      <c r="C1268" s="5" t="str">
        <f t="array" ref="C1268">INDEX('Báo cáo 75 trang đích'!$C$2:$C$76,$A1268)</f>
        <v>FX</v>
      </c>
      <c r="D1268" s="20" t="s">
        <v>1572</v>
      </c>
      <c r="E1268" s="22" t="s">
        <v>871</v>
      </c>
      <c r="F1268" s="22" t="s">
        <v>81</v>
      </c>
      <c r="G1268" s="22" t="s">
        <v>1573</v>
      </c>
      <c r="H1268" s="24" t="s">
        <v>59</v>
      </c>
      <c r="I1268" s="24" t="s">
        <v>59</v>
      </c>
      <c r="J1268" s="24" t="s">
        <v>60</v>
      </c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">
        <v>39.0</v>
      </c>
      <c r="B1269" s="35" t="str">
        <f t="array" ref="B1269">INDEX('Báo cáo 75 trang đích'!$B$2:$B$76,$A1269)</f>
        <v>https://techcombank.com/thong-tin/blog/1-dong-do-la-my-bang-bao-nhieu-tien-viet-nam</v>
      </c>
      <c r="C1269" s="5" t="str">
        <f t="array" ref="C1269">INDEX('Báo cáo 75 trang đích'!$C$2:$C$76,$A1269)</f>
        <v>FX</v>
      </c>
      <c r="D1269" s="20" t="s">
        <v>913</v>
      </c>
      <c r="E1269" s="22" t="s">
        <v>262</v>
      </c>
      <c r="F1269" s="22" t="s">
        <v>81</v>
      </c>
      <c r="G1269" s="22" t="s">
        <v>1573</v>
      </c>
      <c r="H1269" s="24" t="s">
        <v>59</v>
      </c>
      <c r="I1269" s="24" t="s">
        <v>59</v>
      </c>
      <c r="J1269" s="24" t="s">
        <v>60</v>
      </c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">
        <v>39.0</v>
      </c>
      <c r="B1270" s="35" t="str">
        <f t="array" ref="B1270">INDEX('Báo cáo 75 trang đích'!$B$2:$B$76,$A1270)</f>
        <v>https://techcombank.com/thong-tin/blog/1-dong-do-la-my-bang-bao-nhieu-tien-viet-nam</v>
      </c>
      <c r="C1270" s="5" t="str">
        <f t="array" ref="C1270">INDEX('Báo cáo 75 trang đích'!$C$2:$C$76,$A1270)</f>
        <v>FX</v>
      </c>
      <c r="D1270" s="20" t="s">
        <v>894</v>
      </c>
      <c r="E1270" s="22" t="s">
        <v>868</v>
      </c>
      <c r="F1270" s="22" t="s">
        <v>81</v>
      </c>
      <c r="G1270" s="22" t="s">
        <v>1573</v>
      </c>
      <c r="H1270" s="24" t="s">
        <v>59</v>
      </c>
      <c r="I1270" s="24" t="s">
        <v>59</v>
      </c>
      <c r="J1270" s="24" t="s">
        <v>60</v>
      </c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">
        <v>39.0</v>
      </c>
      <c r="B1271" s="35" t="str">
        <f t="array" ref="B1271">INDEX('Báo cáo 75 trang đích'!$B$2:$B$76,$A1271)</f>
        <v>https://techcombank.com/thong-tin/blog/1-dong-do-la-my-bang-bao-nhieu-tien-viet-nam</v>
      </c>
      <c r="C1271" s="5" t="str">
        <f t="array" ref="C1271">INDEX('Báo cáo 75 trang đích'!$C$2:$C$76,$A1271)</f>
        <v>FX</v>
      </c>
      <c r="D1271" s="20" t="s">
        <v>1552</v>
      </c>
      <c r="E1271" s="22" t="s">
        <v>871</v>
      </c>
      <c r="F1271" s="22" t="s">
        <v>81</v>
      </c>
      <c r="G1271" s="22" t="s">
        <v>1574</v>
      </c>
      <c r="H1271" s="24" t="s">
        <v>59</v>
      </c>
      <c r="I1271" s="24" t="s">
        <v>59</v>
      </c>
      <c r="J1271" s="24" t="s">
        <v>60</v>
      </c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">
        <v>39.0</v>
      </c>
      <c r="B1272" s="35" t="str">
        <f t="array" ref="B1272">INDEX('Báo cáo 75 trang đích'!$B$2:$B$76,$A1272)</f>
        <v>https://techcombank.com/thong-tin/blog/1-dong-do-la-my-bang-bao-nhieu-tien-viet-nam</v>
      </c>
      <c r="C1272" s="5" t="str">
        <f t="array" ref="C1272">INDEX('Báo cáo 75 trang đích'!$C$2:$C$76,$A1272)</f>
        <v>FX</v>
      </c>
      <c r="D1272" s="20" t="s">
        <v>277</v>
      </c>
      <c r="E1272" s="22" t="s">
        <v>262</v>
      </c>
      <c r="F1272" s="22" t="s">
        <v>81</v>
      </c>
      <c r="G1272" s="22" t="s">
        <v>1575</v>
      </c>
      <c r="H1272" s="24" t="s">
        <v>59</v>
      </c>
      <c r="I1272" s="24" t="s">
        <v>59</v>
      </c>
      <c r="J1272" s="24" t="s">
        <v>60</v>
      </c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">
        <v>39.0</v>
      </c>
      <c r="B1273" s="35" t="str">
        <f t="array" ref="B1273">INDEX('Báo cáo 75 trang đích'!$B$2:$B$76,$A1273)</f>
        <v>https://techcombank.com/thong-tin/blog/1-dong-do-la-my-bang-bao-nhieu-tien-viet-nam</v>
      </c>
      <c r="C1273" s="5" t="str">
        <f t="array" ref="C1273">INDEX('Báo cáo 75 trang đích'!$C$2:$C$76,$A1273)</f>
        <v>FX</v>
      </c>
      <c r="D1273" s="20" t="s">
        <v>942</v>
      </c>
      <c r="E1273" s="22" t="s">
        <v>868</v>
      </c>
      <c r="F1273" s="22" t="s">
        <v>81</v>
      </c>
      <c r="G1273" s="22" t="s">
        <v>1576</v>
      </c>
      <c r="H1273" s="24" t="s">
        <v>59</v>
      </c>
      <c r="I1273" s="24" t="s">
        <v>59</v>
      </c>
      <c r="J1273" s="24" t="s">
        <v>60</v>
      </c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">
        <v>39.0</v>
      </c>
      <c r="B1274" s="35" t="str">
        <f t="array" ref="B1274">INDEX('Báo cáo 75 trang đích'!$B$2:$B$76,$A1274)</f>
        <v>https://techcombank.com/thong-tin/blog/1-dong-do-la-my-bang-bao-nhieu-tien-viet-nam</v>
      </c>
      <c r="C1274" s="5" t="str">
        <f t="array" ref="C1274">INDEX('Báo cáo 75 trang đích'!$C$2:$C$76,$A1274)</f>
        <v>FX</v>
      </c>
      <c r="D1274" s="20" t="s">
        <v>267</v>
      </c>
      <c r="E1274" s="22" t="s">
        <v>871</v>
      </c>
      <c r="F1274" s="22" t="s">
        <v>81</v>
      </c>
      <c r="G1274" s="22" t="s">
        <v>1577</v>
      </c>
      <c r="H1274" s="24" t="s">
        <v>59</v>
      </c>
      <c r="I1274" s="24" t="s">
        <v>59</v>
      </c>
      <c r="J1274" s="24" t="s">
        <v>60</v>
      </c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">
        <v>40.0</v>
      </c>
      <c r="B1275" s="35" t="str">
        <f t="array" ref="B1275">INDEX('Báo cáo 75 trang đích'!$B$2:$B$76,$A1275)</f>
        <v>https://techcombank.com/thong-tin/blog/tien-nhat</v>
      </c>
      <c r="C1275" s="5" t="str">
        <f t="array" ref="C1275">INDEX('Báo cáo 75 trang đích'!$C$2:$C$76,$A1275)</f>
        <v>FX</v>
      </c>
      <c r="D1275" s="20" t="s">
        <v>876</v>
      </c>
      <c r="E1275" s="22" t="s">
        <v>265</v>
      </c>
      <c r="F1275" s="22" t="s">
        <v>57</v>
      </c>
      <c r="G1275" s="22" t="s">
        <v>1578</v>
      </c>
      <c r="H1275" s="24" t="s">
        <v>59</v>
      </c>
      <c r="I1275" s="24" t="s">
        <v>59</v>
      </c>
      <c r="J1275" s="24" t="s">
        <v>60</v>
      </c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">
        <v>40.0</v>
      </c>
      <c r="B1276" s="35" t="str">
        <f t="array" ref="B1276">INDEX('Báo cáo 75 trang đích'!$B$2:$B$76,$A1276)</f>
        <v>https://techcombank.com/thong-tin/blog/tien-nhat</v>
      </c>
      <c r="C1276" s="5" t="str">
        <f t="array" ref="C1276">INDEX('Báo cáo 75 trang đích'!$C$2:$C$76,$A1276)</f>
        <v>FX</v>
      </c>
      <c r="D1276" s="20" t="s">
        <v>879</v>
      </c>
      <c r="E1276" s="22" t="s">
        <v>881</v>
      </c>
      <c r="F1276" s="22" t="s">
        <v>57</v>
      </c>
      <c r="G1276" s="22" t="s">
        <v>1579</v>
      </c>
      <c r="H1276" s="24" t="s">
        <v>59</v>
      </c>
      <c r="I1276" s="24" t="s">
        <v>59</v>
      </c>
      <c r="J1276" s="24" t="s">
        <v>60</v>
      </c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">
        <v>40.0</v>
      </c>
      <c r="B1277" s="35" t="str">
        <f t="array" ref="B1277">INDEX('Báo cáo 75 trang đích'!$B$2:$B$76,$A1277)</f>
        <v>https://techcombank.com/thong-tin/blog/tien-nhat</v>
      </c>
      <c r="C1277" s="5" t="str">
        <f t="array" ref="C1277">INDEX('Báo cáo 75 trang đích'!$C$2:$C$76,$A1277)</f>
        <v>FX</v>
      </c>
      <c r="D1277" s="20" t="s">
        <v>244</v>
      </c>
      <c r="E1277" s="22" t="s">
        <v>265</v>
      </c>
      <c r="F1277" s="22" t="s">
        <v>57</v>
      </c>
      <c r="G1277" s="22" t="s">
        <v>1580</v>
      </c>
      <c r="H1277" s="24" t="s">
        <v>59</v>
      </c>
      <c r="I1277" s="24" t="s">
        <v>59</v>
      </c>
      <c r="J1277" s="24" t="s">
        <v>60</v>
      </c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">
        <v>40.0</v>
      </c>
      <c r="B1278" s="35" t="str">
        <f t="array" ref="B1278">INDEX('Báo cáo 75 trang đích'!$B$2:$B$76,$A1278)</f>
        <v>https://techcombank.com/thong-tin/blog/tien-nhat</v>
      </c>
      <c r="C1278" s="5" t="str">
        <f t="array" ref="C1278">INDEX('Báo cáo 75 trang đích'!$C$2:$C$76,$A1278)</f>
        <v>FX</v>
      </c>
      <c r="D1278" s="20" t="s">
        <v>261</v>
      </c>
      <c r="E1278" s="22" t="s">
        <v>881</v>
      </c>
      <c r="F1278" s="22" t="s">
        <v>57</v>
      </c>
      <c r="G1278" s="22" t="s">
        <v>1581</v>
      </c>
      <c r="H1278" s="24" t="s">
        <v>59</v>
      </c>
      <c r="I1278" s="24" t="s">
        <v>59</v>
      </c>
      <c r="J1278" s="24" t="s">
        <v>60</v>
      </c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">
        <v>40.0</v>
      </c>
      <c r="B1279" s="35" t="str">
        <f t="array" ref="B1279">INDEX('Báo cáo 75 trang đích'!$B$2:$B$76,$A1279)</f>
        <v>https://techcombank.com/thong-tin/blog/tien-nhat</v>
      </c>
      <c r="C1279" s="5" t="str">
        <f t="array" ref="C1279">INDEX('Báo cáo 75 trang đích'!$C$2:$C$76,$A1279)</f>
        <v>FX</v>
      </c>
      <c r="D1279" s="20" t="s">
        <v>1582</v>
      </c>
      <c r="E1279" s="22" t="s">
        <v>265</v>
      </c>
      <c r="F1279" s="22" t="s">
        <v>76</v>
      </c>
      <c r="G1279" s="22" t="s">
        <v>1583</v>
      </c>
      <c r="H1279" s="24" t="s">
        <v>59</v>
      </c>
      <c r="I1279" s="24" t="s">
        <v>59</v>
      </c>
      <c r="J1279" s="24" t="s">
        <v>60</v>
      </c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">
        <v>40.0</v>
      </c>
      <c r="B1280" s="35" t="str">
        <f t="array" ref="B1280">INDEX('Báo cáo 75 trang đích'!$B$2:$B$76,$A1280)</f>
        <v>https://techcombank.com/thong-tin/blog/tien-nhat</v>
      </c>
      <c r="C1280" s="5" t="str">
        <f t="array" ref="C1280">INDEX('Báo cáo 75 trang đích'!$C$2:$C$76,$A1280)</f>
        <v>FX</v>
      </c>
      <c r="D1280" s="20" t="s">
        <v>1584</v>
      </c>
      <c r="E1280" s="22" t="s">
        <v>881</v>
      </c>
      <c r="F1280" s="22" t="s">
        <v>81</v>
      </c>
      <c r="G1280" s="22" t="s">
        <v>1585</v>
      </c>
      <c r="H1280" s="24" t="s">
        <v>59</v>
      </c>
      <c r="I1280" s="24" t="s">
        <v>59</v>
      </c>
      <c r="J1280" s="24" t="s">
        <v>60</v>
      </c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">
        <v>40.0</v>
      </c>
      <c r="B1281" s="35" t="str">
        <f t="array" ref="B1281">INDEX('Báo cáo 75 trang đích'!$B$2:$B$76,$A1281)</f>
        <v>https://techcombank.com/thong-tin/blog/tien-nhat</v>
      </c>
      <c r="C1281" s="5" t="str">
        <f t="array" ref="C1281">INDEX('Báo cáo 75 trang đích'!$C$2:$C$76,$A1281)</f>
        <v>FX</v>
      </c>
      <c r="D1281" s="20" t="s">
        <v>913</v>
      </c>
      <c r="E1281" s="22" t="s">
        <v>265</v>
      </c>
      <c r="F1281" s="22" t="s">
        <v>81</v>
      </c>
      <c r="G1281" s="22" t="s">
        <v>1585</v>
      </c>
      <c r="H1281" s="24" t="s">
        <v>59</v>
      </c>
      <c r="I1281" s="24" t="s">
        <v>59</v>
      </c>
      <c r="J1281" s="24" t="s">
        <v>60</v>
      </c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">
        <v>40.0</v>
      </c>
      <c r="B1282" s="35" t="str">
        <f t="array" ref="B1282">INDEX('Báo cáo 75 trang đích'!$B$2:$B$76,$A1282)</f>
        <v>https://techcombank.com/thong-tin/blog/tien-nhat</v>
      </c>
      <c r="C1282" s="5" t="str">
        <f t="array" ref="C1282">INDEX('Báo cáo 75 trang đích'!$C$2:$C$76,$A1282)</f>
        <v>FX</v>
      </c>
      <c r="D1282" s="20" t="s">
        <v>886</v>
      </c>
      <c r="E1282" s="22" t="s">
        <v>881</v>
      </c>
      <c r="F1282" s="22" t="s">
        <v>81</v>
      </c>
      <c r="G1282" s="22" t="s">
        <v>1586</v>
      </c>
      <c r="H1282" s="24" t="s">
        <v>59</v>
      </c>
      <c r="I1282" s="24" t="s">
        <v>59</v>
      </c>
      <c r="J1282" s="24" t="s">
        <v>60</v>
      </c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">
        <v>41.0</v>
      </c>
      <c r="B1283" s="35" t="str">
        <f t="array" ref="B1283">INDEX('Báo cáo 75 trang đích'!$B$2:$B$76,$A1283)</f>
        <v>https://techcombank.com/thong-tin/blog/1-yen-bang-bao-nhieu-tien-viet-nam</v>
      </c>
      <c r="C1283" s="5" t="str">
        <f t="array" ref="C1283">INDEX('Báo cáo 75 trang đích'!$C$2:$C$76,$A1283)</f>
        <v>FX</v>
      </c>
      <c r="D1283" s="20" t="s">
        <v>886</v>
      </c>
      <c r="E1283" s="22" t="s">
        <v>271</v>
      </c>
      <c r="F1283" s="22" t="s">
        <v>57</v>
      </c>
      <c r="G1283" s="22" t="s">
        <v>1587</v>
      </c>
      <c r="H1283" s="24" t="s">
        <v>59</v>
      </c>
      <c r="I1283" s="24" t="s">
        <v>59</v>
      </c>
      <c r="J1283" s="24" t="s">
        <v>60</v>
      </c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">
        <v>41.0</v>
      </c>
      <c r="B1284" s="35" t="str">
        <f t="array" ref="B1284">INDEX('Báo cáo 75 trang đích'!$B$2:$B$76,$A1284)</f>
        <v>https://techcombank.com/thong-tin/blog/1-yen-bang-bao-nhieu-tien-viet-nam</v>
      </c>
      <c r="C1284" s="5" t="str">
        <f t="array" ref="C1284">INDEX('Báo cáo 75 trang đích'!$C$2:$C$76,$A1284)</f>
        <v>FX</v>
      </c>
      <c r="D1284" s="20" t="s">
        <v>238</v>
      </c>
      <c r="E1284" s="22" t="s">
        <v>889</v>
      </c>
      <c r="F1284" s="22" t="s">
        <v>57</v>
      </c>
      <c r="G1284" s="22" t="s">
        <v>1588</v>
      </c>
      <c r="H1284" s="24" t="s">
        <v>59</v>
      </c>
      <c r="I1284" s="24" t="s">
        <v>59</v>
      </c>
      <c r="J1284" s="24" t="s">
        <v>60</v>
      </c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">
        <v>41.0</v>
      </c>
      <c r="B1285" s="35" t="str">
        <f t="array" ref="B1285">INDEX('Báo cáo 75 trang đích'!$B$2:$B$76,$A1285)</f>
        <v>https://techcombank.com/thong-tin/blog/1-yen-bang-bao-nhieu-tien-viet-nam</v>
      </c>
      <c r="C1285" s="5" t="str">
        <f t="array" ref="C1285">INDEX('Báo cáo 75 trang đích'!$C$2:$C$76,$A1285)</f>
        <v>FX</v>
      </c>
      <c r="D1285" s="20" t="s">
        <v>261</v>
      </c>
      <c r="E1285" s="22" t="s">
        <v>271</v>
      </c>
      <c r="F1285" s="22" t="s">
        <v>57</v>
      </c>
      <c r="G1285" s="22" t="s">
        <v>1589</v>
      </c>
      <c r="H1285" s="24" t="s">
        <v>59</v>
      </c>
      <c r="I1285" s="24" t="s">
        <v>59</v>
      </c>
      <c r="J1285" s="24" t="s">
        <v>60</v>
      </c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">
        <v>41.0</v>
      </c>
      <c r="B1286" s="35" t="str">
        <f t="array" ref="B1286">INDEX('Báo cáo 75 trang đích'!$B$2:$B$76,$A1286)</f>
        <v>https://techcombank.com/thong-tin/blog/1-yen-bang-bao-nhieu-tien-viet-nam</v>
      </c>
      <c r="C1286" s="5" t="str">
        <f t="array" ref="C1286">INDEX('Báo cáo 75 trang đích'!$C$2:$C$76,$A1286)</f>
        <v>FX</v>
      </c>
      <c r="D1286" s="20" t="s">
        <v>879</v>
      </c>
      <c r="E1286" s="22" t="s">
        <v>889</v>
      </c>
      <c r="F1286" s="22" t="s">
        <v>76</v>
      </c>
      <c r="G1286" s="22" t="s">
        <v>1590</v>
      </c>
      <c r="H1286" s="24" t="s">
        <v>59</v>
      </c>
      <c r="I1286" s="24" t="s">
        <v>59</v>
      </c>
      <c r="J1286" s="24" t="s">
        <v>60</v>
      </c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">
        <v>41.0</v>
      </c>
      <c r="B1287" s="35" t="str">
        <f t="array" ref="B1287">INDEX('Báo cáo 75 trang đích'!$B$2:$B$76,$A1287)</f>
        <v>https://techcombank.com/thong-tin/blog/1-yen-bang-bao-nhieu-tien-viet-nam</v>
      </c>
      <c r="C1287" s="5" t="str">
        <f t="array" ref="C1287">INDEX('Báo cáo 75 trang đích'!$C$2:$C$76,$A1287)</f>
        <v>FX</v>
      </c>
      <c r="D1287" s="20" t="s">
        <v>1584</v>
      </c>
      <c r="E1287" s="22" t="s">
        <v>271</v>
      </c>
      <c r="F1287" s="22" t="s">
        <v>81</v>
      </c>
      <c r="G1287" s="22" t="s">
        <v>1585</v>
      </c>
      <c r="H1287" s="24" t="s">
        <v>59</v>
      </c>
      <c r="I1287" s="24" t="s">
        <v>59</v>
      </c>
      <c r="J1287" s="24" t="s">
        <v>60</v>
      </c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">
        <v>41.0</v>
      </c>
      <c r="B1288" s="35" t="str">
        <f t="array" ref="B1288">INDEX('Báo cáo 75 trang đích'!$B$2:$B$76,$A1288)</f>
        <v>https://techcombank.com/thong-tin/blog/1-yen-bang-bao-nhieu-tien-viet-nam</v>
      </c>
      <c r="C1288" s="5" t="str">
        <f t="array" ref="C1288">INDEX('Báo cáo 75 trang đích'!$C$2:$C$76,$A1288)</f>
        <v>FX</v>
      </c>
      <c r="D1288" s="20" t="s">
        <v>913</v>
      </c>
      <c r="E1288" s="22" t="s">
        <v>889</v>
      </c>
      <c r="F1288" s="22" t="s">
        <v>81</v>
      </c>
      <c r="G1288" s="22" t="s">
        <v>1585</v>
      </c>
      <c r="H1288" s="24" t="s">
        <v>59</v>
      </c>
      <c r="I1288" s="24" t="s">
        <v>59</v>
      </c>
      <c r="J1288" s="24" t="s">
        <v>60</v>
      </c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">
        <v>41.0</v>
      </c>
      <c r="B1289" s="35" t="str">
        <f t="array" ref="B1289">INDEX('Báo cáo 75 trang đích'!$B$2:$B$76,$A1289)</f>
        <v>https://techcombank.com/thong-tin/blog/1-yen-bang-bao-nhieu-tien-viet-nam</v>
      </c>
      <c r="C1289" s="5" t="str">
        <f t="array" ref="C1289">INDEX('Báo cáo 75 trang đích'!$C$2:$C$76,$A1289)</f>
        <v>FX</v>
      </c>
      <c r="D1289" s="20" t="s">
        <v>876</v>
      </c>
      <c r="E1289" s="22" t="s">
        <v>271</v>
      </c>
      <c r="F1289" s="22" t="s">
        <v>81</v>
      </c>
      <c r="G1289" s="22" t="s">
        <v>1585</v>
      </c>
      <c r="H1289" s="24" t="s">
        <v>59</v>
      </c>
      <c r="I1289" s="24" t="s">
        <v>59</v>
      </c>
      <c r="J1289" s="24" t="s">
        <v>60</v>
      </c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">
        <v>42.0</v>
      </c>
      <c r="B1290" s="35" t="str">
        <f t="array" ref="B1290">INDEX('Báo cáo 75 trang đích'!$B$2:$B$76,$A1290)</f>
        <v>https://techcombank.com/thong-tin/blog/1-won-bang-bao-nhieu-tien-viet</v>
      </c>
      <c r="C1290" s="5" t="str">
        <f t="array" ref="C1290">INDEX('Báo cáo 75 trang đích'!$C$2:$C$76,$A1290)</f>
        <v>FX</v>
      </c>
      <c r="D1290" s="20" t="s">
        <v>893</v>
      </c>
      <c r="E1290" s="22" t="s">
        <v>275</v>
      </c>
      <c r="F1290" s="22" t="s">
        <v>57</v>
      </c>
      <c r="G1290" s="22" t="s">
        <v>1591</v>
      </c>
      <c r="H1290" s="24" t="s">
        <v>59</v>
      </c>
      <c r="I1290" s="24" t="s">
        <v>59</v>
      </c>
      <c r="J1290" s="24" t="s">
        <v>60</v>
      </c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">
        <v>42.0</v>
      </c>
      <c r="B1291" s="35" t="str">
        <f t="array" ref="B1291">INDEX('Báo cáo 75 trang đích'!$B$2:$B$76,$A1291)</f>
        <v>https://techcombank.com/thong-tin/blog/1-won-bang-bao-nhieu-tien-viet</v>
      </c>
      <c r="C1291" s="5" t="str">
        <f t="array" ref="C1291">INDEX('Báo cáo 75 trang đích'!$C$2:$C$76,$A1291)</f>
        <v>FX</v>
      </c>
      <c r="D1291" s="20" t="s">
        <v>270</v>
      </c>
      <c r="E1291" s="22" t="s">
        <v>897</v>
      </c>
      <c r="F1291" s="22" t="s">
        <v>57</v>
      </c>
      <c r="G1291" s="22" t="s">
        <v>1592</v>
      </c>
      <c r="H1291" s="24" t="s">
        <v>59</v>
      </c>
      <c r="I1291" s="24" t="s">
        <v>59</v>
      </c>
      <c r="J1291" s="24" t="s">
        <v>60</v>
      </c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">
        <v>42.0</v>
      </c>
      <c r="B1292" s="35" t="str">
        <f t="array" ref="B1292">INDEX('Báo cáo 75 trang đích'!$B$2:$B$76,$A1292)</f>
        <v>https://techcombank.com/thong-tin/blog/1-won-bang-bao-nhieu-tien-viet</v>
      </c>
      <c r="C1292" s="5" t="str">
        <f t="array" ref="C1292">INDEX('Báo cáo 75 trang đích'!$C$2:$C$76,$A1292)</f>
        <v>FX</v>
      </c>
      <c r="D1292" s="20" t="s">
        <v>898</v>
      </c>
      <c r="E1292" s="22" t="s">
        <v>275</v>
      </c>
      <c r="F1292" s="22" t="s">
        <v>57</v>
      </c>
      <c r="G1292" s="22" t="s">
        <v>1593</v>
      </c>
      <c r="H1292" s="24" t="s">
        <v>59</v>
      </c>
      <c r="I1292" s="24" t="s">
        <v>59</v>
      </c>
      <c r="J1292" s="24" t="s">
        <v>60</v>
      </c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">
        <v>42.0</v>
      </c>
      <c r="B1293" s="35" t="str">
        <f t="array" ref="B1293">INDEX('Báo cáo 75 trang đích'!$B$2:$B$76,$A1293)</f>
        <v>https://techcombank.com/thong-tin/blog/1-won-bang-bao-nhieu-tien-viet</v>
      </c>
      <c r="C1293" s="5" t="str">
        <f t="array" ref="C1293">INDEX('Báo cáo 75 trang đích'!$C$2:$C$76,$A1293)</f>
        <v>FX</v>
      </c>
      <c r="D1293" s="20" t="s">
        <v>900</v>
      </c>
      <c r="E1293" s="22" t="s">
        <v>897</v>
      </c>
      <c r="F1293" s="22" t="s">
        <v>57</v>
      </c>
      <c r="G1293" s="22" t="s">
        <v>1594</v>
      </c>
      <c r="H1293" s="24" t="s">
        <v>59</v>
      </c>
      <c r="I1293" s="24" t="s">
        <v>59</v>
      </c>
      <c r="J1293" s="24" t="s">
        <v>60</v>
      </c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">
        <v>42.0</v>
      </c>
      <c r="B1294" s="35" t="str">
        <f t="array" ref="B1294">INDEX('Báo cáo 75 trang đích'!$B$2:$B$76,$A1294)</f>
        <v>https://techcombank.com/thong-tin/blog/1-won-bang-bao-nhieu-tien-viet</v>
      </c>
      <c r="C1294" s="5" t="str">
        <f t="array" ref="C1294">INDEX('Báo cáo 75 trang đích'!$C$2:$C$76,$A1294)</f>
        <v>FX</v>
      </c>
      <c r="D1294" s="20" t="s">
        <v>745</v>
      </c>
      <c r="E1294" s="22" t="s">
        <v>275</v>
      </c>
      <c r="F1294" s="22" t="s">
        <v>76</v>
      </c>
      <c r="G1294" s="22" t="s">
        <v>1595</v>
      </c>
      <c r="H1294" s="24" t="s">
        <v>59</v>
      </c>
      <c r="I1294" s="24" t="s">
        <v>59</v>
      </c>
      <c r="J1294" s="24" t="s">
        <v>60</v>
      </c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">
        <v>43.0</v>
      </c>
      <c r="B1295" s="35" t="str">
        <f t="array" ref="B1295">INDEX('Báo cáo 75 trang đích'!$B$2:$B$76,$A1295)</f>
        <v>https://techcombank.com/thong-tin/blog/tien-dai-loan</v>
      </c>
      <c r="C1295" s="5" t="str">
        <f t="array" ref="C1295">INDEX('Báo cáo 75 trang đích'!$C$2:$C$76,$A1295)</f>
        <v>FX</v>
      </c>
      <c r="D1295" s="20" t="s">
        <v>904</v>
      </c>
      <c r="E1295" s="22" t="s">
        <v>279</v>
      </c>
      <c r="F1295" s="22" t="s">
        <v>57</v>
      </c>
      <c r="G1295" s="22" t="s">
        <v>1596</v>
      </c>
      <c r="H1295" s="24" t="s">
        <v>59</v>
      </c>
      <c r="I1295" s="24" t="s">
        <v>59</v>
      </c>
      <c r="J1295" s="24" t="s">
        <v>60</v>
      </c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">
        <v>43.0</v>
      </c>
      <c r="B1296" s="35" t="str">
        <f t="array" ref="B1296">INDEX('Báo cáo 75 trang đích'!$B$2:$B$76,$A1296)</f>
        <v>https://techcombank.com/thong-tin/blog/tien-dai-loan</v>
      </c>
      <c r="C1296" s="5" t="str">
        <f t="array" ref="C1296">INDEX('Báo cáo 75 trang đích'!$C$2:$C$76,$A1296)</f>
        <v>FX</v>
      </c>
      <c r="D1296" s="20" t="s">
        <v>907</v>
      </c>
      <c r="E1296" s="22" t="s">
        <v>909</v>
      </c>
      <c r="F1296" s="22" t="s">
        <v>76</v>
      </c>
      <c r="G1296" s="22" t="s">
        <v>1597</v>
      </c>
      <c r="H1296" s="24" t="s">
        <v>59</v>
      </c>
      <c r="I1296" s="24" t="s">
        <v>59</v>
      </c>
      <c r="J1296" s="24" t="s">
        <v>60</v>
      </c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">
        <v>43.0</v>
      </c>
      <c r="B1297" s="35" t="str">
        <f t="array" ref="B1297">INDEX('Báo cáo 75 trang đích'!$B$2:$B$76,$A1297)</f>
        <v>https://techcombank.com/thong-tin/blog/tien-dai-loan</v>
      </c>
      <c r="C1297" s="5" t="str">
        <f t="array" ref="C1297">INDEX('Báo cáo 75 trang đích'!$C$2:$C$76,$A1297)</f>
        <v>FX</v>
      </c>
      <c r="D1297" s="20" t="s">
        <v>745</v>
      </c>
      <c r="E1297" s="22" t="s">
        <v>911</v>
      </c>
      <c r="F1297" s="22" t="s">
        <v>76</v>
      </c>
      <c r="G1297" s="22" t="s">
        <v>1598</v>
      </c>
      <c r="H1297" s="24" t="s">
        <v>59</v>
      </c>
      <c r="I1297" s="24" t="s">
        <v>59</v>
      </c>
      <c r="J1297" s="24" t="s">
        <v>60</v>
      </c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">
        <v>43.0</v>
      </c>
      <c r="B1298" s="35" t="str">
        <f t="array" ref="B1298">INDEX('Báo cáo 75 trang đích'!$B$2:$B$76,$A1298)</f>
        <v>https://techcombank.com/thong-tin/blog/tien-dai-loan</v>
      </c>
      <c r="C1298" s="5" t="str">
        <f t="array" ref="C1298">INDEX('Báo cáo 75 trang đích'!$C$2:$C$76,$A1298)</f>
        <v>FX</v>
      </c>
      <c r="D1298" s="20" t="s">
        <v>913</v>
      </c>
      <c r="E1298" s="22" t="s">
        <v>279</v>
      </c>
      <c r="F1298" s="22" t="s">
        <v>76</v>
      </c>
      <c r="G1298" s="22" t="s">
        <v>1599</v>
      </c>
      <c r="H1298" s="24" t="s">
        <v>59</v>
      </c>
      <c r="I1298" s="24" t="s">
        <v>59</v>
      </c>
      <c r="J1298" s="24" t="s">
        <v>60</v>
      </c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">
        <v>43.0</v>
      </c>
      <c r="B1299" s="35" t="str">
        <f t="array" ref="B1299">INDEX('Báo cáo 75 trang đích'!$B$2:$B$76,$A1299)</f>
        <v>https://techcombank.com/thong-tin/blog/tien-dai-loan</v>
      </c>
      <c r="C1299" s="5" t="str">
        <f t="array" ref="C1299">INDEX('Báo cáo 75 trang đích'!$C$2:$C$76,$A1299)</f>
        <v>FX</v>
      </c>
      <c r="D1299" s="20" t="s">
        <v>1600</v>
      </c>
      <c r="E1299" s="22" t="s">
        <v>909</v>
      </c>
      <c r="F1299" s="22" t="s">
        <v>81</v>
      </c>
      <c r="G1299" s="22" t="s">
        <v>1601</v>
      </c>
      <c r="H1299" s="24" t="s">
        <v>59</v>
      </c>
      <c r="I1299" s="24" t="s">
        <v>59</v>
      </c>
      <c r="J1299" s="24" t="s">
        <v>60</v>
      </c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">
        <v>44.0</v>
      </c>
      <c r="B1300" s="35" t="str">
        <f t="array" ref="B1300">INDEX('Báo cáo 75 trang đích'!$B$2:$B$76,$A1300)</f>
        <v>https://techcombank.com/thong-tin/blog/1-man-bang-bao-nhieu-tien-viet</v>
      </c>
      <c r="C1300" s="5" t="str">
        <f t="array" ref="C1300">INDEX('Báo cáo 75 trang đích'!$C$2:$C$76,$A1300)</f>
        <v>FX</v>
      </c>
      <c r="D1300" s="20" t="s">
        <v>238</v>
      </c>
      <c r="E1300" s="22" t="s">
        <v>284</v>
      </c>
      <c r="F1300" s="22" t="s">
        <v>57</v>
      </c>
      <c r="G1300" s="22" t="s">
        <v>1602</v>
      </c>
      <c r="H1300" s="24" t="s">
        <v>59</v>
      </c>
      <c r="I1300" s="24" t="s">
        <v>59</v>
      </c>
      <c r="J1300" s="24" t="s">
        <v>60</v>
      </c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">
        <v>44.0</v>
      </c>
      <c r="B1301" s="35" t="str">
        <f t="array" ref="B1301">INDEX('Báo cáo 75 trang đích'!$B$2:$B$76,$A1301)</f>
        <v>https://techcombank.com/thong-tin/blog/1-man-bang-bao-nhieu-tien-viet</v>
      </c>
      <c r="C1301" s="5" t="str">
        <f t="array" ref="C1301">INDEX('Báo cáo 75 trang đích'!$C$2:$C$76,$A1301)</f>
        <v>FX</v>
      </c>
      <c r="D1301" s="20" t="s">
        <v>244</v>
      </c>
      <c r="E1301" s="22" t="s">
        <v>917</v>
      </c>
      <c r="F1301" s="22" t="s">
        <v>57</v>
      </c>
      <c r="G1301" s="22" t="s">
        <v>1603</v>
      </c>
      <c r="H1301" s="24" t="s">
        <v>59</v>
      </c>
      <c r="I1301" s="24" t="s">
        <v>59</v>
      </c>
      <c r="J1301" s="24" t="s">
        <v>60</v>
      </c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">
        <v>44.0</v>
      </c>
      <c r="B1302" s="35" t="str">
        <f t="array" ref="B1302">INDEX('Báo cáo 75 trang đích'!$B$2:$B$76,$A1302)</f>
        <v>https://techcombank.com/thong-tin/blog/1-man-bang-bao-nhieu-tien-viet</v>
      </c>
      <c r="C1302" s="5" t="str">
        <f t="array" ref="C1302">INDEX('Báo cáo 75 trang đích'!$C$2:$C$76,$A1302)</f>
        <v>FX</v>
      </c>
      <c r="D1302" s="20" t="s">
        <v>886</v>
      </c>
      <c r="E1302" s="22" t="s">
        <v>284</v>
      </c>
      <c r="F1302" s="22" t="s">
        <v>57</v>
      </c>
      <c r="G1302" s="22" t="s">
        <v>1604</v>
      </c>
      <c r="H1302" s="24" t="s">
        <v>59</v>
      </c>
      <c r="I1302" s="24" t="s">
        <v>59</v>
      </c>
      <c r="J1302" s="24" t="s">
        <v>60</v>
      </c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">
        <v>44.0</v>
      </c>
      <c r="B1303" s="35" t="str">
        <f t="array" ref="B1303">INDEX('Báo cáo 75 trang đích'!$B$2:$B$76,$A1303)</f>
        <v>https://techcombank.com/thong-tin/blog/1-man-bang-bao-nhieu-tien-viet</v>
      </c>
      <c r="C1303" s="5" t="str">
        <f t="array" ref="C1303">INDEX('Báo cáo 75 trang đích'!$C$2:$C$76,$A1303)</f>
        <v>FX</v>
      </c>
      <c r="D1303" s="20" t="s">
        <v>879</v>
      </c>
      <c r="E1303" s="22" t="s">
        <v>917</v>
      </c>
      <c r="F1303" s="22" t="s">
        <v>57</v>
      </c>
      <c r="G1303" s="22" t="s">
        <v>1605</v>
      </c>
      <c r="H1303" s="24" t="s">
        <v>59</v>
      </c>
      <c r="I1303" s="24" t="s">
        <v>59</v>
      </c>
      <c r="J1303" s="24" t="s">
        <v>60</v>
      </c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">
        <v>44.0</v>
      </c>
      <c r="B1304" s="35" t="str">
        <f t="array" ref="B1304">INDEX('Báo cáo 75 trang đích'!$B$2:$B$76,$A1304)</f>
        <v>https://techcombank.com/thong-tin/blog/1-man-bang-bao-nhieu-tien-viet</v>
      </c>
      <c r="C1304" s="5" t="str">
        <f t="array" ref="C1304">INDEX('Báo cáo 75 trang đích'!$C$2:$C$76,$A1304)</f>
        <v>FX</v>
      </c>
      <c r="D1304" s="20" t="s">
        <v>876</v>
      </c>
      <c r="E1304" s="22" t="s">
        <v>284</v>
      </c>
      <c r="F1304" s="22" t="s">
        <v>76</v>
      </c>
      <c r="G1304" s="22" t="s">
        <v>1606</v>
      </c>
      <c r="H1304" s="24" t="s">
        <v>59</v>
      </c>
      <c r="I1304" s="24" t="s">
        <v>59</v>
      </c>
      <c r="J1304" s="24" t="s">
        <v>60</v>
      </c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">
        <v>44.0</v>
      </c>
      <c r="B1305" s="35" t="str">
        <f t="array" ref="B1305">INDEX('Báo cáo 75 trang đích'!$B$2:$B$76,$A1305)</f>
        <v>https://techcombank.com/thong-tin/blog/1-man-bang-bao-nhieu-tien-viet</v>
      </c>
      <c r="C1305" s="5" t="str">
        <f t="array" ref="C1305">INDEX('Báo cáo 75 trang đích'!$C$2:$C$76,$A1305)</f>
        <v>FX</v>
      </c>
      <c r="D1305" s="20" t="s">
        <v>1584</v>
      </c>
      <c r="E1305" s="22" t="s">
        <v>917</v>
      </c>
      <c r="F1305" s="22" t="s">
        <v>81</v>
      </c>
      <c r="G1305" s="22" t="s">
        <v>1585</v>
      </c>
      <c r="H1305" s="24" t="s">
        <v>59</v>
      </c>
      <c r="I1305" s="24" t="s">
        <v>59</v>
      </c>
      <c r="J1305" s="24" t="s">
        <v>60</v>
      </c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">
        <v>44.0</v>
      </c>
      <c r="B1306" s="35" t="str">
        <f t="array" ref="B1306">INDEX('Báo cáo 75 trang đích'!$B$2:$B$76,$A1306)</f>
        <v>https://techcombank.com/thong-tin/blog/1-man-bang-bao-nhieu-tien-viet</v>
      </c>
      <c r="C1306" s="5" t="str">
        <f t="array" ref="C1306">INDEX('Báo cáo 75 trang đích'!$C$2:$C$76,$A1306)</f>
        <v>FX</v>
      </c>
      <c r="D1306" s="20" t="s">
        <v>913</v>
      </c>
      <c r="E1306" s="22" t="s">
        <v>284</v>
      </c>
      <c r="F1306" s="22" t="s">
        <v>81</v>
      </c>
      <c r="G1306" s="22" t="s">
        <v>1585</v>
      </c>
      <c r="H1306" s="24" t="s">
        <v>59</v>
      </c>
      <c r="I1306" s="24" t="s">
        <v>59</v>
      </c>
      <c r="J1306" s="24" t="s">
        <v>60</v>
      </c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">
        <v>45.0</v>
      </c>
      <c r="B1307" s="35" t="str">
        <f t="array" ref="B1307">INDEX('Báo cáo 75 trang đích'!$B$2:$B$76,$A1307)</f>
        <v>https://techcombank.com/thong-tin/blog/tien-thai-lan</v>
      </c>
      <c r="C1307" s="5" t="str">
        <f t="array" ref="C1307">INDEX('Báo cáo 75 trang đích'!$C$2:$C$76,$A1307)</f>
        <v>FX</v>
      </c>
      <c r="D1307" s="20" t="s">
        <v>922</v>
      </c>
      <c r="E1307" s="22" t="s">
        <v>290</v>
      </c>
      <c r="F1307" s="22" t="s">
        <v>57</v>
      </c>
      <c r="G1307" s="22" t="s">
        <v>1607</v>
      </c>
      <c r="H1307" s="24" t="s">
        <v>59</v>
      </c>
      <c r="I1307" s="24" t="s">
        <v>59</v>
      </c>
      <c r="J1307" s="24" t="s">
        <v>60</v>
      </c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">
        <v>45.0</v>
      </c>
      <c r="B1308" s="35" t="str">
        <f t="array" ref="B1308">INDEX('Báo cáo 75 trang đích'!$B$2:$B$76,$A1308)</f>
        <v>https://techcombank.com/thong-tin/blog/tien-thai-lan</v>
      </c>
      <c r="C1308" s="5" t="str">
        <f t="array" ref="C1308">INDEX('Báo cáo 75 trang đích'!$C$2:$C$76,$A1308)</f>
        <v>FX</v>
      </c>
      <c r="D1308" s="20" t="s">
        <v>924</v>
      </c>
      <c r="E1308" s="22" t="s">
        <v>926</v>
      </c>
      <c r="F1308" s="22" t="s">
        <v>57</v>
      </c>
      <c r="G1308" s="22" t="s">
        <v>1608</v>
      </c>
      <c r="H1308" s="24" t="s">
        <v>59</v>
      </c>
      <c r="I1308" s="24" t="s">
        <v>59</v>
      </c>
      <c r="J1308" s="24" t="s">
        <v>60</v>
      </c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">
        <v>45.0</v>
      </c>
      <c r="B1309" s="35" t="str">
        <f t="array" ref="B1309">INDEX('Báo cáo 75 trang đích'!$B$2:$B$76,$A1309)</f>
        <v>https://techcombank.com/thong-tin/blog/tien-thai-lan</v>
      </c>
      <c r="C1309" s="5" t="str">
        <f t="array" ref="C1309">INDEX('Báo cáo 75 trang đích'!$C$2:$C$76,$A1309)</f>
        <v>FX</v>
      </c>
      <c r="D1309" s="20" t="s">
        <v>913</v>
      </c>
      <c r="E1309" s="22" t="s">
        <v>928</v>
      </c>
      <c r="F1309" s="22" t="s">
        <v>76</v>
      </c>
      <c r="G1309" s="22" t="s">
        <v>1609</v>
      </c>
      <c r="H1309" s="24" t="s">
        <v>59</v>
      </c>
      <c r="I1309" s="24" t="s">
        <v>59</v>
      </c>
      <c r="J1309" s="24" t="s">
        <v>60</v>
      </c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">
        <v>45.0</v>
      </c>
      <c r="B1310" s="35" t="str">
        <f t="array" ref="B1310">INDEX('Báo cáo 75 trang đích'!$B$2:$B$76,$A1310)</f>
        <v>https://techcombank.com/thong-tin/blog/tien-thai-lan</v>
      </c>
      <c r="C1310" s="5" t="str">
        <f t="array" ref="C1310">INDEX('Báo cáo 75 trang đích'!$C$2:$C$76,$A1310)</f>
        <v>FX</v>
      </c>
      <c r="D1310" s="20" t="s">
        <v>929</v>
      </c>
      <c r="E1310" s="22" t="s">
        <v>290</v>
      </c>
      <c r="F1310" s="22" t="s">
        <v>76</v>
      </c>
      <c r="G1310" s="22" t="s">
        <v>1610</v>
      </c>
      <c r="H1310" s="24" t="s">
        <v>59</v>
      </c>
      <c r="I1310" s="24" t="s">
        <v>59</v>
      </c>
      <c r="J1310" s="24" t="s">
        <v>60</v>
      </c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">
        <v>45.0</v>
      </c>
      <c r="B1311" s="35" t="str">
        <f t="array" ref="B1311">INDEX('Báo cáo 75 trang đích'!$B$2:$B$76,$A1311)</f>
        <v>https://techcombank.com/thong-tin/blog/tien-thai-lan</v>
      </c>
      <c r="C1311" s="5" t="str">
        <f t="array" ref="C1311">INDEX('Báo cáo 75 trang đích'!$C$2:$C$76,$A1311)</f>
        <v>FX</v>
      </c>
      <c r="D1311" s="20" t="s">
        <v>931</v>
      </c>
      <c r="E1311" s="22" t="s">
        <v>926</v>
      </c>
      <c r="F1311" s="22" t="s">
        <v>76</v>
      </c>
      <c r="G1311" s="22" t="s">
        <v>1611</v>
      </c>
      <c r="H1311" s="24" t="s">
        <v>59</v>
      </c>
      <c r="I1311" s="24" t="s">
        <v>59</v>
      </c>
      <c r="J1311" s="24" t="s">
        <v>60</v>
      </c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">
        <v>46.0</v>
      </c>
      <c r="B1312" s="35" t="str">
        <f t="array" ref="B1312">INDEX('Báo cáo 75 trang đích'!$B$2:$B$76,$A1312)</f>
        <v>https://techcombank.com/thong-tin/blog/1-trieu-do-bang-bao-nhieu-tien-viet</v>
      </c>
      <c r="C1312" s="5" t="str">
        <f t="array" ref="C1312">INDEX('Báo cáo 75 trang đích'!$C$2:$C$76,$A1312)</f>
        <v>FX</v>
      </c>
      <c r="D1312" s="20" t="s">
        <v>232</v>
      </c>
      <c r="E1312" s="22" t="s">
        <v>296</v>
      </c>
      <c r="F1312" s="22" t="s">
        <v>57</v>
      </c>
      <c r="G1312" s="22" t="s">
        <v>1612</v>
      </c>
      <c r="H1312" s="24" t="s">
        <v>59</v>
      </c>
      <c r="I1312" s="24" t="s">
        <v>59</v>
      </c>
      <c r="J1312" s="24" t="s">
        <v>60</v>
      </c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">
        <v>46.0</v>
      </c>
      <c r="B1313" s="35" t="str">
        <f t="array" ref="B1313">INDEX('Báo cáo 75 trang đích'!$B$2:$B$76,$A1313)</f>
        <v>https://techcombank.com/thong-tin/blog/1-trieu-do-bang-bao-nhieu-tien-viet</v>
      </c>
      <c r="C1313" s="5" t="str">
        <f t="array" ref="C1313">INDEX('Báo cáo 75 trang đích'!$C$2:$C$76,$A1313)</f>
        <v>FX</v>
      </c>
      <c r="D1313" s="20" t="s">
        <v>934</v>
      </c>
      <c r="E1313" s="22" t="s">
        <v>296</v>
      </c>
      <c r="F1313" s="22" t="s">
        <v>76</v>
      </c>
      <c r="G1313" s="22" t="s">
        <v>1613</v>
      </c>
      <c r="H1313" s="24" t="s">
        <v>59</v>
      </c>
      <c r="I1313" s="24" t="s">
        <v>59</v>
      </c>
      <c r="J1313" s="24" t="s">
        <v>60</v>
      </c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">
        <v>46.0</v>
      </c>
      <c r="B1314" s="35" t="str">
        <f t="array" ref="B1314">INDEX('Báo cáo 75 trang đích'!$B$2:$B$76,$A1314)</f>
        <v>https://techcombank.com/thong-tin/blog/1-trieu-do-bang-bao-nhieu-tien-viet</v>
      </c>
      <c r="C1314" s="5" t="str">
        <f t="array" ref="C1314">INDEX('Báo cáo 75 trang đích'!$C$2:$C$76,$A1314)</f>
        <v>FX</v>
      </c>
      <c r="D1314" s="20" t="s">
        <v>864</v>
      </c>
      <c r="E1314" s="22" t="s">
        <v>296</v>
      </c>
      <c r="F1314" s="22" t="s">
        <v>76</v>
      </c>
      <c r="G1314" s="22" t="s">
        <v>1614</v>
      </c>
      <c r="H1314" s="24" t="s">
        <v>59</v>
      </c>
      <c r="I1314" s="24" t="s">
        <v>59</v>
      </c>
      <c r="J1314" s="24" t="s">
        <v>60</v>
      </c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">
        <v>46.0</v>
      </c>
      <c r="B1315" s="35" t="str">
        <f t="array" ref="B1315">INDEX('Báo cáo 75 trang đích'!$B$2:$B$76,$A1315)</f>
        <v>https://techcombank.com/thong-tin/blog/1-trieu-do-bang-bao-nhieu-tien-viet</v>
      </c>
      <c r="C1315" s="5" t="str">
        <f t="array" ref="C1315">INDEX('Báo cáo 75 trang đích'!$C$2:$C$76,$A1315)</f>
        <v>FX</v>
      </c>
      <c r="D1315" s="20" t="s">
        <v>1398</v>
      </c>
      <c r="E1315" s="22" t="s">
        <v>296</v>
      </c>
      <c r="F1315" s="22" t="s">
        <v>76</v>
      </c>
      <c r="G1315" s="22" t="s">
        <v>1615</v>
      </c>
      <c r="H1315" s="24" t="s">
        <v>59</v>
      </c>
      <c r="I1315" s="24" t="s">
        <v>59</v>
      </c>
      <c r="J1315" s="24" t="s">
        <v>60</v>
      </c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">
        <v>46.0</v>
      </c>
      <c r="B1316" s="35" t="str">
        <f t="array" ref="B1316">INDEX('Báo cáo 75 trang đích'!$B$2:$B$76,$A1316)</f>
        <v>https://techcombank.com/thong-tin/blog/1-trieu-do-bang-bao-nhieu-tien-viet</v>
      </c>
      <c r="C1316" s="5" t="str">
        <f t="array" ref="C1316">INDEX('Báo cáo 75 trang đích'!$C$2:$C$76,$A1316)</f>
        <v>FX</v>
      </c>
      <c r="D1316" s="20" t="s">
        <v>872</v>
      </c>
      <c r="E1316" s="22" t="s">
        <v>296</v>
      </c>
      <c r="F1316" s="22" t="s">
        <v>81</v>
      </c>
      <c r="G1316" s="22" t="s">
        <v>1616</v>
      </c>
      <c r="H1316" s="24" t="s">
        <v>59</v>
      </c>
      <c r="I1316" s="24" t="s">
        <v>59</v>
      </c>
      <c r="J1316" s="24" t="s">
        <v>60</v>
      </c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">
        <v>46.0</v>
      </c>
      <c r="B1317" s="35" t="str">
        <f t="array" ref="B1317">INDEX('Báo cáo 75 trang đích'!$B$2:$B$76,$A1317)</f>
        <v>https://techcombank.com/thong-tin/blog/1-trieu-do-bang-bao-nhieu-tien-viet</v>
      </c>
      <c r="C1317" s="5" t="str">
        <f t="array" ref="C1317">INDEX('Báo cáo 75 trang đích'!$C$2:$C$76,$A1317)</f>
        <v>FX</v>
      </c>
      <c r="D1317" s="20" t="s">
        <v>1552</v>
      </c>
      <c r="E1317" s="22" t="s">
        <v>296</v>
      </c>
      <c r="F1317" s="22" t="s">
        <v>81</v>
      </c>
      <c r="G1317" s="22" t="s">
        <v>1574</v>
      </c>
      <c r="H1317" s="24" t="s">
        <v>59</v>
      </c>
      <c r="I1317" s="24" t="s">
        <v>59</v>
      </c>
      <c r="J1317" s="24" t="s">
        <v>60</v>
      </c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">
        <v>46.0</v>
      </c>
      <c r="B1318" s="35" t="str">
        <f t="array" ref="B1318">INDEX('Báo cáo 75 trang đích'!$B$2:$B$76,$A1318)</f>
        <v>https://techcombank.com/thong-tin/blog/1-trieu-do-bang-bao-nhieu-tien-viet</v>
      </c>
      <c r="C1318" s="5" t="str">
        <f t="array" ref="C1318">INDEX('Báo cáo 75 trang đích'!$C$2:$C$76,$A1318)</f>
        <v>FX</v>
      </c>
      <c r="D1318" s="20" t="s">
        <v>277</v>
      </c>
      <c r="E1318" s="22" t="s">
        <v>296</v>
      </c>
      <c r="F1318" s="22" t="s">
        <v>81</v>
      </c>
      <c r="G1318" s="22" t="s">
        <v>1617</v>
      </c>
      <c r="H1318" s="24" t="s">
        <v>59</v>
      </c>
      <c r="I1318" s="24" t="s">
        <v>59</v>
      </c>
      <c r="J1318" s="24" t="s">
        <v>60</v>
      </c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">
        <v>46.0</v>
      </c>
      <c r="B1319" s="35" t="str">
        <f t="array" ref="B1319">INDEX('Báo cáo 75 trang đích'!$B$2:$B$76,$A1319)</f>
        <v>https://techcombank.com/thong-tin/blog/1-trieu-do-bang-bao-nhieu-tien-viet</v>
      </c>
      <c r="C1319" s="5" t="str">
        <f t="array" ref="C1319">INDEX('Báo cáo 75 trang đích'!$C$2:$C$76,$A1319)</f>
        <v>FX</v>
      </c>
      <c r="D1319" s="20" t="s">
        <v>866</v>
      </c>
      <c r="E1319" s="22" t="s">
        <v>296</v>
      </c>
      <c r="F1319" s="22" t="s">
        <v>81</v>
      </c>
      <c r="G1319" s="22" t="s">
        <v>1616</v>
      </c>
      <c r="H1319" s="24" t="s">
        <v>59</v>
      </c>
      <c r="I1319" s="24" t="s">
        <v>59</v>
      </c>
      <c r="J1319" s="24" t="s">
        <v>60</v>
      </c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">
        <v>46.0</v>
      </c>
      <c r="B1320" s="35" t="str">
        <f t="array" ref="B1320">INDEX('Báo cáo 75 trang đích'!$B$2:$B$76,$A1320)</f>
        <v>https://techcombank.com/thong-tin/blog/1-trieu-do-bang-bao-nhieu-tien-viet</v>
      </c>
      <c r="C1320" s="5" t="str">
        <f t="array" ref="C1320">INDEX('Báo cáo 75 trang đích'!$C$2:$C$76,$A1320)</f>
        <v>FX</v>
      </c>
      <c r="D1320" s="20" t="s">
        <v>1618</v>
      </c>
      <c r="E1320" s="22" t="s">
        <v>296</v>
      </c>
      <c r="F1320" s="22" t="s">
        <v>81</v>
      </c>
      <c r="G1320" s="22" t="s">
        <v>1617</v>
      </c>
      <c r="H1320" s="24" t="s">
        <v>59</v>
      </c>
      <c r="I1320" s="24" t="s">
        <v>59</v>
      </c>
      <c r="J1320" s="24" t="s">
        <v>60</v>
      </c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">
        <v>46.0</v>
      </c>
      <c r="B1321" s="35" t="str">
        <f t="array" ref="B1321">INDEX('Báo cáo 75 trang đích'!$B$2:$B$76,$A1321)</f>
        <v>https://techcombank.com/thong-tin/blog/1-trieu-do-bang-bao-nhieu-tien-viet</v>
      </c>
      <c r="C1321" s="5" t="str">
        <f t="array" ref="C1321">INDEX('Báo cáo 75 trang đích'!$C$2:$C$76,$A1321)</f>
        <v>FX</v>
      </c>
      <c r="D1321" s="20" t="s">
        <v>942</v>
      </c>
      <c r="E1321" s="22" t="s">
        <v>296</v>
      </c>
      <c r="F1321" s="22" t="s">
        <v>81</v>
      </c>
      <c r="G1321" s="22" t="s">
        <v>1617</v>
      </c>
      <c r="H1321" s="24" t="s">
        <v>59</v>
      </c>
      <c r="I1321" s="24" t="s">
        <v>59</v>
      </c>
      <c r="J1321" s="24" t="s">
        <v>60</v>
      </c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">
        <v>46.0</v>
      </c>
      <c r="B1322" s="35" t="str">
        <f t="array" ref="B1322">INDEX('Báo cáo 75 trang đích'!$B$2:$B$76,$A1322)</f>
        <v>https://techcombank.com/thong-tin/blog/1-trieu-do-bang-bao-nhieu-tien-viet</v>
      </c>
      <c r="C1322" s="5" t="str">
        <f t="array" ref="C1322">INDEX('Báo cáo 75 trang đích'!$C$2:$C$76,$A1322)</f>
        <v>FX</v>
      </c>
      <c r="D1322" s="20" t="s">
        <v>874</v>
      </c>
      <c r="E1322" s="22" t="s">
        <v>296</v>
      </c>
      <c r="F1322" s="22" t="s">
        <v>81</v>
      </c>
      <c r="G1322" s="22" t="s">
        <v>1574</v>
      </c>
      <c r="H1322" s="24" t="s">
        <v>59</v>
      </c>
      <c r="I1322" s="24" t="s">
        <v>59</v>
      </c>
      <c r="J1322" s="24" t="s">
        <v>60</v>
      </c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">
        <v>46.0</v>
      </c>
      <c r="B1323" s="35" t="str">
        <f t="array" ref="B1323">INDEX('Báo cáo 75 trang đích'!$B$2:$B$76,$A1323)</f>
        <v>https://techcombank.com/thong-tin/blog/1-trieu-do-bang-bao-nhieu-tien-viet</v>
      </c>
      <c r="C1323" s="5" t="str">
        <f t="array" ref="C1323">INDEX('Báo cáo 75 trang đích'!$C$2:$C$76,$A1323)</f>
        <v>FX</v>
      </c>
      <c r="D1323" s="20" t="s">
        <v>869</v>
      </c>
      <c r="E1323" s="22" t="s">
        <v>296</v>
      </c>
      <c r="F1323" s="22" t="s">
        <v>81</v>
      </c>
      <c r="G1323" s="22" t="s">
        <v>1574</v>
      </c>
      <c r="H1323" s="24" t="s">
        <v>59</v>
      </c>
      <c r="I1323" s="24" t="s">
        <v>59</v>
      </c>
      <c r="J1323" s="24" t="s">
        <v>60</v>
      </c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">
        <v>46.0</v>
      </c>
      <c r="B1324" s="35" t="str">
        <f t="array" ref="B1324">INDEX('Báo cáo 75 trang đích'!$B$2:$B$76,$A1324)</f>
        <v>https://techcombank.com/thong-tin/blog/1-trieu-do-bang-bao-nhieu-tien-viet</v>
      </c>
      <c r="C1324" s="5" t="str">
        <f t="array" ref="C1324">INDEX('Báo cáo 75 trang đích'!$C$2:$C$76,$A1324)</f>
        <v>FX</v>
      </c>
      <c r="D1324" s="20" t="s">
        <v>1619</v>
      </c>
      <c r="E1324" s="22" t="s">
        <v>296</v>
      </c>
      <c r="F1324" s="22" t="s">
        <v>81</v>
      </c>
      <c r="G1324" s="22" t="s">
        <v>1617</v>
      </c>
      <c r="H1324" s="24" t="s">
        <v>59</v>
      </c>
      <c r="I1324" s="24" t="s">
        <v>59</v>
      </c>
      <c r="J1324" s="24" t="s">
        <v>60</v>
      </c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">
        <v>47.0</v>
      </c>
      <c r="B1325" s="35" t="str">
        <f t="array" ref="B1325">INDEX('Báo cáo 75 trang đích'!$B$2:$B$76,$A1325)</f>
        <v>https://techcombank.com/thong-tin/blog/1000-won-bang-bao-nhieu-tien-viet</v>
      </c>
      <c r="C1325" s="5" t="str">
        <f t="array" ref="C1325">INDEX('Báo cáo 75 trang đích'!$C$2:$C$76,$A1325)</f>
        <v>FX</v>
      </c>
      <c r="D1325" s="20" t="s">
        <v>251</v>
      </c>
      <c r="E1325" s="22" t="s">
        <v>298</v>
      </c>
      <c r="F1325" s="22" t="s">
        <v>57</v>
      </c>
      <c r="G1325" s="22" t="s">
        <v>1620</v>
      </c>
      <c r="H1325" s="24" t="s">
        <v>59</v>
      </c>
      <c r="I1325" s="24" t="s">
        <v>59</v>
      </c>
      <c r="J1325" s="24" t="s">
        <v>60</v>
      </c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">
        <v>47.0</v>
      </c>
      <c r="B1326" s="35" t="str">
        <f t="array" ref="B1326">INDEX('Báo cáo 75 trang đích'!$B$2:$B$76,$A1326)</f>
        <v>https://techcombank.com/thong-tin/blog/1000-won-bang-bao-nhieu-tien-viet</v>
      </c>
      <c r="C1326" s="5" t="str">
        <f t="array" ref="C1326">INDEX('Báo cáo 75 trang đích'!$C$2:$C$76,$A1326)</f>
        <v>FX</v>
      </c>
      <c r="D1326" s="20" t="s">
        <v>893</v>
      </c>
      <c r="E1326" s="22" t="s">
        <v>939</v>
      </c>
      <c r="F1326" s="22" t="s">
        <v>57</v>
      </c>
      <c r="G1326" s="22" t="s">
        <v>1621</v>
      </c>
      <c r="H1326" s="24" t="s">
        <v>59</v>
      </c>
      <c r="I1326" s="24" t="s">
        <v>59</v>
      </c>
      <c r="J1326" s="24" t="s">
        <v>60</v>
      </c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">
        <v>47.0</v>
      </c>
      <c r="B1327" s="35" t="str">
        <f t="array" ref="B1327">INDEX('Báo cáo 75 trang đích'!$B$2:$B$76,$A1327)</f>
        <v>https://techcombank.com/thong-tin/blog/1000-won-bang-bao-nhieu-tien-viet</v>
      </c>
      <c r="C1327" s="5" t="str">
        <f t="array" ref="C1327">INDEX('Báo cáo 75 trang đích'!$C$2:$C$76,$A1327)</f>
        <v>FX</v>
      </c>
      <c r="D1327" s="20" t="s">
        <v>898</v>
      </c>
      <c r="E1327" s="22" t="s">
        <v>298</v>
      </c>
      <c r="F1327" s="22" t="s">
        <v>57</v>
      </c>
      <c r="G1327" s="22" t="s">
        <v>1622</v>
      </c>
      <c r="H1327" s="24" t="s">
        <v>59</v>
      </c>
      <c r="I1327" s="24" t="s">
        <v>59</v>
      </c>
      <c r="J1327" s="24" t="s">
        <v>60</v>
      </c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">
        <v>47.0</v>
      </c>
      <c r="B1328" s="35" t="str">
        <f t="array" ref="B1328">INDEX('Báo cáo 75 trang đích'!$B$2:$B$76,$A1328)</f>
        <v>https://techcombank.com/thong-tin/blog/1000-won-bang-bao-nhieu-tien-viet</v>
      </c>
      <c r="C1328" s="5" t="str">
        <f t="array" ref="C1328">INDEX('Báo cáo 75 trang đích'!$C$2:$C$76,$A1328)</f>
        <v>FX</v>
      </c>
      <c r="D1328" s="20" t="s">
        <v>900</v>
      </c>
      <c r="E1328" s="22" t="s">
        <v>939</v>
      </c>
      <c r="F1328" s="22" t="s">
        <v>76</v>
      </c>
      <c r="G1328" s="22" t="s">
        <v>1623</v>
      </c>
      <c r="H1328" s="24" t="s">
        <v>59</v>
      </c>
      <c r="I1328" s="24" t="s">
        <v>59</v>
      </c>
      <c r="J1328" s="24" t="s">
        <v>60</v>
      </c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">
        <v>48.0</v>
      </c>
      <c r="B1329" s="35" t="str">
        <f t="array" ref="B1329">INDEX('Báo cáo 75 trang đích'!$B$2:$B$76,$A1329)</f>
        <v>https://techcombank.com/thong-tin/blog/cach-nhan-tien-tu-nuoc-ngoai-ve-viet-nam</v>
      </c>
      <c r="C1329" s="5" t="str">
        <f t="array" ref="C1329">INDEX('Báo cáo 75 trang đích'!$C$2:$C$76,$A1329)</f>
        <v>FX</v>
      </c>
      <c r="D1329" s="20" t="s">
        <v>943</v>
      </c>
      <c r="E1329" s="22" t="s">
        <v>302</v>
      </c>
      <c r="F1329" s="22" t="s">
        <v>57</v>
      </c>
      <c r="G1329" s="22" t="s">
        <v>1624</v>
      </c>
      <c r="H1329" s="24" t="s">
        <v>59</v>
      </c>
      <c r="I1329" s="24" t="s">
        <v>59</v>
      </c>
      <c r="J1329" s="24" t="s">
        <v>60</v>
      </c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">
        <v>48.0</v>
      </c>
      <c r="B1330" s="35" t="str">
        <f t="array" ref="B1330">INDEX('Báo cáo 75 trang đích'!$B$2:$B$76,$A1330)</f>
        <v>https://techcombank.com/thong-tin/blog/cach-nhan-tien-tu-nuoc-ngoai-ve-viet-nam</v>
      </c>
      <c r="C1330" s="5" t="str">
        <f t="array" ref="C1330">INDEX('Báo cáo 75 trang đích'!$C$2:$C$76,$A1330)</f>
        <v>FX</v>
      </c>
      <c r="D1330" s="20" t="s">
        <v>945</v>
      </c>
      <c r="E1330" s="22" t="s">
        <v>948</v>
      </c>
      <c r="F1330" s="22" t="s">
        <v>57</v>
      </c>
      <c r="G1330" s="22" t="s">
        <v>1625</v>
      </c>
      <c r="H1330" s="24" t="s">
        <v>59</v>
      </c>
      <c r="I1330" s="24" t="s">
        <v>59</v>
      </c>
      <c r="J1330" s="24" t="s">
        <v>60</v>
      </c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">
        <v>48.0</v>
      </c>
      <c r="B1331" s="35" t="str">
        <f t="array" ref="B1331">INDEX('Báo cáo 75 trang đích'!$B$2:$B$76,$A1331)</f>
        <v>https://techcombank.com/thong-tin/blog/cach-nhan-tien-tu-nuoc-ngoai-ve-viet-nam</v>
      </c>
      <c r="C1331" s="5" t="str">
        <f t="array" ref="C1331">INDEX('Báo cáo 75 trang đích'!$C$2:$C$76,$A1331)</f>
        <v>FX</v>
      </c>
      <c r="D1331" s="20" t="s">
        <v>859</v>
      </c>
      <c r="E1331" s="22" t="s">
        <v>950</v>
      </c>
      <c r="F1331" s="22" t="s">
        <v>57</v>
      </c>
      <c r="G1331" s="22" t="s">
        <v>1626</v>
      </c>
      <c r="H1331" s="24" t="s">
        <v>59</v>
      </c>
      <c r="I1331" s="24" t="s">
        <v>59</v>
      </c>
      <c r="J1331" s="24" t="s">
        <v>60</v>
      </c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">
        <v>48.0</v>
      </c>
      <c r="B1332" s="35" t="str">
        <f t="array" ref="B1332">INDEX('Báo cáo 75 trang đích'!$B$2:$B$76,$A1332)</f>
        <v>https://techcombank.com/thong-tin/blog/cach-nhan-tien-tu-nuoc-ngoai-ve-viet-nam</v>
      </c>
      <c r="C1332" s="5" t="str">
        <f t="array" ref="C1332">INDEX('Báo cáo 75 trang đích'!$C$2:$C$76,$A1332)</f>
        <v>FX</v>
      </c>
      <c r="D1332" s="20" t="s">
        <v>874</v>
      </c>
      <c r="E1332" s="22" t="s">
        <v>302</v>
      </c>
      <c r="F1332" s="22" t="s">
        <v>57</v>
      </c>
      <c r="G1332" s="22" t="s">
        <v>1627</v>
      </c>
      <c r="H1332" s="24" t="s">
        <v>59</v>
      </c>
      <c r="I1332" s="24" t="s">
        <v>59</v>
      </c>
      <c r="J1332" s="24" t="s">
        <v>60</v>
      </c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">
        <v>48.0</v>
      </c>
      <c r="B1333" s="35" t="str">
        <f t="array" ref="B1333">INDEX('Báo cáo 75 trang đích'!$B$2:$B$76,$A1333)</f>
        <v>https://techcombank.com/thong-tin/blog/cach-nhan-tien-tu-nuoc-ngoai-ve-viet-nam</v>
      </c>
      <c r="C1333" s="5" t="str">
        <f t="array" ref="C1333">INDEX('Báo cáo 75 trang đích'!$C$2:$C$76,$A1333)</f>
        <v>FX</v>
      </c>
      <c r="D1333" s="20" t="s">
        <v>805</v>
      </c>
      <c r="E1333" s="22" t="s">
        <v>948</v>
      </c>
      <c r="F1333" s="22" t="s">
        <v>57</v>
      </c>
      <c r="G1333" s="22" t="s">
        <v>1628</v>
      </c>
      <c r="H1333" s="24" t="s">
        <v>59</v>
      </c>
      <c r="I1333" s="24" t="s">
        <v>59</v>
      </c>
      <c r="J1333" s="24" t="s">
        <v>60</v>
      </c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">
        <v>48.0</v>
      </c>
      <c r="B1334" s="35" t="str">
        <f t="array" ref="B1334">INDEX('Báo cáo 75 trang đích'!$B$2:$B$76,$A1334)</f>
        <v>https://techcombank.com/thong-tin/blog/cach-nhan-tien-tu-nuoc-ngoai-ve-viet-nam</v>
      </c>
      <c r="C1334" s="5" t="str">
        <f t="array" ref="C1334">INDEX('Báo cáo 75 trang đích'!$C$2:$C$76,$A1334)</f>
        <v>FX</v>
      </c>
      <c r="D1334" s="20" t="s">
        <v>1629</v>
      </c>
      <c r="E1334" s="22" t="s">
        <v>950</v>
      </c>
      <c r="F1334" s="22" t="s">
        <v>81</v>
      </c>
      <c r="G1334" s="22" t="s">
        <v>1630</v>
      </c>
      <c r="H1334" s="24" t="s">
        <v>59</v>
      </c>
      <c r="I1334" s="24" t="s">
        <v>59</v>
      </c>
      <c r="J1334" s="24" t="s">
        <v>60</v>
      </c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">
        <v>48.0</v>
      </c>
      <c r="B1335" s="35" t="str">
        <f t="array" ref="B1335">INDEX('Báo cáo 75 trang đích'!$B$2:$B$76,$A1335)</f>
        <v>https://techcombank.com/thong-tin/blog/cach-nhan-tien-tu-nuoc-ngoai-ve-viet-nam</v>
      </c>
      <c r="C1335" s="5" t="str">
        <f t="array" ref="C1335">INDEX('Báo cáo 75 trang đích'!$C$2:$C$76,$A1335)</f>
        <v>FX</v>
      </c>
      <c r="D1335" s="20" t="s">
        <v>1631</v>
      </c>
      <c r="E1335" s="22" t="s">
        <v>302</v>
      </c>
      <c r="F1335" s="22" t="s">
        <v>81</v>
      </c>
      <c r="G1335" s="22" t="s">
        <v>1630</v>
      </c>
      <c r="H1335" s="24" t="s">
        <v>59</v>
      </c>
      <c r="I1335" s="24" t="s">
        <v>59</v>
      </c>
      <c r="J1335" s="24" t="s">
        <v>60</v>
      </c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">
        <v>48.0</v>
      </c>
      <c r="B1336" s="35" t="str">
        <f t="array" ref="B1336">INDEX('Báo cáo 75 trang đích'!$B$2:$B$76,$A1336)</f>
        <v>https://techcombank.com/thong-tin/blog/cach-nhan-tien-tu-nuoc-ngoai-ve-viet-nam</v>
      </c>
      <c r="C1336" s="5" t="str">
        <f t="array" ref="C1336">INDEX('Báo cáo 75 trang đích'!$C$2:$C$76,$A1336)</f>
        <v>FX</v>
      </c>
      <c r="D1336" s="20" t="s">
        <v>1459</v>
      </c>
      <c r="E1336" s="22" t="s">
        <v>948</v>
      </c>
      <c r="F1336" s="22" t="s">
        <v>81</v>
      </c>
      <c r="G1336" s="22" t="s">
        <v>1630</v>
      </c>
      <c r="H1336" s="24" t="s">
        <v>59</v>
      </c>
      <c r="I1336" s="24" t="s">
        <v>59</v>
      </c>
      <c r="J1336" s="24" t="s">
        <v>60</v>
      </c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">
        <v>48.0</v>
      </c>
      <c r="B1337" s="35" t="str">
        <f t="array" ref="B1337">INDEX('Báo cáo 75 trang đích'!$B$2:$B$76,$A1337)</f>
        <v>https://techcombank.com/thong-tin/blog/cach-nhan-tien-tu-nuoc-ngoai-ve-viet-nam</v>
      </c>
      <c r="C1337" s="5" t="str">
        <f t="array" ref="C1337">INDEX('Báo cáo 75 trang đích'!$C$2:$C$76,$A1337)</f>
        <v>FX</v>
      </c>
      <c r="D1337" s="20" t="s">
        <v>1460</v>
      </c>
      <c r="E1337" s="22" t="s">
        <v>950</v>
      </c>
      <c r="F1337" s="22" t="s">
        <v>81</v>
      </c>
      <c r="G1337" s="22" t="s">
        <v>1630</v>
      </c>
      <c r="H1337" s="24" t="s">
        <v>59</v>
      </c>
      <c r="I1337" s="24" t="s">
        <v>59</v>
      </c>
      <c r="J1337" s="24" t="s">
        <v>60</v>
      </c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">
        <v>48.0</v>
      </c>
      <c r="B1338" s="35" t="str">
        <f t="array" ref="B1338">INDEX('Báo cáo 75 trang đích'!$B$2:$B$76,$A1338)</f>
        <v>https://techcombank.com/thong-tin/blog/cach-nhan-tien-tu-nuoc-ngoai-ve-viet-nam</v>
      </c>
      <c r="C1338" s="5" t="str">
        <f t="array" ref="C1338">INDEX('Báo cáo 75 trang đích'!$C$2:$C$76,$A1338)</f>
        <v>FX</v>
      </c>
      <c r="D1338" s="20" t="s">
        <v>1632</v>
      </c>
      <c r="E1338" s="22" t="s">
        <v>302</v>
      </c>
      <c r="F1338" s="22" t="s">
        <v>81</v>
      </c>
      <c r="G1338" s="22" t="s">
        <v>1630</v>
      </c>
      <c r="H1338" s="24" t="s">
        <v>59</v>
      </c>
      <c r="I1338" s="24" t="s">
        <v>59</v>
      </c>
      <c r="J1338" s="24" t="s">
        <v>60</v>
      </c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">
        <v>48.0</v>
      </c>
      <c r="B1339" s="35" t="str">
        <f t="array" ref="B1339">INDEX('Báo cáo 75 trang đích'!$B$2:$B$76,$A1339)</f>
        <v>https://techcombank.com/thong-tin/blog/cach-nhan-tien-tu-nuoc-ngoai-ve-viet-nam</v>
      </c>
      <c r="C1339" s="5" t="str">
        <f t="array" ref="C1339">INDEX('Báo cáo 75 trang đích'!$C$2:$C$76,$A1339)</f>
        <v>FX</v>
      </c>
      <c r="D1339" s="20" t="s">
        <v>1403</v>
      </c>
      <c r="E1339" s="22" t="s">
        <v>948</v>
      </c>
      <c r="F1339" s="22" t="s">
        <v>81</v>
      </c>
      <c r="G1339" s="22" t="s">
        <v>1630</v>
      </c>
      <c r="H1339" s="24" t="s">
        <v>59</v>
      </c>
      <c r="I1339" s="24" t="s">
        <v>59</v>
      </c>
      <c r="J1339" s="24" t="s">
        <v>60</v>
      </c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">
        <v>48.0</v>
      </c>
      <c r="B1340" s="35" t="str">
        <f t="array" ref="B1340">INDEX('Báo cáo 75 trang đích'!$B$2:$B$76,$A1340)</f>
        <v>https://techcombank.com/thong-tin/blog/cach-nhan-tien-tu-nuoc-ngoai-ve-viet-nam</v>
      </c>
      <c r="C1340" s="5" t="str">
        <f t="array" ref="C1340">INDEX('Báo cáo 75 trang đích'!$C$2:$C$76,$A1340)</f>
        <v>FX</v>
      </c>
      <c r="D1340" s="20" t="s">
        <v>838</v>
      </c>
      <c r="E1340" s="22" t="s">
        <v>950</v>
      </c>
      <c r="F1340" s="22" t="s">
        <v>81</v>
      </c>
      <c r="G1340" s="22" t="s">
        <v>1633</v>
      </c>
      <c r="H1340" s="24" t="s">
        <v>59</v>
      </c>
      <c r="I1340" s="24" t="s">
        <v>59</v>
      </c>
      <c r="J1340" s="24" t="s">
        <v>60</v>
      </c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">
        <v>48.0</v>
      </c>
      <c r="B1341" s="35" t="str">
        <f t="array" ref="B1341">INDEX('Báo cáo 75 trang đích'!$B$2:$B$76,$A1341)</f>
        <v>https://techcombank.com/thong-tin/blog/cach-nhan-tien-tu-nuoc-ngoai-ve-viet-nam</v>
      </c>
      <c r="C1341" s="5" t="str">
        <f t="array" ref="C1341">INDEX('Báo cáo 75 trang đích'!$C$2:$C$76,$A1341)</f>
        <v>FX</v>
      </c>
      <c r="D1341" s="20" t="s">
        <v>1470</v>
      </c>
      <c r="E1341" s="22" t="s">
        <v>302</v>
      </c>
      <c r="F1341" s="22" t="s">
        <v>81</v>
      </c>
      <c r="G1341" s="22" t="s">
        <v>1630</v>
      </c>
      <c r="H1341" s="24" t="s">
        <v>59</v>
      </c>
      <c r="I1341" s="24" t="s">
        <v>59</v>
      </c>
      <c r="J1341" s="24" t="s">
        <v>60</v>
      </c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">
        <v>48.0</v>
      </c>
      <c r="B1342" s="35" t="str">
        <f t="array" ref="B1342">INDEX('Báo cáo 75 trang đích'!$B$2:$B$76,$A1342)</f>
        <v>https://techcombank.com/thong-tin/blog/cach-nhan-tien-tu-nuoc-ngoai-ve-viet-nam</v>
      </c>
      <c r="C1342" s="5" t="str">
        <f t="array" ref="C1342">INDEX('Báo cáo 75 trang đích'!$C$2:$C$76,$A1342)</f>
        <v>FX</v>
      </c>
      <c r="D1342" s="20" t="s">
        <v>1634</v>
      </c>
      <c r="E1342" s="22" t="s">
        <v>948</v>
      </c>
      <c r="F1342" s="22" t="s">
        <v>81</v>
      </c>
      <c r="G1342" s="22" t="s">
        <v>1635</v>
      </c>
      <c r="H1342" s="24" t="s">
        <v>59</v>
      </c>
      <c r="I1342" s="24" t="s">
        <v>59</v>
      </c>
      <c r="J1342" s="24" t="s">
        <v>60</v>
      </c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">
        <v>48.0</v>
      </c>
      <c r="B1343" s="35" t="str">
        <f t="array" ref="B1343">INDEX('Báo cáo 75 trang đích'!$B$2:$B$76,$A1343)</f>
        <v>https://techcombank.com/thong-tin/blog/cach-nhan-tien-tu-nuoc-ngoai-ve-viet-nam</v>
      </c>
      <c r="C1343" s="5" t="str">
        <f t="array" ref="C1343">INDEX('Báo cáo 75 trang đích'!$C$2:$C$76,$A1343)</f>
        <v>FX</v>
      </c>
      <c r="D1343" s="20" t="s">
        <v>779</v>
      </c>
      <c r="E1343" s="22" t="s">
        <v>950</v>
      </c>
      <c r="F1343" s="22" t="s">
        <v>81</v>
      </c>
      <c r="G1343" s="22" t="s">
        <v>1630</v>
      </c>
      <c r="H1343" s="24" t="s">
        <v>59</v>
      </c>
      <c r="I1343" s="24" t="s">
        <v>59</v>
      </c>
      <c r="J1343" s="24" t="s">
        <v>60</v>
      </c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">
        <v>48.0</v>
      </c>
      <c r="B1344" s="35" t="str">
        <f t="array" ref="B1344">INDEX('Báo cáo 75 trang đích'!$B$2:$B$76,$A1344)</f>
        <v>https://techcombank.com/thong-tin/blog/cach-nhan-tien-tu-nuoc-ngoai-ve-viet-nam</v>
      </c>
      <c r="C1344" s="5" t="str">
        <f t="array" ref="C1344">INDEX('Báo cáo 75 trang đích'!$C$2:$C$76,$A1344)</f>
        <v>FX</v>
      </c>
      <c r="D1344" s="20" t="s">
        <v>1071</v>
      </c>
      <c r="E1344" s="22" t="s">
        <v>302</v>
      </c>
      <c r="F1344" s="22" t="s">
        <v>81</v>
      </c>
      <c r="G1344" s="22" t="s">
        <v>1630</v>
      </c>
      <c r="H1344" s="24" t="s">
        <v>59</v>
      </c>
      <c r="I1344" s="24" t="s">
        <v>59</v>
      </c>
      <c r="J1344" s="24" t="s">
        <v>60</v>
      </c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">
        <v>48.0</v>
      </c>
      <c r="B1345" s="35" t="str">
        <f t="array" ref="B1345">INDEX('Báo cáo 75 trang đích'!$B$2:$B$76,$A1345)</f>
        <v>https://techcombank.com/thong-tin/blog/cach-nhan-tien-tu-nuoc-ngoai-ve-viet-nam</v>
      </c>
      <c r="C1345" s="5" t="str">
        <f t="array" ref="C1345">INDEX('Báo cáo 75 trang đích'!$C$2:$C$76,$A1345)</f>
        <v>FX</v>
      </c>
      <c r="D1345" s="20" t="s">
        <v>720</v>
      </c>
      <c r="E1345" s="22" t="s">
        <v>948</v>
      </c>
      <c r="F1345" s="22" t="s">
        <v>81</v>
      </c>
      <c r="G1345" s="22" t="s">
        <v>1630</v>
      </c>
      <c r="H1345" s="24" t="s">
        <v>59</v>
      </c>
      <c r="I1345" s="24" t="s">
        <v>59</v>
      </c>
      <c r="J1345" s="24" t="s">
        <v>60</v>
      </c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">
        <v>48.0</v>
      </c>
      <c r="B1346" s="35" t="str">
        <f t="array" ref="B1346">INDEX('Báo cáo 75 trang đích'!$B$2:$B$76,$A1346)</f>
        <v>https://techcombank.com/thong-tin/blog/cach-nhan-tien-tu-nuoc-ngoai-ve-viet-nam</v>
      </c>
      <c r="C1346" s="5" t="str">
        <f t="array" ref="C1346">INDEX('Báo cáo 75 trang đích'!$C$2:$C$76,$A1346)</f>
        <v>FX</v>
      </c>
      <c r="D1346" s="20" t="s">
        <v>1636</v>
      </c>
      <c r="E1346" s="22" t="s">
        <v>950</v>
      </c>
      <c r="F1346" s="22" t="s">
        <v>81</v>
      </c>
      <c r="G1346" s="22" t="s">
        <v>1637</v>
      </c>
      <c r="H1346" s="24" t="s">
        <v>59</v>
      </c>
      <c r="I1346" s="24" t="s">
        <v>59</v>
      </c>
      <c r="J1346" s="24" t="s">
        <v>60</v>
      </c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">
        <v>48.0</v>
      </c>
      <c r="B1347" s="35" t="str">
        <f t="array" ref="B1347">INDEX('Báo cáo 75 trang đích'!$B$2:$B$76,$A1347)</f>
        <v>https://techcombank.com/thong-tin/blog/cach-nhan-tien-tu-nuoc-ngoai-ve-viet-nam</v>
      </c>
      <c r="C1347" s="5" t="str">
        <f t="array" ref="C1347">INDEX('Báo cáo 75 trang đích'!$C$2:$C$76,$A1347)</f>
        <v>FX</v>
      </c>
      <c r="D1347" s="20" t="s">
        <v>885</v>
      </c>
      <c r="E1347" s="22" t="s">
        <v>302</v>
      </c>
      <c r="F1347" s="22" t="s">
        <v>81</v>
      </c>
      <c r="G1347" s="22" t="s">
        <v>1635</v>
      </c>
      <c r="H1347" s="24" t="s">
        <v>59</v>
      </c>
      <c r="I1347" s="24" t="s">
        <v>59</v>
      </c>
      <c r="J1347" s="24" t="s">
        <v>60</v>
      </c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">
        <v>48.0</v>
      </c>
      <c r="B1348" s="35" t="str">
        <f t="array" ref="B1348">INDEX('Báo cáo 75 trang đích'!$B$2:$B$76,$A1348)</f>
        <v>https://techcombank.com/thong-tin/blog/cach-nhan-tien-tu-nuoc-ngoai-ve-viet-nam</v>
      </c>
      <c r="C1348" s="5" t="str">
        <f t="array" ref="C1348">INDEX('Báo cáo 75 trang đích'!$C$2:$C$76,$A1348)</f>
        <v>FX</v>
      </c>
      <c r="D1348" s="20" t="s">
        <v>931</v>
      </c>
      <c r="E1348" s="22" t="s">
        <v>948</v>
      </c>
      <c r="F1348" s="22" t="s">
        <v>81</v>
      </c>
      <c r="G1348" s="22" t="s">
        <v>1637</v>
      </c>
      <c r="H1348" s="24" t="s">
        <v>59</v>
      </c>
      <c r="I1348" s="24" t="s">
        <v>59</v>
      </c>
      <c r="J1348" s="24" t="s">
        <v>60</v>
      </c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">
        <v>48.0</v>
      </c>
      <c r="B1349" s="35" t="str">
        <f t="array" ref="B1349">INDEX('Báo cáo 75 trang đích'!$B$2:$B$76,$A1349)</f>
        <v>https://techcombank.com/thong-tin/blog/cach-nhan-tien-tu-nuoc-ngoai-ve-viet-nam</v>
      </c>
      <c r="C1349" s="5" t="str">
        <f t="array" ref="C1349">INDEX('Báo cáo 75 trang đích'!$C$2:$C$76,$A1349)</f>
        <v>FX</v>
      </c>
      <c r="D1349" s="20" t="s">
        <v>913</v>
      </c>
      <c r="E1349" s="22" t="s">
        <v>950</v>
      </c>
      <c r="F1349" s="22" t="s">
        <v>81</v>
      </c>
      <c r="G1349" s="22" t="s">
        <v>1635</v>
      </c>
      <c r="H1349" s="24" t="s">
        <v>59</v>
      </c>
      <c r="I1349" s="24" t="s">
        <v>59</v>
      </c>
      <c r="J1349" s="24" t="s">
        <v>60</v>
      </c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">
        <v>48.0</v>
      </c>
      <c r="B1350" s="35" t="str">
        <f t="array" ref="B1350">INDEX('Báo cáo 75 trang đích'!$B$2:$B$76,$A1350)</f>
        <v>https://techcombank.com/thong-tin/blog/cach-nhan-tien-tu-nuoc-ngoai-ve-viet-nam</v>
      </c>
      <c r="C1350" s="5" t="str">
        <f t="array" ref="C1350">INDEX('Báo cáo 75 trang đích'!$C$2:$C$76,$A1350)</f>
        <v>FX</v>
      </c>
      <c r="D1350" s="20" t="s">
        <v>907</v>
      </c>
      <c r="E1350" s="22" t="s">
        <v>302</v>
      </c>
      <c r="F1350" s="22" t="s">
        <v>81</v>
      </c>
      <c r="G1350" s="22" t="s">
        <v>1630</v>
      </c>
      <c r="H1350" s="24" t="s">
        <v>59</v>
      </c>
      <c r="I1350" s="24" t="s">
        <v>59</v>
      </c>
      <c r="J1350" s="24" t="s">
        <v>60</v>
      </c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">
        <v>48.0</v>
      </c>
      <c r="B1351" s="35" t="str">
        <f t="array" ref="B1351">INDEX('Báo cáo 75 trang đích'!$B$2:$B$76,$A1351)</f>
        <v>https://techcombank.com/thong-tin/blog/cach-nhan-tien-tu-nuoc-ngoai-ve-viet-nam</v>
      </c>
      <c r="C1351" s="5" t="str">
        <f t="array" ref="C1351">INDEX('Báo cáo 75 trang đích'!$C$2:$C$76,$A1351)</f>
        <v>FX</v>
      </c>
      <c r="D1351" s="20" t="s">
        <v>1638</v>
      </c>
      <c r="E1351" s="22" t="s">
        <v>948</v>
      </c>
      <c r="F1351" s="22" t="s">
        <v>81</v>
      </c>
      <c r="G1351" s="22" t="s">
        <v>1630</v>
      </c>
      <c r="H1351" s="24" t="s">
        <v>59</v>
      </c>
      <c r="I1351" s="24" t="s">
        <v>59</v>
      </c>
      <c r="J1351" s="24" t="s">
        <v>60</v>
      </c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">
        <v>48.0</v>
      </c>
      <c r="B1352" s="35" t="str">
        <f t="array" ref="B1352">INDEX('Báo cáo 75 trang đích'!$B$2:$B$76,$A1352)</f>
        <v>https://techcombank.com/thong-tin/blog/cach-nhan-tien-tu-nuoc-ngoai-ve-viet-nam</v>
      </c>
      <c r="C1352" s="5" t="str">
        <f t="array" ref="C1352">INDEX('Báo cáo 75 trang đích'!$C$2:$C$76,$A1352)</f>
        <v>FX</v>
      </c>
      <c r="D1352" s="20" t="s">
        <v>891</v>
      </c>
      <c r="E1352" s="22" t="s">
        <v>950</v>
      </c>
      <c r="F1352" s="22" t="s">
        <v>81</v>
      </c>
      <c r="G1352" s="22" t="s">
        <v>1630</v>
      </c>
      <c r="H1352" s="24" t="s">
        <v>59</v>
      </c>
      <c r="I1352" s="24" t="s">
        <v>59</v>
      </c>
      <c r="J1352" s="24" t="s">
        <v>60</v>
      </c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">
        <v>48.0</v>
      </c>
      <c r="B1353" s="35" t="str">
        <f t="array" ref="B1353">INDEX('Báo cáo 75 trang đích'!$B$2:$B$76,$A1353)</f>
        <v>https://techcombank.com/thong-tin/blog/cach-nhan-tien-tu-nuoc-ngoai-ve-viet-nam</v>
      </c>
      <c r="C1353" s="5" t="str">
        <f t="array" ref="C1353">INDEX('Báo cáo 75 trang đích'!$C$2:$C$76,$A1353)</f>
        <v>FX</v>
      </c>
      <c r="D1353" s="20" t="s">
        <v>1639</v>
      </c>
      <c r="E1353" s="22" t="s">
        <v>302</v>
      </c>
      <c r="F1353" s="22" t="s">
        <v>81</v>
      </c>
      <c r="G1353" s="22" t="s">
        <v>1635</v>
      </c>
      <c r="H1353" s="24" t="s">
        <v>59</v>
      </c>
      <c r="I1353" s="24" t="s">
        <v>59</v>
      </c>
      <c r="J1353" s="24" t="s">
        <v>60</v>
      </c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">
        <v>48.0</v>
      </c>
      <c r="B1354" s="35" t="str">
        <f t="array" ref="B1354">INDEX('Báo cáo 75 trang đích'!$B$2:$B$76,$A1354)</f>
        <v>https://techcombank.com/thong-tin/blog/cach-nhan-tien-tu-nuoc-ngoai-ve-viet-nam</v>
      </c>
      <c r="C1354" s="5" t="str">
        <f t="array" ref="C1354">INDEX('Báo cáo 75 trang đích'!$C$2:$C$76,$A1354)</f>
        <v>FX</v>
      </c>
      <c r="D1354" s="20" t="s">
        <v>929</v>
      </c>
      <c r="E1354" s="22" t="s">
        <v>948</v>
      </c>
      <c r="F1354" s="22" t="s">
        <v>81</v>
      </c>
      <c r="G1354" s="22" t="s">
        <v>1637</v>
      </c>
      <c r="H1354" s="24" t="s">
        <v>59</v>
      </c>
      <c r="I1354" s="24" t="s">
        <v>59</v>
      </c>
      <c r="J1354" s="24" t="s">
        <v>60</v>
      </c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">
        <v>48.0</v>
      </c>
      <c r="B1355" s="35" t="str">
        <f t="array" ref="B1355">INDEX('Báo cáo 75 trang đích'!$B$2:$B$76,$A1355)</f>
        <v>https://techcombank.com/thong-tin/blog/cach-nhan-tien-tu-nuoc-ngoai-ve-viet-nam</v>
      </c>
      <c r="C1355" s="5" t="str">
        <f t="array" ref="C1355">INDEX('Báo cáo 75 trang đích'!$C$2:$C$76,$A1355)</f>
        <v>FX</v>
      </c>
      <c r="D1355" s="20" t="s">
        <v>901</v>
      </c>
      <c r="E1355" s="22" t="s">
        <v>950</v>
      </c>
      <c r="F1355" s="22" t="s">
        <v>81</v>
      </c>
      <c r="G1355" s="22" t="s">
        <v>1637</v>
      </c>
      <c r="H1355" s="24" t="s">
        <v>59</v>
      </c>
      <c r="I1355" s="24" t="s">
        <v>59</v>
      </c>
      <c r="J1355" s="24" t="s">
        <v>60</v>
      </c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">
        <v>48.0</v>
      </c>
      <c r="B1356" s="35" t="str">
        <f t="array" ref="B1356">INDEX('Báo cáo 75 trang đích'!$B$2:$B$76,$A1356)</f>
        <v>https://techcombank.com/thong-tin/blog/cach-nhan-tien-tu-nuoc-ngoai-ve-viet-nam</v>
      </c>
      <c r="C1356" s="5" t="str">
        <f t="array" ref="C1356">INDEX('Báo cáo 75 trang đích'!$C$2:$C$76,$A1356)</f>
        <v>FX</v>
      </c>
      <c r="D1356" s="20" t="s">
        <v>905</v>
      </c>
      <c r="E1356" s="22" t="s">
        <v>302</v>
      </c>
      <c r="F1356" s="22" t="s">
        <v>81</v>
      </c>
      <c r="G1356" s="22" t="s">
        <v>1635</v>
      </c>
      <c r="H1356" s="24" t="s">
        <v>59</v>
      </c>
      <c r="I1356" s="24" t="s">
        <v>59</v>
      </c>
      <c r="J1356" s="24" t="s">
        <v>60</v>
      </c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">
        <v>48.0</v>
      </c>
      <c r="B1357" s="35" t="str">
        <f t="array" ref="B1357">INDEX('Báo cáo 75 trang đích'!$B$2:$B$76,$A1357)</f>
        <v>https://techcombank.com/thong-tin/blog/cach-nhan-tien-tu-nuoc-ngoai-ve-viet-nam</v>
      </c>
      <c r="C1357" s="5" t="str">
        <f t="array" ref="C1357">INDEX('Báo cáo 75 trang đích'!$C$2:$C$76,$A1357)</f>
        <v>FX</v>
      </c>
      <c r="D1357" s="20" t="s">
        <v>1640</v>
      </c>
      <c r="E1357" s="22" t="s">
        <v>948</v>
      </c>
      <c r="F1357" s="22" t="s">
        <v>81</v>
      </c>
      <c r="G1357" s="22" t="s">
        <v>1630</v>
      </c>
      <c r="H1357" s="24" t="s">
        <v>59</v>
      </c>
      <c r="I1357" s="24" t="s">
        <v>59</v>
      </c>
      <c r="J1357" s="24" t="s">
        <v>60</v>
      </c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">
        <v>48.0</v>
      </c>
      <c r="B1358" s="35" t="str">
        <f t="array" ref="B1358">INDEX('Báo cáo 75 trang đích'!$B$2:$B$76,$A1358)</f>
        <v>https://techcombank.com/thong-tin/blog/cach-nhan-tien-tu-nuoc-ngoai-ve-viet-nam</v>
      </c>
      <c r="C1358" s="5" t="str">
        <f t="array" ref="C1358">INDEX('Báo cáo 75 trang đích'!$C$2:$C$76,$A1358)</f>
        <v>FX</v>
      </c>
      <c r="D1358" s="20" t="s">
        <v>1641</v>
      </c>
      <c r="E1358" s="22" t="s">
        <v>950</v>
      </c>
      <c r="F1358" s="22" t="s">
        <v>81</v>
      </c>
      <c r="G1358" s="22" t="s">
        <v>1630</v>
      </c>
      <c r="H1358" s="24" t="s">
        <v>59</v>
      </c>
      <c r="I1358" s="24" t="s">
        <v>59</v>
      </c>
      <c r="J1358" s="24" t="s">
        <v>60</v>
      </c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">
        <v>48.0</v>
      </c>
      <c r="B1359" s="35" t="str">
        <f t="array" ref="B1359">INDEX('Báo cáo 75 trang đích'!$B$2:$B$76,$A1359)</f>
        <v>https://techcombank.com/thong-tin/blog/cach-nhan-tien-tu-nuoc-ngoai-ve-viet-nam</v>
      </c>
      <c r="C1359" s="5" t="str">
        <f t="array" ref="C1359">INDEX('Báo cáo 75 trang đích'!$C$2:$C$76,$A1359)</f>
        <v>FX</v>
      </c>
      <c r="D1359" s="20" t="s">
        <v>920</v>
      </c>
      <c r="E1359" s="22" t="s">
        <v>302</v>
      </c>
      <c r="F1359" s="22" t="s">
        <v>81</v>
      </c>
      <c r="G1359" s="22" t="s">
        <v>1635</v>
      </c>
      <c r="H1359" s="24" t="s">
        <v>59</v>
      </c>
      <c r="I1359" s="24" t="s">
        <v>59</v>
      </c>
      <c r="J1359" s="24" t="s">
        <v>60</v>
      </c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">
        <v>48.0</v>
      </c>
      <c r="B1360" s="35" t="str">
        <f t="array" ref="B1360">INDEX('Báo cáo 75 trang đích'!$B$2:$B$76,$A1360)</f>
        <v>https://techcombank.com/thong-tin/blog/cach-nhan-tien-tu-nuoc-ngoai-ve-viet-nam</v>
      </c>
      <c r="C1360" s="5" t="str">
        <f t="array" ref="C1360">INDEX('Báo cáo 75 trang đích'!$C$2:$C$76,$A1360)</f>
        <v>FX</v>
      </c>
      <c r="D1360" s="20" t="s">
        <v>1618</v>
      </c>
      <c r="E1360" s="22" t="s">
        <v>948</v>
      </c>
      <c r="F1360" s="22" t="s">
        <v>81</v>
      </c>
      <c r="G1360" s="22" t="s">
        <v>1642</v>
      </c>
      <c r="H1360" s="24" t="s">
        <v>59</v>
      </c>
      <c r="I1360" s="24" t="s">
        <v>59</v>
      </c>
      <c r="J1360" s="24" t="s">
        <v>60</v>
      </c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">
        <v>48.0</v>
      </c>
      <c r="B1361" s="35" t="str">
        <f t="array" ref="B1361">INDEX('Báo cáo 75 trang đích'!$B$2:$B$76,$A1361)</f>
        <v>https://techcombank.com/thong-tin/blog/cach-nhan-tien-tu-nuoc-ngoai-ve-viet-nam</v>
      </c>
      <c r="C1361" s="5" t="str">
        <f t="array" ref="C1361">INDEX('Báo cáo 75 trang đích'!$C$2:$C$76,$A1361)</f>
        <v>FX</v>
      </c>
      <c r="D1361" s="20" t="s">
        <v>942</v>
      </c>
      <c r="E1361" s="22" t="s">
        <v>950</v>
      </c>
      <c r="F1361" s="22" t="s">
        <v>81</v>
      </c>
      <c r="G1361" s="22" t="s">
        <v>1630</v>
      </c>
      <c r="H1361" s="24" t="s">
        <v>59</v>
      </c>
      <c r="I1361" s="24" t="s">
        <v>59</v>
      </c>
      <c r="J1361" s="24" t="s">
        <v>60</v>
      </c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">
        <v>48.0</v>
      </c>
      <c r="B1362" s="35" t="str">
        <f t="array" ref="B1362">INDEX('Báo cáo 75 trang đích'!$B$2:$B$76,$A1362)</f>
        <v>https://techcombank.com/thong-tin/blog/cach-nhan-tien-tu-nuoc-ngoai-ve-viet-nam</v>
      </c>
      <c r="C1362" s="5" t="str">
        <f t="array" ref="C1362">INDEX('Báo cáo 75 trang đích'!$C$2:$C$76,$A1362)</f>
        <v>FX</v>
      </c>
      <c r="D1362" s="20" t="s">
        <v>886</v>
      </c>
      <c r="E1362" s="22" t="s">
        <v>302</v>
      </c>
      <c r="F1362" s="22" t="s">
        <v>81</v>
      </c>
      <c r="G1362" s="22" t="s">
        <v>1630</v>
      </c>
      <c r="H1362" s="24" t="s">
        <v>59</v>
      </c>
      <c r="I1362" s="24" t="s">
        <v>59</v>
      </c>
      <c r="J1362" s="24" t="s">
        <v>60</v>
      </c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">
        <v>48.0</v>
      </c>
      <c r="B1363" s="35" t="str">
        <f t="array" ref="B1363">INDEX('Báo cáo 75 trang đích'!$B$2:$B$76,$A1363)</f>
        <v>https://techcombank.com/thong-tin/blog/cach-nhan-tien-tu-nuoc-ngoai-ve-viet-nam</v>
      </c>
      <c r="C1363" s="5" t="str">
        <f t="array" ref="C1363">INDEX('Báo cáo 75 trang đích'!$C$2:$C$76,$A1363)</f>
        <v>FX</v>
      </c>
      <c r="D1363" s="20" t="s">
        <v>864</v>
      </c>
      <c r="E1363" s="22" t="s">
        <v>948</v>
      </c>
      <c r="F1363" s="22" t="s">
        <v>81</v>
      </c>
      <c r="G1363" s="22" t="s">
        <v>1630</v>
      </c>
      <c r="H1363" s="24" t="s">
        <v>59</v>
      </c>
      <c r="I1363" s="24" t="s">
        <v>59</v>
      </c>
      <c r="J1363" s="24" t="s">
        <v>60</v>
      </c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">
        <v>49.0</v>
      </c>
      <c r="B1364" s="35" t="str">
        <f t="array" ref="B1364">INDEX('Báo cáo 75 trang đích'!$B$2:$B$76,$A1364)</f>
        <v>https://techcombank.com/thong-tin/blog/doi-tien-do-o-dau</v>
      </c>
      <c r="C1364" s="5" t="str">
        <f t="array" ref="C1364">INDEX('Báo cáo 75 trang đích'!$C$2:$C$76,$A1364)</f>
        <v>FX</v>
      </c>
      <c r="D1364" s="20" t="s">
        <v>866</v>
      </c>
      <c r="E1364" s="22" t="s">
        <v>310</v>
      </c>
      <c r="F1364" s="22" t="s">
        <v>57</v>
      </c>
      <c r="G1364" s="22" t="s">
        <v>1643</v>
      </c>
      <c r="H1364" s="24" t="s">
        <v>59</v>
      </c>
      <c r="I1364" s="24" t="s">
        <v>59</v>
      </c>
      <c r="J1364" s="24" t="s">
        <v>60</v>
      </c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">
        <v>49.0</v>
      </c>
      <c r="B1365" s="35" t="str">
        <f t="array" ref="B1365">INDEX('Báo cáo 75 trang đích'!$B$2:$B$76,$A1365)</f>
        <v>https://techcombank.com/thong-tin/blog/doi-tien-do-o-dau</v>
      </c>
      <c r="C1365" s="5" t="str">
        <f t="array" ref="C1365">INDEX('Báo cáo 75 trang đích'!$C$2:$C$76,$A1365)</f>
        <v>FX</v>
      </c>
      <c r="D1365" s="20" t="s">
        <v>913</v>
      </c>
      <c r="E1365" s="22" t="s">
        <v>955</v>
      </c>
      <c r="F1365" s="22" t="s">
        <v>57</v>
      </c>
      <c r="G1365" s="22" t="s">
        <v>1644</v>
      </c>
      <c r="H1365" s="24" t="s">
        <v>59</v>
      </c>
      <c r="I1365" s="24" t="s">
        <v>59</v>
      </c>
      <c r="J1365" s="24" t="s">
        <v>60</v>
      </c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">
        <v>49.0</v>
      </c>
      <c r="B1366" s="35" t="str">
        <f t="array" ref="B1366">INDEX('Báo cáo 75 trang đích'!$B$2:$B$76,$A1366)</f>
        <v>https://techcombank.com/thong-tin/blog/doi-tien-do-o-dau</v>
      </c>
      <c r="C1366" s="5" t="str">
        <f t="array" ref="C1366">INDEX('Báo cáo 75 trang đích'!$C$2:$C$76,$A1366)</f>
        <v>FX</v>
      </c>
      <c r="D1366" s="20" t="s">
        <v>745</v>
      </c>
      <c r="E1366" s="22" t="s">
        <v>310</v>
      </c>
      <c r="F1366" s="22" t="s">
        <v>76</v>
      </c>
      <c r="G1366" s="22" t="s">
        <v>1645</v>
      </c>
      <c r="H1366" s="24" t="s">
        <v>59</v>
      </c>
      <c r="I1366" s="24" t="s">
        <v>59</v>
      </c>
      <c r="J1366" s="24" t="s">
        <v>60</v>
      </c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">
        <v>49.0</v>
      </c>
      <c r="B1367" s="35" t="str">
        <f t="array" ref="B1367">INDEX('Báo cáo 75 trang đích'!$B$2:$B$76,$A1367)</f>
        <v>https://techcombank.com/thong-tin/blog/doi-tien-do-o-dau</v>
      </c>
      <c r="C1367" s="5" t="str">
        <f t="array" ref="C1367">INDEX('Báo cáo 75 trang đích'!$C$2:$C$76,$A1367)</f>
        <v>FX</v>
      </c>
      <c r="D1367" s="20" t="s">
        <v>929</v>
      </c>
      <c r="E1367" s="22" t="s">
        <v>955</v>
      </c>
      <c r="F1367" s="22" t="s">
        <v>76</v>
      </c>
      <c r="G1367" s="22" t="s">
        <v>1646</v>
      </c>
      <c r="H1367" s="24" t="s">
        <v>59</v>
      </c>
      <c r="I1367" s="24" t="s">
        <v>59</v>
      </c>
      <c r="J1367" s="24" t="s">
        <v>60</v>
      </c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">
        <v>49.0</v>
      </c>
      <c r="B1368" s="35" t="str">
        <f t="array" ref="B1368">INDEX('Báo cáo 75 trang đích'!$B$2:$B$76,$A1368)</f>
        <v>https://techcombank.com/thong-tin/blog/doi-tien-do-o-dau</v>
      </c>
      <c r="C1368" s="5" t="str">
        <f t="array" ref="C1368">INDEX('Báo cáo 75 trang đích'!$C$2:$C$76,$A1368)</f>
        <v>FX</v>
      </c>
      <c r="D1368" s="20" t="s">
        <v>267</v>
      </c>
      <c r="E1368" s="22" t="s">
        <v>310</v>
      </c>
      <c r="F1368" s="22" t="s">
        <v>76</v>
      </c>
      <c r="G1368" s="22" t="s">
        <v>1647</v>
      </c>
      <c r="H1368" s="24" t="s">
        <v>59</v>
      </c>
      <c r="I1368" s="24" t="s">
        <v>59</v>
      </c>
      <c r="J1368" s="24" t="s">
        <v>60</v>
      </c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">
        <v>49.0</v>
      </c>
      <c r="B1369" s="35" t="str">
        <f t="array" ref="B1369">INDEX('Báo cáo 75 trang đích'!$B$2:$B$76,$A1369)</f>
        <v>https://techcombank.com/thong-tin/blog/doi-tien-do-o-dau</v>
      </c>
      <c r="C1369" s="5" t="str">
        <f t="array" ref="C1369">INDEX('Báo cáo 75 trang đích'!$C$2:$C$76,$A1369)</f>
        <v>FX</v>
      </c>
      <c r="D1369" s="20" t="s">
        <v>694</v>
      </c>
      <c r="E1369" s="22" t="s">
        <v>955</v>
      </c>
      <c r="F1369" s="22" t="s">
        <v>81</v>
      </c>
      <c r="G1369" s="22" t="s">
        <v>1648</v>
      </c>
      <c r="H1369" s="24" t="s">
        <v>59</v>
      </c>
      <c r="I1369" s="24" t="s">
        <v>59</v>
      </c>
      <c r="J1369" s="24" t="s">
        <v>60</v>
      </c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">
        <v>49.0</v>
      </c>
      <c r="B1370" s="35" t="str">
        <f t="array" ref="B1370">INDEX('Báo cáo 75 trang đích'!$B$2:$B$76,$A1370)</f>
        <v>https://techcombank.com/thong-tin/blog/doi-tien-do-o-dau</v>
      </c>
      <c r="C1370" s="5" t="str">
        <f t="array" ref="C1370">INDEX('Báo cáo 75 trang đích'!$C$2:$C$76,$A1370)</f>
        <v>FX</v>
      </c>
      <c r="D1370" s="20" t="s">
        <v>885</v>
      </c>
      <c r="E1370" s="22" t="s">
        <v>310</v>
      </c>
      <c r="F1370" s="22" t="s">
        <v>81</v>
      </c>
      <c r="G1370" s="22" t="s">
        <v>1648</v>
      </c>
      <c r="H1370" s="24" t="s">
        <v>59</v>
      </c>
      <c r="I1370" s="24" t="s">
        <v>59</v>
      </c>
      <c r="J1370" s="24" t="s">
        <v>60</v>
      </c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">
        <v>49.0</v>
      </c>
      <c r="B1371" s="35" t="str">
        <f t="array" ref="B1371">INDEX('Báo cáo 75 trang đích'!$B$2:$B$76,$A1371)</f>
        <v>https://techcombank.com/thong-tin/blog/doi-tien-do-o-dau</v>
      </c>
      <c r="C1371" s="5" t="str">
        <f t="array" ref="C1371">INDEX('Báo cáo 75 trang đích'!$C$2:$C$76,$A1371)</f>
        <v>FX</v>
      </c>
      <c r="D1371" s="20" t="s">
        <v>907</v>
      </c>
      <c r="E1371" s="22" t="s">
        <v>955</v>
      </c>
      <c r="F1371" s="22" t="s">
        <v>81</v>
      </c>
      <c r="G1371" s="22" t="s">
        <v>1648</v>
      </c>
      <c r="H1371" s="24" t="s">
        <v>59</v>
      </c>
      <c r="I1371" s="24" t="s">
        <v>59</v>
      </c>
      <c r="J1371" s="24" t="s">
        <v>60</v>
      </c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">
        <v>49.0</v>
      </c>
      <c r="B1372" s="35" t="str">
        <f t="array" ref="B1372">INDEX('Báo cáo 75 trang đích'!$B$2:$B$76,$A1372)</f>
        <v>https://techcombank.com/thong-tin/blog/doi-tien-do-o-dau</v>
      </c>
      <c r="C1372" s="5" t="str">
        <f t="array" ref="C1372">INDEX('Báo cáo 75 trang đích'!$C$2:$C$76,$A1372)</f>
        <v>FX</v>
      </c>
      <c r="D1372" s="20" t="s">
        <v>495</v>
      </c>
      <c r="E1372" s="22" t="s">
        <v>310</v>
      </c>
      <c r="F1372" s="22" t="s">
        <v>81</v>
      </c>
      <c r="G1372" s="22" t="s">
        <v>1648</v>
      </c>
      <c r="H1372" s="24" t="s">
        <v>59</v>
      </c>
      <c r="I1372" s="24" t="s">
        <v>59</v>
      </c>
      <c r="J1372" s="24" t="s">
        <v>60</v>
      </c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">
        <v>49.0</v>
      </c>
      <c r="B1373" s="35" t="str">
        <f t="array" ref="B1373">INDEX('Báo cáo 75 trang đích'!$B$2:$B$76,$A1373)</f>
        <v>https://techcombank.com/thong-tin/blog/doi-tien-do-o-dau</v>
      </c>
      <c r="C1373" s="5" t="str">
        <f t="array" ref="C1373">INDEX('Báo cáo 75 trang đích'!$C$2:$C$76,$A1373)</f>
        <v>FX</v>
      </c>
      <c r="D1373" s="20" t="s">
        <v>872</v>
      </c>
      <c r="E1373" s="22" t="s">
        <v>955</v>
      </c>
      <c r="F1373" s="22" t="s">
        <v>81</v>
      </c>
      <c r="G1373" s="22" t="s">
        <v>1616</v>
      </c>
      <c r="H1373" s="24" t="s">
        <v>59</v>
      </c>
      <c r="I1373" s="24" t="s">
        <v>59</v>
      </c>
      <c r="J1373" s="24" t="s">
        <v>60</v>
      </c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">
        <v>49.0</v>
      </c>
      <c r="B1374" s="35" t="str">
        <f t="array" ref="B1374">INDEX('Báo cáo 75 trang đích'!$B$2:$B$76,$A1374)</f>
        <v>https://techcombank.com/thong-tin/blog/doi-tien-do-o-dau</v>
      </c>
      <c r="C1374" s="5" t="str">
        <f t="array" ref="C1374">INDEX('Báo cáo 75 trang đích'!$C$2:$C$76,$A1374)</f>
        <v>FX</v>
      </c>
      <c r="D1374" s="20" t="s">
        <v>1552</v>
      </c>
      <c r="E1374" s="22" t="s">
        <v>310</v>
      </c>
      <c r="F1374" s="22" t="s">
        <v>81</v>
      </c>
      <c r="G1374" s="22" t="s">
        <v>1574</v>
      </c>
      <c r="H1374" s="24" t="s">
        <v>59</v>
      </c>
      <c r="I1374" s="24" t="s">
        <v>59</v>
      </c>
      <c r="J1374" s="24" t="s">
        <v>60</v>
      </c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">
        <v>49.0</v>
      </c>
      <c r="B1375" s="35" t="str">
        <f t="array" ref="B1375">INDEX('Báo cáo 75 trang đích'!$B$2:$B$76,$A1375)</f>
        <v>https://techcombank.com/thong-tin/blog/doi-tien-do-o-dau</v>
      </c>
      <c r="C1375" s="5" t="str">
        <f t="array" ref="C1375">INDEX('Báo cáo 75 trang đích'!$C$2:$C$76,$A1375)</f>
        <v>FX</v>
      </c>
      <c r="D1375" s="20" t="s">
        <v>905</v>
      </c>
      <c r="E1375" s="22" t="s">
        <v>955</v>
      </c>
      <c r="F1375" s="22" t="s">
        <v>81</v>
      </c>
      <c r="G1375" s="22" t="s">
        <v>1649</v>
      </c>
      <c r="H1375" s="24" t="s">
        <v>59</v>
      </c>
      <c r="I1375" s="24" t="s">
        <v>59</v>
      </c>
      <c r="J1375" s="24" t="s">
        <v>60</v>
      </c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">
        <v>49.0</v>
      </c>
      <c r="B1376" s="35" t="str">
        <f t="array" ref="B1376">INDEX('Báo cáo 75 trang đích'!$B$2:$B$76,$A1376)</f>
        <v>https://techcombank.com/thong-tin/blog/doi-tien-do-o-dau</v>
      </c>
      <c r="C1376" s="5" t="str">
        <f t="array" ref="C1376">INDEX('Báo cáo 75 trang đích'!$C$2:$C$76,$A1376)</f>
        <v>FX</v>
      </c>
      <c r="D1376" s="20" t="s">
        <v>1564</v>
      </c>
      <c r="E1376" s="22" t="s">
        <v>310</v>
      </c>
      <c r="F1376" s="22" t="s">
        <v>81</v>
      </c>
      <c r="G1376" s="22" t="s">
        <v>1648</v>
      </c>
      <c r="H1376" s="24" t="s">
        <v>59</v>
      </c>
      <c r="I1376" s="24" t="s">
        <v>59</v>
      </c>
      <c r="J1376" s="24" t="s">
        <v>60</v>
      </c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">
        <v>49.0</v>
      </c>
      <c r="B1377" s="35" t="str">
        <f t="array" ref="B1377">INDEX('Báo cáo 75 trang đích'!$B$2:$B$76,$A1377)</f>
        <v>https://techcombank.com/thong-tin/blog/doi-tien-do-o-dau</v>
      </c>
      <c r="C1377" s="5" t="str">
        <f t="array" ref="C1377">INDEX('Báo cáo 75 trang đích'!$C$2:$C$76,$A1377)</f>
        <v>FX</v>
      </c>
      <c r="D1377" s="20" t="s">
        <v>1640</v>
      </c>
      <c r="E1377" s="22" t="s">
        <v>955</v>
      </c>
      <c r="F1377" s="22" t="s">
        <v>81</v>
      </c>
      <c r="G1377" s="22" t="s">
        <v>1649</v>
      </c>
      <c r="H1377" s="24" t="s">
        <v>59</v>
      </c>
      <c r="I1377" s="24" t="s">
        <v>59</v>
      </c>
      <c r="J1377" s="24" t="s">
        <v>60</v>
      </c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">
        <v>49.0</v>
      </c>
      <c r="B1378" s="35" t="str">
        <f t="array" ref="B1378">INDEX('Báo cáo 75 trang đích'!$B$2:$B$76,$A1378)</f>
        <v>https://techcombank.com/thong-tin/blog/doi-tien-do-o-dau</v>
      </c>
      <c r="C1378" s="5" t="str">
        <f t="array" ref="C1378">INDEX('Báo cáo 75 trang đích'!$C$2:$C$76,$A1378)</f>
        <v>FX</v>
      </c>
      <c r="D1378" s="20" t="s">
        <v>912</v>
      </c>
      <c r="E1378" s="22" t="s">
        <v>310</v>
      </c>
      <c r="F1378" s="22" t="s">
        <v>81</v>
      </c>
      <c r="G1378" s="22" t="s">
        <v>1650</v>
      </c>
      <c r="H1378" s="24" t="s">
        <v>59</v>
      </c>
      <c r="I1378" s="24" t="s">
        <v>59</v>
      </c>
      <c r="J1378" s="24" t="s">
        <v>60</v>
      </c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">
        <v>49.0</v>
      </c>
      <c r="B1379" s="35" t="str">
        <f t="array" ref="B1379">INDEX('Báo cáo 75 trang đích'!$B$2:$B$76,$A1379)</f>
        <v>https://techcombank.com/thong-tin/blog/doi-tien-do-o-dau</v>
      </c>
      <c r="C1379" s="5" t="str">
        <f t="array" ref="C1379">INDEX('Báo cáo 75 trang đích'!$C$2:$C$76,$A1379)</f>
        <v>FX</v>
      </c>
      <c r="D1379" s="20" t="s">
        <v>1641</v>
      </c>
      <c r="E1379" s="22" t="s">
        <v>955</v>
      </c>
      <c r="F1379" s="22" t="s">
        <v>81</v>
      </c>
      <c r="G1379" s="22" t="s">
        <v>1649</v>
      </c>
      <c r="H1379" s="24" t="s">
        <v>59</v>
      </c>
      <c r="I1379" s="24" t="s">
        <v>59</v>
      </c>
      <c r="J1379" s="24" t="s">
        <v>60</v>
      </c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">
        <v>49.0</v>
      </c>
      <c r="B1380" s="35" t="str">
        <f t="array" ref="B1380">INDEX('Báo cáo 75 trang đích'!$B$2:$B$76,$A1380)</f>
        <v>https://techcombank.com/thong-tin/blog/doi-tien-do-o-dau</v>
      </c>
      <c r="C1380" s="5" t="str">
        <f t="array" ref="C1380">INDEX('Báo cáo 75 trang đích'!$C$2:$C$76,$A1380)</f>
        <v>FX</v>
      </c>
      <c r="D1380" s="20" t="s">
        <v>233</v>
      </c>
      <c r="E1380" s="22" t="s">
        <v>310</v>
      </c>
      <c r="F1380" s="22" t="s">
        <v>81</v>
      </c>
      <c r="G1380" s="22" t="s">
        <v>1648</v>
      </c>
      <c r="H1380" s="24" t="s">
        <v>59</v>
      </c>
      <c r="I1380" s="24" t="s">
        <v>59</v>
      </c>
      <c r="J1380" s="24" t="s">
        <v>60</v>
      </c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">
        <v>49.0</v>
      </c>
      <c r="B1381" s="35" t="str">
        <f t="array" ref="B1381">INDEX('Báo cáo 75 trang đích'!$B$2:$B$76,$A1381)</f>
        <v>https://techcombank.com/thong-tin/blog/doi-tien-do-o-dau</v>
      </c>
      <c r="C1381" s="5" t="str">
        <f t="array" ref="C1381">INDEX('Báo cáo 75 trang đích'!$C$2:$C$76,$A1381)</f>
        <v>FX</v>
      </c>
      <c r="D1381" s="20" t="s">
        <v>1651</v>
      </c>
      <c r="E1381" s="22" t="s">
        <v>955</v>
      </c>
      <c r="F1381" s="22" t="s">
        <v>81</v>
      </c>
      <c r="G1381" s="22" t="s">
        <v>1649</v>
      </c>
      <c r="H1381" s="24" t="s">
        <v>59</v>
      </c>
      <c r="I1381" s="24" t="s">
        <v>59</v>
      </c>
      <c r="J1381" s="24" t="s">
        <v>60</v>
      </c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">
        <v>49.0</v>
      </c>
      <c r="B1382" s="35" t="str">
        <f t="array" ref="B1382">INDEX('Báo cáo 75 trang đích'!$B$2:$B$76,$A1382)</f>
        <v>https://techcombank.com/thong-tin/blog/doi-tien-do-o-dau</v>
      </c>
      <c r="C1382" s="5" t="str">
        <f t="array" ref="C1382">INDEX('Báo cáo 75 trang đích'!$C$2:$C$76,$A1382)</f>
        <v>FX</v>
      </c>
      <c r="D1382" s="20" t="s">
        <v>1566</v>
      </c>
      <c r="E1382" s="22" t="s">
        <v>310</v>
      </c>
      <c r="F1382" s="22" t="s">
        <v>81</v>
      </c>
      <c r="G1382" s="22" t="s">
        <v>1648</v>
      </c>
      <c r="H1382" s="24" t="s">
        <v>59</v>
      </c>
      <c r="I1382" s="24" t="s">
        <v>59</v>
      </c>
      <c r="J1382" s="24" t="s">
        <v>60</v>
      </c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">
        <v>49.0</v>
      </c>
      <c r="B1383" s="35" t="str">
        <f t="array" ref="B1383">INDEX('Báo cáo 75 trang đích'!$B$2:$B$76,$A1383)</f>
        <v>https://techcombank.com/thong-tin/blog/doi-tien-do-o-dau</v>
      </c>
      <c r="C1383" s="5" t="str">
        <f t="array" ref="C1383">INDEX('Báo cáo 75 trang đích'!$C$2:$C$76,$A1383)</f>
        <v>FX</v>
      </c>
      <c r="D1383" s="20" t="s">
        <v>900</v>
      </c>
      <c r="E1383" s="22" t="s">
        <v>955</v>
      </c>
      <c r="F1383" s="22" t="s">
        <v>81</v>
      </c>
      <c r="G1383" s="22" t="s">
        <v>1649</v>
      </c>
      <c r="H1383" s="24" t="s">
        <v>59</v>
      </c>
      <c r="I1383" s="24" t="s">
        <v>59</v>
      </c>
      <c r="J1383" s="24" t="s">
        <v>60</v>
      </c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">
        <v>49.0</v>
      </c>
      <c r="B1384" s="35" t="str">
        <f t="array" ref="B1384">INDEX('Báo cáo 75 trang đích'!$B$2:$B$76,$A1384)</f>
        <v>https://techcombank.com/thong-tin/blog/doi-tien-do-o-dau</v>
      </c>
      <c r="C1384" s="5" t="str">
        <f t="array" ref="C1384">INDEX('Báo cáo 75 trang đích'!$C$2:$C$76,$A1384)</f>
        <v>FX</v>
      </c>
      <c r="D1384" s="20" t="s">
        <v>879</v>
      </c>
      <c r="E1384" s="22" t="s">
        <v>310</v>
      </c>
      <c r="F1384" s="22" t="s">
        <v>81</v>
      </c>
      <c r="G1384" s="22" t="s">
        <v>1652</v>
      </c>
      <c r="H1384" s="24" t="s">
        <v>59</v>
      </c>
      <c r="I1384" s="24" t="s">
        <v>59</v>
      </c>
      <c r="J1384" s="24" t="s">
        <v>60</v>
      </c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">
        <v>49.0</v>
      </c>
      <c r="B1385" s="35" t="str">
        <f t="array" ref="B1385">INDEX('Báo cáo 75 trang đích'!$B$2:$B$76,$A1385)</f>
        <v>https://techcombank.com/thong-tin/blog/doi-tien-do-o-dau</v>
      </c>
      <c r="C1385" s="5" t="str">
        <f t="array" ref="C1385">INDEX('Báo cáo 75 trang đích'!$C$2:$C$76,$A1385)</f>
        <v>FX</v>
      </c>
      <c r="D1385" s="20" t="s">
        <v>1618</v>
      </c>
      <c r="E1385" s="22" t="s">
        <v>955</v>
      </c>
      <c r="F1385" s="22" t="s">
        <v>81</v>
      </c>
      <c r="G1385" s="22" t="s">
        <v>1653</v>
      </c>
      <c r="H1385" s="24" t="s">
        <v>59</v>
      </c>
      <c r="I1385" s="24" t="s">
        <v>59</v>
      </c>
      <c r="J1385" s="24" t="s">
        <v>60</v>
      </c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">
        <v>49.0</v>
      </c>
      <c r="B1386" s="35" t="str">
        <f t="array" ref="B1386">INDEX('Báo cáo 75 trang đích'!$B$2:$B$76,$A1386)</f>
        <v>https://techcombank.com/thong-tin/blog/doi-tien-do-o-dau</v>
      </c>
      <c r="C1386" s="5" t="str">
        <f t="array" ref="C1386">INDEX('Báo cáo 75 trang đích'!$C$2:$C$76,$A1386)</f>
        <v>FX</v>
      </c>
      <c r="D1386" s="20" t="s">
        <v>263</v>
      </c>
      <c r="E1386" s="22" t="s">
        <v>310</v>
      </c>
      <c r="F1386" s="22" t="s">
        <v>81</v>
      </c>
      <c r="G1386" s="22" t="s">
        <v>1654</v>
      </c>
      <c r="H1386" s="24" t="s">
        <v>59</v>
      </c>
      <c r="I1386" s="24" t="s">
        <v>59</v>
      </c>
      <c r="J1386" s="24" t="s">
        <v>60</v>
      </c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">
        <v>49.0</v>
      </c>
      <c r="B1387" s="35" t="str">
        <f t="array" ref="B1387">INDEX('Báo cáo 75 trang đích'!$B$2:$B$76,$A1387)</f>
        <v>https://techcombank.com/thong-tin/blog/doi-tien-do-o-dau</v>
      </c>
      <c r="C1387" s="5" t="str">
        <f t="array" ref="C1387">INDEX('Báo cáo 75 trang đích'!$C$2:$C$76,$A1387)</f>
        <v>FX</v>
      </c>
      <c r="D1387" s="20" t="s">
        <v>238</v>
      </c>
      <c r="E1387" s="22" t="s">
        <v>955</v>
      </c>
      <c r="F1387" s="22" t="s">
        <v>81</v>
      </c>
      <c r="G1387" s="22" t="s">
        <v>1654</v>
      </c>
      <c r="H1387" s="24" t="s">
        <v>59</v>
      </c>
      <c r="I1387" s="24" t="s">
        <v>59</v>
      </c>
      <c r="J1387" s="24" t="s">
        <v>60</v>
      </c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">
        <v>49.0</v>
      </c>
      <c r="B1388" s="35" t="str">
        <f t="array" ref="B1388">INDEX('Báo cáo 75 trang đích'!$B$2:$B$76,$A1388)</f>
        <v>https://techcombank.com/thong-tin/blog/doi-tien-do-o-dau</v>
      </c>
      <c r="C1388" s="5" t="str">
        <f t="array" ref="C1388">INDEX('Báo cáo 75 trang đích'!$C$2:$C$76,$A1388)</f>
        <v>FX</v>
      </c>
      <c r="D1388" s="20" t="s">
        <v>261</v>
      </c>
      <c r="E1388" s="22" t="s">
        <v>310</v>
      </c>
      <c r="F1388" s="22" t="s">
        <v>81</v>
      </c>
      <c r="G1388" s="22" t="s">
        <v>1649</v>
      </c>
      <c r="H1388" s="24" t="s">
        <v>59</v>
      </c>
      <c r="I1388" s="24" t="s">
        <v>59</v>
      </c>
      <c r="J1388" s="24" t="s">
        <v>60</v>
      </c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">
        <v>49.0</v>
      </c>
      <c r="B1389" s="35" t="str">
        <f t="array" ref="B1389">INDEX('Báo cáo 75 trang đích'!$B$2:$B$76,$A1389)</f>
        <v>https://techcombank.com/thong-tin/blog/doi-tien-do-o-dau</v>
      </c>
      <c r="C1389" s="5" t="str">
        <f t="array" ref="C1389">INDEX('Báo cáo 75 trang đích'!$C$2:$C$76,$A1389)</f>
        <v>FX</v>
      </c>
      <c r="D1389" s="20" t="s">
        <v>942</v>
      </c>
      <c r="E1389" s="22" t="s">
        <v>955</v>
      </c>
      <c r="F1389" s="22" t="s">
        <v>81</v>
      </c>
      <c r="G1389" s="22" t="s">
        <v>1617</v>
      </c>
      <c r="H1389" s="24" t="s">
        <v>59</v>
      </c>
      <c r="I1389" s="24" t="s">
        <v>59</v>
      </c>
      <c r="J1389" s="24" t="s">
        <v>60</v>
      </c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">
        <v>49.0</v>
      </c>
      <c r="B1390" s="35" t="str">
        <f t="array" ref="B1390">INDEX('Báo cáo 75 trang đích'!$B$2:$B$76,$A1390)</f>
        <v>https://techcombank.com/thong-tin/blog/doi-tien-do-o-dau</v>
      </c>
      <c r="C1390" s="5" t="str">
        <f t="array" ref="C1390">INDEX('Báo cáo 75 trang đích'!$C$2:$C$76,$A1390)</f>
        <v>FX</v>
      </c>
      <c r="D1390" s="20" t="s">
        <v>946</v>
      </c>
      <c r="E1390" s="22" t="s">
        <v>310</v>
      </c>
      <c r="F1390" s="22" t="s">
        <v>81</v>
      </c>
      <c r="G1390" s="22" t="s">
        <v>1654</v>
      </c>
      <c r="H1390" s="24" t="s">
        <v>59</v>
      </c>
      <c r="I1390" s="24" t="s">
        <v>59</v>
      </c>
      <c r="J1390" s="24" t="s">
        <v>60</v>
      </c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">
        <v>49.0</v>
      </c>
      <c r="B1391" s="35" t="str">
        <f t="array" ref="B1391">INDEX('Báo cáo 75 trang đích'!$B$2:$B$76,$A1391)</f>
        <v>https://techcombank.com/thong-tin/blog/doi-tien-do-o-dau</v>
      </c>
      <c r="C1391" s="5" t="str">
        <f t="array" ref="C1391">INDEX('Báo cáo 75 trang đích'!$C$2:$C$76,$A1391)</f>
        <v>FX</v>
      </c>
      <c r="D1391" s="20" t="s">
        <v>874</v>
      </c>
      <c r="E1391" s="22" t="s">
        <v>955</v>
      </c>
      <c r="F1391" s="22" t="s">
        <v>81</v>
      </c>
      <c r="G1391" s="22" t="s">
        <v>1655</v>
      </c>
      <c r="H1391" s="24" t="s">
        <v>59</v>
      </c>
      <c r="I1391" s="24" t="s">
        <v>59</v>
      </c>
      <c r="J1391" s="24" t="s">
        <v>60</v>
      </c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">
        <v>49.0</v>
      </c>
      <c r="B1392" s="35" t="str">
        <f t="array" ref="B1392">INDEX('Báo cáo 75 trang đích'!$B$2:$B$76,$A1392)</f>
        <v>https://techcombank.com/thong-tin/blog/doi-tien-do-o-dau</v>
      </c>
      <c r="C1392" s="5" t="str">
        <f t="array" ref="C1392">INDEX('Báo cáo 75 trang đích'!$C$2:$C$76,$A1392)</f>
        <v>FX</v>
      </c>
      <c r="D1392" s="20" t="s">
        <v>270</v>
      </c>
      <c r="E1392" s="22" t="s">
        <v>310</v>
      </c>
      <c r="F1392" s="22" t="s">
        <v>81</v>
      </c>
      <c r="G1392" s="22" t="s">
        <v>1652</v>
      </c>
      <c r="H1392" s="24" t="s">
        <v>59</v>
      </c>
      <c r="I1392" s="24" t="s">
        <v>59</v>
      </c>
      <c r="J1392" s="24" t="s">
        <v>60</v>
      </c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">
        <v>49.0</v>
      </c>
      <c r="B1393" s="35" t="str">
        <f t="array" ref="B1393">INDEX('Báo cáo 75 trang đích'!$B$2:$B$76,$A1393)</f>
        <v>https://techcombank.com/thong-tin/blog/doi-tien-do-o-dau</v>
      </c>
      <c r="C1393" s="5" t="str">
        <f t="array" ref="C1393">INDEX('Báo cáo 75 trang đích'!$C$2:$C$76,$A1393)</f>
        <v>FX</v>
      </c>
      <c r="D1393" s="20" t="s">
        <v>255</v>
      </c>
      <c r="E1393" s="22" t="s">
        <v>955</v>
      </c>
      <c r="F1393" s="22" t="s">
        <v>81</v>
      </c>
      <c r="G1393" s="22" t="s">
        <v>1654</v>
      </c>
      <c r="H1393" s="24" t="s">
        <v>59</v>
      </c>
      <c r="I1393" s="24" t="s">
        <v>59</v>
      </c>
      <c r="J1393" s="24" t="s">
        <v>60</v>
      </c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">
        <v>49.0</v>
      </c>
      <c r="B1394" s="35" t="str">
        <f t="array" ref="B1394">INDEX('Báo cáo 75 trang đích'!$B$2:$B$76,$A1394)</f>
        <v>https://techcombank.com/thong-tin/blog/doi-tien-do-o-dau</v>
      </c>
      <c r="C1394" s="5" t="str">
        <f t="array" ref="C1394">INDEX('Báo cáo 75 trang đích'!$C$2:$C$76,$A1394)</f>
        <v>FX</v>
      </c>
      <c r="D1394" s="20" t="s">
        <v>852</v>
      </c>
      <c r="E1394" s="22" t="s">
        <v>310</v>
      </c>
      <c r="F1394" s="22" t="s">
        <v>81</v>
      </c>
      <c r="G1394" s="22" t="s">
        <v>1654</v>
      </c>
      <c r="H1394" s="24" t="s">
        <v>59</v>
      </c>
      <c r="I1394" s="24" t="s">
        <v>59</v>
      </c>
      <c r="J1394" s="24" t="s">
        <v>60</v>
      </c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">
        <v>49.0</v>
      </c>
      <c r="B1395" s="35" t="str">
        <f t="array" ref="B1395">INDEX('Báo cáo 75 trang đích'!$B$2:$B$76,$A1395)</f>
        <v>https://techcombank.com/thong-tin/blog/doi-tien-do-o-dau</v>
      </c>
      <c r="C1395" s="5" t="str">
        <f t="array" ref="C1395">INDEX('Báo cáo 75 trang đích'!$C$2:$C$76,$A1395)</f>
        <v>FX</v>
      </c>
      <c r="D1395" s="20" t="s">
        <v>855</v>
      </c>
      <c r="E1395" s="22" t="s">
        <v>955</v>
      </c>
      <c r="F1395" s="22" t="s">
        <v>81</v>
      </c>
      <c r="G1395" s="22" t="s">
        <v>1654</v>
      </c>
      <c r="H1395" s="24" t="s">
        <v>59</v>
      </c>
      <c r="I1395" s="24" t="s">
        <v>59</v>
      </c>
      <c r="J1395" s="24" t="s">
        <v>60</v>
      </c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">
        <v>49.0</v>
      </c>
      <c r="B1396" s="35" t="str">
        <f t="array" ref="B1396">INDEX('Báo cáo 75 trang đích'!$B$2:$B$76,$A1396)</f>
        <v>https://techcombank.com/thong-tin/blog/doi-tien-do-o-dau</v>
      </c>
      <c r="C1396" s="5" t="str">
        <f t="array" ref="C1396">INDEX('Báo cáo 75 trang đích'!$C$2:$C$76,$A1396)</f>
        <v>FX</v>
      </c>
      <c r="D1396" s="20" t="s">
        <v>869</v>
      </c>
      <c r="E1396" s="22" t="s">
        <v>310</v>
      </c>
      <c r="F1396" s="22" t="s">
        <v>81</v>
      </c>
      <c r="G1396" s="22" t="s">
        <v>1656</v>
      </c>
      <c r="H1396" s="24" t="s">
        <v>59</v>
      </c>
      <c r="I1396" s="24" t="s">
        <v>59</v>
      </c>
      <c r="J1396" s="24" t="s">
        <v>60</v>
      </c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">
        <v>49.0</v>
      </c>
      <c r="B1397" s="35" t="str">
        <f t="array" ref="B1397">INDEX('Báo cáo 75 trang đích'!$B$2:$B$76,$A1397)</f>
        <v>https://techcombank.com/thong-tin/blog/doi-tien-do-o-dau</v>
      </c>
      <c r="C1397" s="5" t="str">
        <f t="array" ref="C1397">INDEX('Báo cáo 75 trang đích'!$C$2:$C$76,$A1397)</f>
        <v>FX</v>
      </c>
      <c r="D1397" s="20" t="s">
        <v>858</v>
      </c>
      <c r="E1397" s="22" t="s">
        <v>955</v>
      </c>
      <c r="F1397" s="22" t="s">
        <v>81</v>
      </c>
      <c r="G1397" s="22" t="s">
        <v>1649</v>
      </c>
      <c r="H1397" s="24" t="s">
        <v>59</v>
      </c>
      <c r="I1397" s="24" t="s">
        <v>59</v>
      </c>
      <c r="J1397" s="24" t="s">
        <v>60</v>
      </c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">
        <v>49.0</v>
      </c>
      <c r="B1398" s="35" t="str">
        <f t="array" ref="B1398">INDEX('Báo cáo 75 trang đích'!$B$2:$B$76,$A1398)</f>
        <v>https://techcombank.com/thong-tin/blog/doi-tien-do-o-dau</v>
      </c>
      <c r="C1398" s="5" t="str">
        <f t="array" ref="C1398">INDEX('Báo cáo 75 trang đích'!$C$2:$C$76,$A1398)</f>
        <v>FX</v>
      </c>
      <c r="D1398" s="20" t="s">
        <v>1657</v>
      </c>
      <c r="E1398" s="22" t="s">
        <v>310</v>
      </c>
      <c r="F1398" s="22" t="s">
        <v>81</v>
      </c>
      <c r="G1398" s="22" t="s">
        <v>1654</v>
      </c>
      <c r="H1398" s="24" t="s">
        <v>59</v>
      </c>
      <c r="I1398" s="24" t="s">
        <v>59</v>
      </c>
      <c r="J1398" s="24" t="s">
        <v>60</v>
      </c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">
        <v>49.0</v>
      </c>
      <c r="B1399" s="35" t="str">
        <f t="array" ref="B1399">INDEX('Báo cáo 75 trang đích'!$B$2:$B$76,$A1399)</f>
        <v>https://techcombank.com/thong-tin/blog/doi-tien-do-o-dau</v>
      </c>
      <c r="C1399" s="5" t="str">
        <f t="array" ref="C1399">INDEX('Báo cáo 75 trang đích'!$C$2:$C$76,$A1399)</f>
        <v>FX</v>
      </c>
      <c r="D1399" s="20" t="s">
        <v>1658</v>
      </c>
      <c r="E1399" s="22" t="s">
        <v>955</v>
      </c>
      <c r="F1399" s="22" t="s">
        <v>81</v>
      </c>
      <c r="G1399" s="22" t="s">
        <v>1654</v>
      </c>
      <c r="H1399" s="24" t="s">
        <v>59</v>
      </c>
      <c r="I1399" s="24" t="s">
        <v>59</v>
      </c>
      <c r="J1399" s="24" t="s">
        <v>60</v>
      </c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">
        <v>49.0</v>
      </c>
      <c r="B1400" s="35" t="str">
        <f t="array" ref="B1400">INDEX('Báo cáo 75 trang đích'!$B$2:$B$76,$A1400)</f>
        <v>https://techcombank.com/thong-tin/blog/doi-tien-do-o-dau</v>
      </c>
      <c r="C1400" s="5" t="str">
        <f t="array" ref="C1400">INDEX('Báo cáo 75 trang đích'!$C$2:$C$76,$A1400)</f>
        <v>FX</v>
      </c>
      <c r="D1400" s="20" t="s">
        <v>1659</v>
      </c>
      <c r="E1400" s="22" t="s">
        <v>310</v>
      </c>
      <c r="F1400" s="22" t="s">
        <v>81</v>
      </c>
      <c r="G1400" s="22" t="s">
        <v>1654</v>
      </c>
      <c r="H1400" s="24" t="s">
        <v>59</v>
      </c>
      <c r="I1400" s="24" t="s">
        <v>59</v>
      </c>
      <c r="J1400" s="24" t="s">
        <v>60</v>
      </c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">
        <v>49.0</v>
      </c>
      <c r="B1401" s="35" t="str">
        <f t="array" ref="B1401">INDEX('Báo cáo 75 trang đích'!$B$2:$B$76,$A1401)</f>
        <v>https://techcombank.com/thong-tin/blog/doi-tien-do-o-dau</v>
      </c>
      <c r="C1401" s="5" t="str">
        <f t="array" ref="C1401">INDEX('Báo cáo 75 trang đích'!$C$2:$C$76,$A1401)</f>
        <v>FX</v>
      </c>
      <c r="D1401" s="20" t="s">
        <v>886</v>
      </c>
      <c r="E1401" s="22" t="s">
        <v>955</v>
      </c>
      <c r="F1401" s="22" t="s">
        <v>81</v>
      </c>
      <c r="G1401" s="22" t="s">
        <v>1654</v>
      </c>
      <c r="H1401" s="24" t="s">
        <v>59</v>
      </c>
      <c r="I1401" s="24" t="s">
        <v>59</v>
      </c>
      <c r="J1401" s="24" t="s">
        <v>60</v>
      </c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">
        <v>49.0</v>
      </c>
      <c r="B1402" s="35" t="str">
        <f t="array" ref="B1402">INDEX('Báo cáo 75 trang đích'!$B$2:$B$76,$A1402)</f>
        <v>https://techcombank.com/thong-tin/blog/doi-tien-do-o-dau</v>
      </c>
      <c r="C1402" s="5" t="str">
        <f t="array" ref="C1402">INDEX('Báo cáo 75 trang đích'!$C$2:$C$76,$A1402)</f>
        <v>FX</v>
      </c>
      <c r="D1402" s="20" t="s">
        <v>864</v>
      </c>
      <c r="E1402" s="22" t="s">
        <v>310</v>
      </c>
      <c r="F1402" s="22" t="s">
        <v>81</v>
      </c>
      <c r="G1402" s="22" t="s">
        <v>1655</v>
      </c>
      <c r="H1402" s="24" t="s">
        <v>59</v>
      </c>
      <c r="I1402" s="24" t="s">
        <v>59</v>
      </c>
      <c r="J1402" s="24" t="s">
        <v>60</v>
      </c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">
        <v>49.0</v>
      </c>
      <c r="B1403" s="35" t="str">
        <f t="array" ref="B1403">INDEX('Báo cáo 75 trang đích'!$B$2:$B$76,$A1403)</f>
        <v>https://techcombank.com/thong-tin/blog/doi-tien-do-o-dau</v>
      </c>
      <c r="C1403" s="5" t="str">
        <f t="array" ref="C1403">INDEX('Báo cáo 75 trang đích'!$C$2:$C$76,$A1403)</f>
        <v>FX</v>
      </c>
      <c r="D1403" s="20" t="s">
        <v>1297</v>
      </c>
      <c r="E1403" s="22" t="s">
        <v>955</v>
      </c>
      <c r="F1403" s="22" t="s">
        <v>81</v>
      </c>
      <c r="G1403" s="22" t="s">
        <v>1654</v>
      </c>
      <c r="H1403" s="24" t="s">
        <v>59</v>
      </c>
      <c r="I1403" s="24" t="s">
        <v>59</v>
      </c>
      <c r="J1403" s="24" t="s">
        <v>60</v>
      </c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">
        <v>49.0</v>
      </c>
      <c r="B1404" s="35" t="str">
        <f t="array" ref="B1404">INDEX('Báo cáo 75 trang đích'!$B$2:$B$76,$A1404)</f>
        <v>https://techcombank.com/thong-tin/blog/doi-tien-do-o-dau</v>
      </c>
      <c r="C1404" s="5" t="str">
        <f t="array" ref="C1404">INDEX('Báo cáo 75 trang đích'!$C$2:$C$76,$A1404)</f>
        <v>FX</v>
      </c>
      <c r="D1404" s="20" t="s">
        <v>904</v>
      </c>
      <c r="E1404" s="22" t="s">
        <v>310</v>
      </c>
      <c r="F1404" s="22" t="s">
        <v>81</v>
      </c>
      <c r="G1404" s="22" t="s">
        <v>1654</v>
      </c>
      <c r="H1404" s="24" t="s">
        <v>59</v>
      </c>
      <c r="I1404" s="24" t="s">
        <v>59</v>
      </c>
      <c r="J1404" s="24" t="s">
        <v>60</v>
      </c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">
        <v>49.0</v>
      </c>
      <c r="B1405" s="35" t="str">
        <f t="array" ref="B1405">INDEX('Báo cáo 75 trang đích'!$B$2:$B$76,$A1405)</f>
        <v>https://techcombank.com/thong-tin/blog/doi-tien-do-o-dau</v>
      </c>
      <c r="C1405" s="5" t="str">
        <f t="array" ref="C1405">INDEX('Báo cáo 75 trang đích'!$C$2:$C$76,$A1405)</f>
        <v>FX</v>
      </c>
      <c r="D1405" s="20" t="s">
        <v>232</v>
      </c>
      <c r="E1405" s="22" t="s">
        <v>955</v>
      </c>
      <c r="F1405" s="22" t="s">
        <v>81</v>
      </c>
      <c r="G1405" s="22" t="s">
        <v>1660</v>
      </c>
      <c r="H1405" s="24" t="s">
        <v>59</v>
      </c>
      <c r="I1405" s="24" t="s">
        <v>59</v>
      </c>
      <c r="J1405" s="24" t="s">
        <v>60</v>
      </c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">
        <v>49.0</v>
      </c>
      <c r="B1406" s="35" t="str">
        <f t="array" ref="B1406">INDEX('Báo cáo 75 trang đích'!$B$2:$B$76,$A1406)</f>
        <v>https://techcombank.com/thong-tin/blog/doi-tien-do-o-dau</v>
      </c>
      <c r="C1406" s="5" t="str">
        <f t="array" ref="C1406">INDEX('Báo cáo 75 trang đích'!$C$2:$C$76,$A1406)</f>
        <v>FX</v>
      </c>
      <c r="D1406" s="20" t="s">
        <v>251</v>
      </c>
      <c r="E1406" s="22" t="s">
        <v>310</v>
      </c>
      <c r="F1406" s="22" t="s">
        <v>81</v>
      </c>
      <c r="G1406" s="22" t="s">
        <v>1654</v>
      </c>
      <c r="H1406" s="24" t="s">
        <v>59</v>
      </c>
      <c r="I1406" s="24" t="s">
        <v>59</v>
      </c>
      <c r="J1406" s="24" t="s">
        <v>60</v>
      </c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">
        <v>49.0</v>
      </c>
      <c r="B1407" s="35" t="str">
        <f t="array" ref="B1407">INDEX('Báo cáo 75 trang đích'!$B$2:$B$76,$A1407)</f>
        <v>https://techcombank.com/thong-tin/blog/doi-tien-do-o-dau</v>
      </c>
      <c r="C1407" s="5" t="str">
        <f t="array" ref="C1407">INDEX('Báo cáo 75 trang đích'!$C$2:$C$76,$A1407)</f>
        <v>FX</v>
      </c>
      <c r="D1407" s="20" t="s">
        <v>893</v>
      </c>
      <c r="E1407" s="22" t="s">
        <v>955</v>
      </c>
      <c r="F1407" s="22" t="s">
        <v>81</v>
      </c>
      <c r="G1407" s="22" t="s">
        <v>1649</v>
      </c>
      <c r="H1407" s="24" t="s">
        <v>59</v>
      </c>
      <c r="I1407" s="24" t="s">
        <v>59</v>
      </c>
      <c r="J1407" s="24" t="s">
        <v>60</v>
      </c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">
        <v>49.0</v>
      </c>
      <c r="B1408" s="35" t="str">
        <f t="array" ref="B1408">INDEX('Báo cáo 75 trang đích'!$B$2:$B$76,$A1408)</f>
        <v>https://techcombank.com/thong-tin/blog/doi-tien-do-o-dau</v>
      </c>
      <c r="C1408" s="5" t="str">
        <f t="array" ref="C1408">INDEX('Báo cáo 75 trang đích'!$C$2:$C$76,$A1408)</f>
        <v>FX</v>
      </c>
      <c r="D1408" s="20" t="s">
        <v>228</v>
      </c>
      <c r="E1408" s="22" t="s">
        <v>310</v>
      </c>
      <c r="F1408" s="22" t="s">
        <v>81</v>
      </c>
      <c r="G1408" s="22" t="s">
        <v>1654</v>
      </c>
      <c r="H1408" s="24" t="s">
        <v>59</v>
      </c>
      <c r="I1408" s="24" t="s">
        <v>59</v>
      </c>
      <c r="J1408" s="24" t="s">
        <v>60</v>
      </c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">
        <v>49.0</v>
      </c>
      <c r="B1409" s="35" t="str">
        <f t="array" ref="B1409">INDEX('Báo cáo 75 trang đích'!$B$2:$B$76,$A1409)</f>
        <v>https://techcombank.com/thong-tin/blog/doi-tien-do-o-dau</v>
      </c>
      <c r="C1409" s="5" t="str">
        <f t="array" ref="C1409">INDEX('Báo cáo 75 trang đích'!$C$2:$C$76,$A1409)</f>
        <v>FX</v>
      </c>
      <c r="D1409" s="20" t="s">
        <v>244</v>
      </c>
      <c r="E1409" s="22" t="s">
        <v>955</v>
      </c>
      <c r="F1409" s="22" t="s">
        <v>81</v>
      </c>
      <c r="G1409" s="22" t="s">
        <v>1654</v>
      </c>
      <c r="H1409" s="24" t="s">
        <v>59</v>
      </c>
      <c r="I1409" s="24" t="s">
        <v>59</v>
      </c>
      <c r="J1409" s="24" t="s">
        <v>60</v>
      </c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">
        <v>49.0</v>
      </c>
      <c r="B1410" s="35" t="str">
        <f t="array" ref="B1410">INDEX('Báo cáo 75 trang đích'!$B$2:$B$76,$A1410)</f>
        <v>https://techcombank.com/thong-tin/blog/doi-tien-do-o-dau</v>
      </c>
      <c r="C1410" s="5" t="str">
        <f t="array" ref="C1410">INDEX('Báo cáo 75 trang đích'!$C$2:$C$76,$A1410)</f>
        <v>FX</v>
      </c>
      <c r="D1410" s="20" t="s">
        <v>1661</v>
      </c>
      <c r="E1410" s="22" t="s">
        <v>310</v>
      </c>
      <c r="F1410" s="22" t="s">
        <v>81</v>
      </c>
      <c r="G1410" s="22" t="s">
        <v>1649</v>
      </c>
      <c r="H1410" s="24" t="s">
        <v>59</v>
      </c>
      <c r="I1410" s="24" t="s">
        <v>59</v>
      </c>
      <c r="J1410" s="24" t="s">
        <v>60</v>
      </c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">
        <v>49.0</v>
      </c>
      <c r="B1411" s="35" t="str">
        <f t="array" ref="B1411">INDEX('Báo cáo 75 trang đích'!$B$2:$B$76,$A1411)</f>
        <v>https://techcombank.com/thong-tin/blog/doi-tien-do-o-dau</v>
      </c>
      <c r="C1411" s="5" t="str">
        <f t="array" ref="C1411">INDEX('Báo cáo 75 trang đích'!$C$2:$C$76,$A1411)</f>
        <v>FX</v>
      </c>
      <c r="D1411" s="20" t="s">
        <v>1662</v>
      </c>
      <c r="E1411" s="22" t="s">
        <v>955</v>
      </c>
      <c r="F1411" s="22" t="s">
        <v>81</v>
      </c>
      <c r="G1411" s="22" t="s">
        <v>1649</v>
      </c>
      <c r="H1411" s="24" t="s">
        <v>59</v>
      </c>
      <c r="I1411" s="24" t="s">
        <v>59</v>
      </c>
      <c r="J1411" s="24" t="s">
        <v>60</v>
      </c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">
        <v>49.0</v>
      </c>
      <c r="B1412" s="35" t="str">
        <f t="array" ref="B1412">INDEX('Báo cáo 75 trang đích'!$B$2:$B$76,$A1412)</f>
        <v>https://techcombank.com/thong-tin/blog/doi-tien-do-o-dau</v>
      </c>
      <c r="C1412" s="5" t="str">
        <f t="array" ref="C1412">INDEX('Báo cáo 75 trang đích'!$C$2:$C$76,$A1412)</f>
        <v>FX</v>
      </c>
      <c r="D1412" s="20" t="s">
        <v>1663</v>
      </c>
      <c r="E1412" s="22" t="s">
        <v>310</v>
      </c>
      <c r="F1412" s="22" t="s">
        <v>81</v>
      </c>
      <c r="G1412" s="22" t="s">
        <v>1649</v>
      </c>
      <c r="H1412" s="24" t="s">
        <v>59</v>
      </c>
      <c r="I1412" s="24" t="s">
        <v>59</v>
      </c>
      <c r="J1412" s="24" t="s">
        <v>60</v>
      </c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">
        <v>49.0</v>
      </c>
      <c r="B1413" s="35" t="str">
        <f t="array" ref="B1413">INDEX('Báo cáo 75 trang đích'!$B$2:$B$76,$A1413)</f>
        <v>https://techcombank.com/thong-tin/blog/doi-tien-do-o-dau</v>
      </c>
      <c r="C1413" s="5" t="str">
        <f t="array" ref="C1413">INDEX('Báo cáo 75 trang đích'!$C$2:$C$76,$A1413)</f>
        <v>FX</v>
      </c>
      <c r="D1413" s="20" t="s">
        <v>1619</v>
      </c>
      <c r="E1413" s="22" t="s">
        <v>955</v>
      </c>
      <c r="F1413" s="22" t="s">
        <v>81</v>
      </c>
      <c r="G1413" s="22" t="s">
        <v>1653</v>
      </c>
      <c r="H1413" s="24" t="s">
        <v>59</v>
      </c>
      <c r="I1413" s="24" t="s">
        <v>59</v>
      </c>
      <c r="J1413" s="24" t="s">
        <v>60</v>
      </c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">
        <v>49.0</v>
      </c>
      <c r="B1414" s="35" t="str">
        <f t="array" ref="B1414">INDEX('Báo cáo 75 trang đích'!$B$2:$B$76,$A1414)</f>
        <v>https://techcombank.com/thong-tin/blog/doi-tien-do-o-dau</v>
      </c>
      <c r="C1414" s="5" t="str">
        <f t="array" ref="C1414">INDEX('Báo cáo 75 trang đích'!$C$2:$C$76,$A1414)</f>
        <v>FX</v>
      </c>
      <c r="D1414" s="20" t="s">
        <v>750</v>
      </c>
      <c r="E1414" s="22" t="s">
        <v>310</v>
      </c>
      <c r="F1414" s="22" t="s">
        <v>81</v>
      </c>
      <c r="G1414" s="22" t="s">
        <v>1652</v>
      </c>
      <c r="H1414" s="24" t="s">
        <v>59</v>
      </c>
      <c r="I1414" s="24" t="s">
        <v>59</v>
      </c>
      <c r="J1414" s="24" t="s">
        <v>60</v>
      </c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">
        <v>49.0</v>
      </c>
      <c r="B1415" s="35" t="str">
        <f t="array" ref="B1415">INDEX('Báo cáo 75 trang đích'!$B$2:$B$76,$A1415)</f>
        <v>https://techcombank.com/thong-tin/blog/doi-tien-do-o-dau</v>
      </c>
      <c r="C1415" s="5" t="str">
        <f t="array" ref="C1415">INDEX('Báo cáo 75 trang đích'!$C$2:$C$76,$A1415)</f>
        <v>FX</v>
      </c>
      <c r="D1415" s="20" t="s">
        <v>1664</v>
      </c>
      <c r="E1415" s="22" t="s">
        <v>955</v>
      </c>
      <c r="F1415" s="22" t="s">
        <v>81</v>
      </c>
      <c r="G1415" s="22" t="s">
        <v>1649</v>
      </c>
      <c r="H1415" s="24" t="s">
        <v>59</v>
      </c>
      <c r="I1415" s="24" t="s">
        <v>59</v>
      </c>
      <c r="J1415" s="24" t="s">
        <v>60</v>
      </c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">
        <v>50.0</v>
      </c>
      <c r="B1416" s="35" t="str">
        <f t="array" ref="B1416">INDEX('Báo cáo 75 trang đích'!$B$2:$B$76,$A1416)</f>
        <v>https://techcombank.com/thong-tin/blog/vay-ngan-hang-1-ty-moi-thang-tra-bao-nhieu</v>
      </c>
      <c r="C1416" s="5" t="str">
        <f t="array" ref="C1416">INDEX('Báo cáo 75 trang đích'!$C$2:$C$76,$A1416)</f>
        <v>Home Loan</v>
      </c>
      <c r="D1416" s="20" t="s">
        <v>959</v>
      </c>
      <c r="E1416" s="22" t="s">
        <v>315</v>
      </c>
      <c r="F1416" s="22" t="s">
        <v>57</v>
      </c>
      <c r="G1416" s="22" t="s">
        <v>1665</v>
      </c>
      <c r="H1416" s="24" t="s">
        <v>59</v>
      </c>
      <c r="I1416" s="24" t="s">
        <v>59</v>
      </c>
      <c r="J1416" s="24" t="s">
        <v>60</v>
      </c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">
        <v>50.0</v>
      </c>
      <c r="B1417" s="35" t="str">
        <f t="array" ref="B1417">INDEX('Báo cáo 75 trang đích'!$B$2:$B$76,$A1417)</f>
        <v>https://techcombank.com/thong-tin/blog/vay-ngan-hang-1-ty-moi-thang-tra-bao-nhieu</v>
      </c>
      <c r="C1417" s="5" t="str">
        <f t="array" ref="C1417">INDEX('Báo cáo 75 trang đích'!$C$2:$C$76,$A1417)</f>
        <v>Home Loan</v>
      </c>
      <c r="D1417" s="20" t="s">
        <v>961</v>
      </c>
      <c r="E1417" s="22" t="s">
        <v>963</v>
      </c>
      <c r="F1417" s="22" t="s">
        <v>57</v>
      </c>
      <c r="G1417" s="22" t="s">
        <v>1666</v>
      </c>
      <c r="H1417" s="24" t="s">
        <v>59</v>
      </c>
      <c r="I1417" s="24" t="s">
        <v>59</v>
      </c>
      <c r="J1417" s="24" t="s">
        <v>60</v>
      </c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">
        <v>50.0</v>
      </c>
      <c r="B1418" s="35" t="str">
        <f t="array" ref="B1418">INDEX('Báo cáo 75 trang đích'!$B$2:$B$76,$A1418)</f>
        <v>https://techcombank.com/thong-tin/blog/vay-ngan-hang-1-ty-moi-thang-tra-bao-nhieu</v>
      </c>
      <c r="C1418" s="5" t="str">
        <f t="array" ref="C1418">INDEX('Báo cáo 75 trang đích'!$C$2:$C$76,$A1418)</f>
        <v>Home Loan</v>
      </c>
      <c r="D1418" s="20" t="s">
        <v>964</v>
      </c>
      <c r="E1418" s="22" t="s">
        <v>966</v>
      </c>
      <c r="F1418" s="22" t="s">
        <v>57</v>
      </c>
      <c r="G1418" s="22" t="s">
        <v>1667</v>
      </c>
      <c r="H1418" s="24" t="s">
        <v>59</v>
      </c>
      <c r="I1418" s="24" t="s">
        <v>59</v>
      </c>
      <c r="J1418" s="24" t="s">
        <v>60</v>
      </c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">
        <v>50.0</v>
      </c>
      <c r="B1419" s="35" t="str">
        <f t="array" ref="B1419">INDEX('Báo cáo 75 trang đích'!$B$2:$B$76,$A1419)</f>
        <v>https://techcombank.com/thong-tin/blog/vay-ngan-hang-1-ty-moi-thang-tra-bao-nhieu</v>
      </c>
      <c r="C1419" s="5" t="str">
        <f t="array" ref="C1419">INDEX('Báo cáo 75 trang đích'!$C$2:$C$76,$A1419)</f>
        <v>Home Loan</v>
      </c>
      <c r="D1419" s="20" t="s">
        <v>967</v>
      </c>
      <c r="E1419" s="22" t="s">
        <v>315</v>
      </c>
      <c r="F1419" s="22" t="s">
        <v>57</v>
      </c>
      <c r="G1419" s="22" t="s">
        <v>1668</v>
      </c>
      <c r="H1419" s="24" t="s">
        <v>59</v>
      </c>
      <c r="I1419" s="24" t="s">
        <v>59</v>
      </c>
      <c r="J1419" s="24" t="s">
        <v>60</v>
      </c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">
        <v>50.0</v>
      </c>
      <c r="B1420" s="35" t="str">
        <f t="array" ref="B1420">INDEX('Báo cáo 75 trang đích'!$B$2:$B$76,$A1420)</f>
        <v>https://techcombank.com/thong-tin/blog/vay-ngan-hang-1-ty-moi-thang-tra-bao-nhieu</v>
      </c>
      <c r="C1420" s="5" t="str">
        <f t="array" ref="C1420">INDEX('Báo cáo 75 trang đích'!$C$2:$C$76,$A1420)</f>
        <v>Home Loan</v>
      </c>
      <c r="D1420" s="20" t="s">
        <v>969</v>
      </c>
      <c r="E1420" s="22" t="s">
        <v>963</v>
      </c>
      <c r="F1420" s="22" t="s">
        <v>76</v>
      </c>
      <c r="G1420" s="22" t="s">
        <v>1669</v>
      </c>
      <c r="H1420" s="24" t="s">
        <v>59</v>
      </c>
      <c r="I1420" s="24" t="s">
        <v>59</v>
      </c>
      <c r="J1420" s="24" t="s">
        <v>60</v>
      </c>
      <c r="K1420" s="22" t="s">
        <v>1670</v>
      </c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">
        <v>50.0</v>
      </c>
      <c r="B1421" s="35" t="str">
        <f t="array" ref="B1421">INDEX('Báo cáo 75 trang đích'!$B$2:$B$76,$A1421)</f>
        <v>https://techcombank.com/thong-tin/blog/vay-ngan-hang-1-ty-moi-thang-tra-bao-nhieu</v>
      </c>
      <c r="C1421" s="5" t="str">
        <f t="array" ref="C1421">INDEX('Báo cáo 75 trang đích'!$C$2:$C$76,$A1421)</f>
        <v>Home Loan</v>
      </c>
      <c r="D1421" s="20" t="s">
        <v>1671</v>
      </c>
      <c r="E1421" s="22" t="s">
        <v>966</v>
      </c>
      <c r="F1421" s="22" t="s">
        <v>81</v>
      </c>
      <c r="G1421" s="22" t="s">
        <v>1672</v>
      </c>
      <c r="H1421" s="24" t="s">
        <v>59</v>
      </c>
      <c r="I1421" s="24" t="s">
        <v>59</v>
      </c>
      <c r="J1421" s="24" t="s">
        <v>60</v>
      </c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">
        <v>50.0</v>
      </c>
      <c r="B1422" s="35" t="str">
        <f t="array" ref="B1422">INDEX('Báo cáo 75 trang đích'!$B$2:$B$76,$A1422)</f>
        <v>https://techcombank.com/thong-tin/blog/vay-ngan-hang-1-ty-moi-thang-tra-bao-nhieu</v>
      </c>
      <c r="C1422" s="5" t="str">
        <f t="array" ref="C1422">INDEX('Báo cáo 75 trang đích'!$C$2:$C$76,$A1422)</f>
        <v>Home Loan</v>
      </c>
      <c r="D1422" s="20" t="s">
        <v>1673</v>
      </c>
      <c r="E1422" s="22" t="s">
        <v>315</v>
      </c>
      <c r="F1422" s="22" t="s">
        <v>81</v>
      </c>
      <c r="G1422" s="22" t="s">
        <v>1672</v>
      </c>
      <c r="H1422" s="24" t="s">
        <v>59</v>
      </c>
      <c r="I1422" s="24" t="s">
        <v>59</v>
      </c>
      <c r="J1422" s="24" t="s">
        <v>60</v>
      </c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">
        <v>50.0</v>
      </c>
      <c r="B1423" s="35" t="str">
        <f t="array" ref="B1423">INDEX('Báo cáo 75 trang đích'!$B$2:$B$76,$A1423)</f>
        <v>https://techcombank.com/thong-tin/blog/vay-ngan-hang-1-ty-moi-thang-tra-bao-nhieu</v>
      </c>
      <c r="C1423" s="5" t="str">
        <f t="array" ref="C1423">INDEX('Báo cáo 75 trang đích'!$C$2:$C$76,$A1423)</f>
        <v>Home Loan</v>
      </c>
      <c r="D1423" s="20" t="s">
        <v>1674</v>
      </c>
      <c r="E1423" s="22" t="s">
        <v>963</v>
      </c>
      <c r="F1423" s="22" t="s">
        <v>81</v>
      </c>
      <c r="G1423" s="22" t="s">
        <v>1672</v>
      </c>
      <c r="H1423" s="24" t="s">
        <v>59</v>
      </c>
      <c r="I1423" s="24" t="s">
        <v>59</v>
      </c>
      <c r="J1423" s="24" t="s">
        <v>60</v>
      </c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">
        <v>50.0</v>
      </c>
      <c r="B1424" s="35" t="str">
        <f t="array" ref="B1424">INDEX('Báo cáo 75 trang đích'!$B$2:$B$76,$A1424)</f>
        <v>https://techcombank.com/thong-tin/blog/vay-ngan-hang-1-ty-moi-thang-tra-bao-nhieu</v>
      </c>
      <c r="C1424" s="5" t="str">
        <f t="array" ref="C1424">INDEX('Báo cáo 75 trang đích'!$C$2:$C$76,$A1424)</f>
        <v>Home Loan</v>
      </c>
      <c r="D1424" s="20" t="s">
        <v>62</v>
      </c>
      <c r="E1424" s="22" t="s">
        <v>966</v>
      </c>
      <c r="F1424" s="22" t="s">
        <v>81</v>
      </c>
      <c r="G1424" s="22" t="s">
        <v>1675</v>
      </c>
      <c r="H1424" s="24" t="s">
        <v>59</v>
      </c>
      <c r="I1424" s="24" t="s">
        <v>59</v>
      </c>
      <c r="J1424" s="24" t="s">
        <v>60</v>
      </c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">
        <v>50.0</v>
      </c>
      <c r="B1425" s="35" t="str">
        <f t="array" ref="B1425">INDEX('Báo cáo 75 trang đích'!$B$2:$B$76,$A1425)</f>
        <v>https://techcombank.com/thong-tin/blog/vay-ngan-hang-1-ty-moi-thang-tra-bao-nhieu</v>
      </c>
      <c r="C1425" s="5" t="str">
        <f t="array" ref="C1425">INDEX('Báo cáo 75 trang đích'!$C$2:$C$76,$A1425)</f>
        <v>Home Loan</v>
      </c>
      <c r="D1425" s="20" t="s">
        <v>1248</v>
      </c>
      <c r="E1425" s="22" t="s">
        <v>315</v>
      </c>
      <c r="F1425" s="22" t="s">
        <v>81</v>
      </c>
      <c r="G1425" s="22" t="s">
        <v>1672</v>
      </c>
      <c r="H1425" s="24" t="s">
        <v>59</v>
      </c>
      <c r="I1425" s="24" t="s">
        <v>59</v>
      </c>
      <c r="J1425" s="24" t="s">
        <v>60</v>
      </c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">
        <v>50.0</v>
      </c>
      <c r="B1426" s="35" t="str">
        <f t="array" ref="B1426">INDEX('Báo cáo 75 trang đích'!$B$2:$B$76,$A1426)</f>
        <v>https://techcombank.com/thong-tin/blog/vay-ngan-hang-1-ty-moi-thang-tra-bao-nhieu</v>
      </c>
      <c r="C1426" s="5" t="str">
        <f t="array" ref="C1426">INDEX('Báo cáo 75 trang đích'!$C$2:$C$76,$A1426)</f>
        <v>Home Loan</v>
      </c>
      <c r="D1426" s="20" t="s">
        <v>1676</v>
      </c>
      <c r="E1426" s="22" t="s">
        <v>963</v>
      </c>
      <c r="F1426" s="22" t="s">
        <v>81</v>
      </c>
      <c r="G1426" s="22" t="s">
        <v>1672</v>
      </c>
      <c r="H1426" s="24" t="s">
        <v>59</v>
      </c>
      <c r="I1426" s="24" t="s">
        <v>59</v>
      </c>
      <c r="J1426" s="24" t="s">
        <v>60</v>
      </c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">
        <v>50.0</v>
      </c>
      <c r="B1427" s="35" t="str">
        <f t="array" ref="B1427">INDEX('Báo cáo 75 trang đích'!$B$2:$B$76,$A1427)</f>
        <v>https://techcombank.com/thong-tin/blog/vay-ngan-hang-1-ty-moi-thang-tra-bao-nhieu</v>
      </c>
      <c r="C1427" s="5" t="str">
        <f t="array" ref="C1427">INDEX('Báo cáo 75 trang đích'!$C$2:$C$76,$A1427)</f>
        <v>Home Loan</v>
      </c>
      <c r="D1427" s="20" t="s">
        <v>1170</v>
      </c>
      <c r="E1427" s="22" t="s">
        <v>966</v>
      </c>
      <c r="F1427" s="22" t="s">
        <v>81</v>
      </c>
      <c r="G1427" s="22" t="s">
        <v>1675</v>
      </c>
      <c r="H1427" s="24" t="s">
        <v>59</v>
      </c>
      <c r="I1427" s="24" t="s">
        <v>59</v>
      </c>
      <c r="J1427" s="24" t="s">
        <v>60</v>
      </c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">
        <v>50.0</v>
      </c>
      <c r="B1428" s="35" t="str">
        <f t="array" ref="B1428">INDEX('Báo cáo 75 trang đích'!$B$2:$B$76,$A1428)</f>
        <v>https://techcombank.com/thong-tin/blog/vay-ngan-hang-1-ty-moi-thang-tra-bao-nhieu</v>
      </c>
      <c r="C1428" s="5" t="str">
        <f t="array" ref="C1428">INDEX('Báo cáo 75 trang đích'!$C$2:$C$76,$A1428)</f>
        <v>Home Loan</v>
      </c>
      <c r="D1428" s="20" t="s">
        <v>1677</v>
      </c>
      <c r="E1428" s="22" t="s">
        <v>315</v>
      </c>
      <c r="F1428" s="22" t="s">
        <v>81</v>
      </c>
      <c r="G1428" s="22" t="s">
        <v>1678</v>
      </c>
      <c r="H1428" s="24" t="s">
        <v>59</v>
      </c>
      <c r="I1428" s="24" t="s">
        <v>59</v>
      </c>
      <c r="J1428" s="24" t="s">
        <v>60</v>
      </c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">
        <v>50.0</v>
      </c>
      <c r="B1429" s="35" t="str">
        <f t="array" ref="B1429">INDEX('Báo cáo 75 trang đích'!$B$2:$B$76,$A1429)</f>
        <v>https://techcombank.com/thong-tin/blog/vay-ngan-hang-1-ty-moi-thang-tra-bao-nhieu</v>
      </c>
      <c r="C1429" s="5" t="str">
        <f t="array" ref="C1429">INDEX('Báo cáo 75 trang đích'!$C$2:$C$76,$A1429)</f>
        <v>Home Loan</v>
      </c>
      <c r="D1429" s="20" t="s">
        <v>624</v>
      </c>
      <c r="E1429" s="22" t="s">
        <v>963</v>
      </c>
      <c r="F1429" s="22" t="s">
        <v>81</v>
      </c>
      <c r="G1429" s="22" t="s">
        <v>1672</v>
      </c>
      <c r="H1429" s="24" t="s">
        <v>59</v>
      </c>
      <c r="I1429" s="24" t="s">
        <v>59</v>
      </c>
      <c r="J1429" s="24" t="s">
        <v>60</v>
      </c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">
        <v>50.0</v>
      </c>
      <c r="B1430" s="35" t="str">
        <f t="array" ref="B1430">INDEX('Báo cáo 75 trang đích'!$B$2:$B$76,$A1430)</f>
        <v>https://techcombank.com/thong-tin/blog/vay-ngan-hang-1-ty-moi-thang-tra-bao-nhieu</v>
      </c>
      <c r="C1430" s="5" t="str">
        <f t="array" ref="C1430">INDEX('Báo cáo 75 trang đích'!$C$2:$C$76,$A1430)</f>
        <v>Home Loan</v>
      </c>
      <c r="D1430" s="20" t="s">
        <v>1456</v>
      </c>
      <c r="E1430" s="22" t="s">
        <v>966</v>
      </c>
      <c r="F1430" s="22" t="s">
        <v>81</v>
      </c>
      <c r="G1430" s="22" t="s">
        <v>1675</v>
      </c>
      <c r="H1430" s="24" t="s">
        <v>59</v>
      </c>
      <c r="I1430" s="24" t="s">
        <v>59</v>
      </c>
      <c r="J1430" s="24" t="s">
        <v>60</v>
      </c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">
        <v>50.0</v>
      </c>
      <c r="B1431" s="35" t="str">
        <f t="array" ref="B1431">INDEX('Báo cáo 75 trang đích'!$B$2:$B$76,$A1431)</f>
        <v>https://techcombank.com/thong-tin/blog/vay-ngan-hang-1-ty-moi-thang-tra-bao-nhieu</v>
      </c>
      <c r="C1431" s="5" t="str">
        <f t="array" ref="C1431">INDEX('Báo cáo 75 trang đích'!$C$2:$C$76,$A1431)</f>
        <v>Home Loan</v>
      </c>
      <c r="D1431" s="20" t="s">
        <v>1069</v>
      </c>
      <c r="E1431" s="22" t="s">
        <v>315</v>
      </c>
      <c r="F1431" s="22" t="s">
        <v>81</v>
      </c>
      <c r="G1431" s="22" t="s">
        <v>1672</v>
      </c>
      <c r="H1431" s="24" t="s">
        <v>59</v>
      </c>
      <c r="I1431" s="24" t="s">
        <v>59</v>
      </c>
      <c r="J1431" s="24" t="s">
        <v>60</v>
      </c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">
        <v>50.0</v>
      </c>
      <c r="B1432" s="35" t="str">
        <f t="array" ref="B1432">INDEX('Báo cáo 75 trang đích'!$B$2:$B$76,$A1432)</f>
        <v>https://techcombank.com/thong-tin/blog/vay-ngan-hang-1-ty-moi-thang-tra-bao-nhieu</v>
      </c>
      <c r="C1432" s="5" t="str">
        <f t="array" ref="C1432">INDEX('Báo cáo 75 trang đích'!$C$2:$C$76,$A1432)</f>
        <v>Home Loan</v>
      </c>
      <c r="D1432" s="20" t="s">
        <v>1016</v>
      </c>
      <c r="E1432" s="22" t="s">
        <v>963</v>
      </c>
      <c r="F1432" s="22" t="s">
        <v>81</v>
      </c>
      <c r="G1432" s="22" t="s">
        <v>1675</v>
      </c>
      <c r="H1432" s="24" t="s">
        <v>59</v>
      </c>
      <c r="I1432" s="24" t="s">
        <v>59</v>
      </c>
      <c r="J1432" s="24" t="s">
        <v>60</v>
      </c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">
        <v>50.0</v>
      </c>
      <c r="B1433" s="35" t="str">
        <f t="array" ref="B1433">INDEX('Báo cáo 75 trang đích'!$B$2:$B$76,$A1433)</f>
        <v>https://techcombank.com/thong-tin/blog/vay-ngan-hang-1-ty-moi-thang-tra-bao-nhieu</v>
      </c>
      <c r="C1433" s="5" t="str">
        <f t="array" ref="C1433">INDEX('Báo cáo 75 trang đích'!$C$2:$C$76,$A1433)</f>
        <v>Home Loan</v>
      </c>
      <c r="D1433" s="20" t="s">
        <v>1679</v>
      </c>
      <c r="E1433" s="22" t="s">
        <v>966</v>
      </c>
      <c r="F1433" s="22" t="s">
        <v>81</v>
      </c>
      <c r="G1433" s="22" t="s">
        <v>1672</v>
      </c>
      <c r="H1433" s="24" t="s">
        <v>59</v>
      </c>
      <c r="I1433" s="24" t="s">
        <v>59</v>
      </c>
      <c r="J1433" s="24" t="s">
        <v>60</v>
      </c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">
        <v>50.0</v>
      </c>
      <c r="B1434" s="35" t="str">
        <f t="array" ref="B1434">INDEX('Báo cáo 75 trang đích'!$B$2:$B$76,$A1434)</f>
        <v>https://techcombank.com/thong-tin/blog/vay-ngan-hang-1-ty-moi-thang-tra-bao-nhieu</v>
      </c>
      <c r="C1434" s="5" t="str">
        <f t="array" ref="C1434">INDEX('Báo cáo 75 trang đích'!$C$2:$C$76,$A1434)</f>
        <v>Home Loan</v>
      </c>
      <c r="D1434" s="20" t="s">
        <v>1238</v>
      </c>
      <c r="E1434" s="22" t="s">
        <v>315</v>
      </c>
      <c r="F1434" s="22" t="s">
        <v>81</v>
      </c>
      <c r="G1434" s="22" t="s">
        <v>1672</v>
      </c>
      <c r="H1434" s="24" t="s">
        <v>59</v>
      </c>
      <c r="I1434" s="24" t="s">
        <v>59</v>
      </c>
      <c r="J1434" s="24" t="s">
        <v>60</v>
      </c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">
        <v>50.0</v>
      </c>
      <c r="B1435" s="35" t="str">
        <f t="array" ref="B1435">INDEX('Báo cáo 75 trang đích'!$B$2:$B$76,$A1435)</f>
        <v>https://techcombank.com/thong-tin/blog/vay-ngan-hang-1-ty-moi-thang-tra-bao-nhieu</v>
      </c>
      <c r="C1435" s="5" t="str">
        <f t="array" ref="C1435">INDEX('Báo cáo 75 trang đích'!$C$2:$C$76,$A1435)</f>
        <v>Home Loan</v>
      </c>
      <c r="D1435" s="20" t="s">
        <v>1064</v>
      </c>
      <c r="E1435" s="22" t="s">
        <v>963</v>
      </c>
      <c r="F1435" s="22" t="s">
        <v>81</v>
      </c>
      <c r="G1435" s="22" t="s">
        <v>1672</v>
      </c>
      <c r="H1435" s="24" t="s">
        <v>59</v>
      </c>
      <c r="I1435" s="24" t="s">
        <v>59</v>
      </c>
      <c r="J1435" s="24" t="s">
        <v>60</v>
      </c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">
        <v>50.0</v>
      </c>
      <c r="B1436" s="35" t="str">
        <f t="array" ref="B1436">INDEX('Báo cáo 75 trang đích'!$B$2:$B$76,$A1436)</f>
        <v>https://techcombank.com/thong-tin/blog/vay-ngan-hang-1-ty-moi-thang-tra-bao-nhieu</v>
      </c>
      <c r="C1436" s="5" t="str">
        <f t="array" ref="C1436">INDEX('Báo cáo 75 trang đích'!$C$2:$C$76,$A1436)</f>
        <v>Home Loan</v>
      </c>
      <c r="D1436" s="20" t="s">
        <v>55</v>
      </c>
      <c r="E1436" s="22" t="s">
        <v>966</v>
      </c>
      <c r="F1436" s="22" t="s">
        <v>81</v>
      </c>
      <c r="G1436" s="22" t="s">
        <v>1675</v>
      </c>
      <c r="H1436" s="24" t="s">
        <v>59</v>
      </c>
      <c r="I1436" s="24" t="s">
        <v>59</v>
      </c>
      <c r="J1436" s="24" t="s">
        <v>60</v>
      </c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">
        <v>50.0</v>
      </c>
      <c r="B1437" s="35" t="str">
        <f t="array" ref="B1437">INDEX('Báo cáo 75 trang đích'!$B$2:$B$76,$A1437)</f>
        <v>https://techcombank.com/thong-tin/blog/vay-ngan-hang-1-ty-moi-thang-tra-bao-nhieu</v>
      </c>
      <c r="C1437" s="5" t="str">
        <f t="array" ref="C1437">INDEX('Báo cáo 75 trang đích'!$C$2:$C$76,$A1437)</f>
        <v>Home Loan</v>
      </c>
      <c r="D1437" s="20" t="s">
        <v>1680</v>
      </c>
      <c r="E1437" s="22" t="s">
        <v>315</v>
      </c>
      <c r="F1437" s="22" t="s">
        <v>81</v>
      </c>
      <c r="G1437" s="22" t="s">
        <v>1681</v>
      </c>
      <c r="H1437" s="24" t="s">
        <v>59</v>
      </c>
      <c r="I1437" s="24" t="s">
        <v>59</v>
      </c>
      <c r="J1437" s="24" t="s">
        <v>60</v>
      </c>
      <c r="K1437" s="22" t="s">
        <v>97</v>
      </c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">
        <v>50.0</v>
      </c>
      <c r="B1438" s="35" t="str">
        <f t="array" ref="B1438">INDEX('Báo cáo 75 trang đích'!$B$2:$B$76,$A1438)</f>
        <v>https://techcombank.com/thong-tin/blog/vay-ngan-hang-1-ty-moi-thang-tra-bao-nhieu</v>
      </c>
      <c r="C1438" s="5" t="str">
        <f t="array" ref="C1438">INDEX('Báo cáo 75 trang đích'!$C$2:$C$76,$A1438)</f>
        <v>Home Loan</v>
      </c>
      <c r="D1438" s="20" t="s">
        <v>1682</v>
      </c>
      <c r="E1438" s="22" t="s">
        <v>963</v>
      </c>
      <c r="F1438" s="22" t="s">
        <v>81</v>
      </c>
      <c r="G1438" s="22" t="s">
        <v>1683</v>
      </c>
      <c r="H1438" s="24" t="s">
        <v>59</v>
      </c>
      <c r="I1438" s="24" t="s">
        <v>59</v>
      </c>
      <c r="J1438" s="24" t="s">
        <v>60</v>
      </c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">
        <v>50.0</v>
      </c>
      <c r="B1439" s="35" t="str">
        <f t="array" ref="B1439">INDEX('Báo cáo 75 trang đích'!$B$2:$B$76,$A1439)</f>
        <v>https://techcombank.com/thong-tin/blog/vay-ngan-hang-1-ty-moi-thang-tra-bao-nhieu</v>
      </c>
      <c r="C1439" s="5" t="str">
        <f t="array" ref="C1439">INDEX('Báo cáo 75 trang đích'!$C$2:$C$76,$A1439)</f>
        <v>Home Loan</v>
      </c>
      <c r="D1439" s="20" t="s">
        <v>1072</v>
      </c>
      <c r="E1439" s="22" t="s">
        <v>966</v>
      </c>
      <c r="F1439" s="22" t="s">
        <v>81</v>
      </c>
      <c r="G1439" s="22" t="s">
        <v>1672</v>
      </c>
      <c r="H1439" s="24" t="s">
        <v>59</v>
      </c>
      <c r="I1439" s="24" t="s">
        <v>59</v>
      </c>
      <c r="J1439" s="24" t="s">
        <v>60</v>
      </c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">
        <v>50.0</v>
      </c>
      <c r="B1440" s="35" t="str">
        <f t="array" ref="B1440">INDEX('Báo cáo 75 trang đích'!$B$2:$B$76,$A1440)</f>
        <v>https://techcombank.com/thong-tin/blog/vay-ngan-hang-1-ty-moi-thang-tra-bao-nhieu</v>
      </c>
      <c r="C1440" s="5" t="str">
        <f t="array" ref="C1440">INDEX('Báo cáo 75 trang đích'!$C$2:$C$76,$A1440)</f>
        <v>Home Loan</v>
      </c>
      <c r="D1440" s="20" t="s">
        <v>75</v>
      </c>
      <c r="E1440" s="22" t="s">
        <v>315</v>
      </c>
      <c r="F1440" s="22" t="s">
        <v>81</v>
      </c>
      <c r="G1440" s="22" t="s">
        <v>1672</v>
      </c>
      <c r="H1440" s="24" t="s">
        <v>59</v>
      </c>
      <c r="I1440" s="24" t="s">
        <v>59</v>
      </c>
      <c r="J1440" s="24" t="s">
        <v>60</v>
      </c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">
        <v>50.0</v>
      </c>
      <c r="B1441" s="35" t="str">
        <f t="array" ref="B1441">INDEX('Báo cáo 75 trang đích'!$B$2:$B$76,$A1441)</f>
        <v>https://techcombank.com/thong-tin/blog/vay-ngan-hang-1-ty-moi-thang-tra-bao-nhieu</v>
      </c>
      <c r="C1441" s="5" t="str">
        <f t="array" ref="C1441">INDEX('Báo cáo 75 trang đích'!$C$2:$C$76,$A1441)</f>
        <v>Home Loan</v>
      </c>
      <c r="D1441" s="20" t="s">
        <v>1684</v>
      </c>
      <c r="E1441" s="22" t="s">
        <v>963</v>
      </c>
      <c r="F1441" s="22" t="s">
        <v>81</v>
      </c>
      <c r="G1441" s="22" t="s">
        <v>1675</v>
      </c>
      <c r="H1441" s="24" t="s">
        <v>59</v>
      </c>
      <c r="I1441" s="24" t="s">
        <v>59</v>
      </c>
      <c r="J1441" s="24" t="s">
        <v>60</v>
      </c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">
        <v>50.0</v>
      </c>
      <c r="B1442" s="35" t="str">
        <f t="array" ref="B1442">INDEX('Báo cáo 75 trang đích'!$B$2:$B$76,$A1442)</f>
        <v>https://techcombank.com/thong-tin/blog/vay-ngan-hang-1-ty-moi-thang-tra-bao-nhieu</v>
      </c>
      <c r="C1442" s="5" t="str">
        <f t="array" ref="C1442">INDEX('Báo cáo 75 trang đích'!$C$2:$C$76,$A1442)</f>
        <v>Home Loan</v>
      </c>
      <c r="D1442" s="20" t="s">
        <v>458</v>
      </c>
      <c r="E1442" s="22" t="s">
        <v>966</v>
      </c>
      <c r="F1442" s="22" t="s">
        <v>81</v>
      </c>
      <c r="G1442" s="22" t="s">
        <v>1672</v>
      </c>
      <c r="H1442" s="24" t="s">
        <v>59</v>
      </c>
      <c r="I1442" s="24" t="s">
        <v>59</v>
      </c>
      <c r="J1442" s="24" t="s">
        <v>60</v>
      </c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">
        <v>50.0</v>
      </c>
      <c r="B1443" s="35" t="str">
        <f t="array" ref="B1443">INDEX('Báo cáo 75 trang đích'!$B$2:$B$76,$A1443)</f>
        <v>https://techcombank.com/thong-tin/blog/vay-ngan-hang-1-ty-moi-thang-tra-bao-nhieu</v>
      </c>
      <c r="C1443" s="5" t="str">
        <f t="array" ref="C1443">INDEX('Báo cáo 75 trang đích'!$C$2:$C$76,$A1443)</f>
        <v>Home Loan</v>
      </c>
      <c r="D1443" s="20" t="s">
        <v>66</v>
      </c>
      <c r="E1443" s="22" t="s">
        <v>315</v>
      </c>
      <c r="F1443" s="22" t="s">
        <v>81</v>
      </c>
      <c r="G1443" s="22" t="s">
        <v>1675</v>
      </c>
      <c r="H1443" s="24" t="s">
        <v>59</v>
      </c>
      <c r="I1443" s="24" t="s">
        <v>59</v>
      </c>
      <c r="J1443" s="24" t="s">
        <v>60</v>
      </c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">
        <v>50.0</v>
      </c>
      <c r="B1444" s="35" t="str">
        <f t="array" ref="B1444">INDEX('Báo cáo 75 trang đích'!$B$2:$B$76,$A1444)</f>
        <v>https://techcombank.com/thong-tin/blog/vay-ngan-hang-1-ty-moi-thang-tra-bao-nhieu</v>
      </c>
      <c r="C1444" s="5" t="str">
        <f t="array" ref="C1444">INDEX('Báo cáo 75 trang đích'!$C$2:$C$76,$A1444)</f>
        <v>Home Loan</v>
      </c>
      <c r="D1444" s="20" t="s">
        <v>1163</v>
      </c>
      <c r="E1444" s="22" t="s">
        <v>963</v>
      </c>
      <c r="F1444" s="22" t="s">
        <v>81</v>
      </c>
      <c r="G1444" s="22" t="s">
        <v>1675</v>
      </c>
      <c r="H1444" s="24" t="s">
        <v>59</v>
      </c>
      <c r="I1444" s="24" t="s">
        <v>59</v>
      </c>
      <c r="J1444" s="24" t="s">
        <v>60</v>
      </c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">
        <v>50.0</v>
      </c>
      <c r="B1445" s="35" t="str">
        <f t="array" ref="B1445">INDEX('Báo cáo 75 trang đích'!$B$2:$B$76,$A1445)</f>
        <v>https://techcombank.com/thong-tin/blog/vay-ngan-hang-1-ty-moi-thang-tra-bao-nhieu</v>
      </c>
      <c r="C1445" s="5" t="str">
        <f t="array" ref="C1445">INDEX('Báo cáo 75 trang đích'!$C$2:$C$76,$A1445)</f>
        <v>Home Loan</v>
      </c>
      <c r="D1445" s="20" t="s">
        <v>1466</v>
      </c>
      <c r="E1445" s="22" t="s">
        <v>966</v>
      </c>
      <c r="F1445" s="22" t="s">
        <v>81</v>
      </c>
      <c r="G1445" s="22" t="s">
        <v>1675</v>
      </c>
      <c r="H1445" s="24" t="s">
        <v>59</v>
      </c>
      <c r="I1445" s="24" t="s">
        <v>59</v>
      </c>
      <c r="J1445" s="24" t="s">
        <v>60</v>
      </c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">
        <v>50.0</v>
      </c>
      <c r="B1446" s="35" t="str">
        <f t="array" ref="B1446">INDEX('Báo cáo 75 trang đích'!$B$2:$B$76,$A1446)</f>
        <v>https://techcombank.com/thong-tin/blog/vay-ngan-hang-1-ty-moi-thang-tra-bao-nhieu</v>
      </c>
      <c r="C1446" s="5" t="str">
        <f t="array" ref="C1446">INDEX('Báo cáo 75 trang đích'!$C$2:$C$76,$A1446)</f>
        <v>Home Loan</v>
      </c>
      <c r="D1446" s="20" t="s">
        <v>1685</v>
      </c>
      <c r="E1446" s="22" t="s">
        <v>315</v>
      </c>
      <c r="F1446" s="22" t="s">
        <v>81</v>
      </c>
      <c r="G1446" s="22" t="s">
        <v>1675</v>
      </c>
      <c r="H1446" s="24" t="s">
        <v>59</v>
      </c>
      <c r="I1446" s="24" t="s">
        <v>59</v>
      </c>
      <c r="J1446" s="24" t="s">
        <v>60</v>
      </c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">
        <v>50.0</v>
      </c>
      <c r="B1447" s="35" t="str">
        <f t="array" ref="B1447">INDEX('Báo cáo 75 trang đích'!$B$2:$B$76,$A1447)</f>
        <v>https://techcombank.com/thong-tin/blog/vay-ngan-hang-1-ty-moi-thang-tra-bao-nhieu</v>
      </c>
      <c r="C1447" s="5" t="str">
        <f t="array" ref="C1447">INDEX('Báo cáo 75 trang đích'!$C$2:$C$76,$A1447)</f>
        <v>Home Loan</v>
      </c>
      <c r="D1447" s="20" t="s">
        <v>1331</v>
      </c>
      <c r="E1447" s="22" t="s">
        <v>963</v>
      </c>
      <c r="F1447" s="22" t="s">
        <v>81</v>
      </c>
      <c r="G1447" s="22" t="s">
        <v>1675</v>
      </c>
      <c r="H1447" s="24" t="s">
        <v>59</v>
      </c>
      <c r="I1447" s="24" t="s">
        <v>59</v>
      </c>
      <c r="J1447" s="24" t="s">
        <v>60</v>
      </c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">
        <v>50.0</v>
      </c>
      <c r="B1448" s="35" t="str">
        <f t="array" ref="B1448">INDEX('Báo cáo 75 trang đích'!$B$2:$B$76,$A1448)</f>
        <v>https://techcombank.com/thong-tin/blog/vay-ngan-hang-1-ty-moi-thang-tra-bao-nhieu</v>
      </c>
      <c r="C1448" s="5" t="str">
        <f t="array" ref="C1448">INDEX('Báo cáo 75 trang đích'!$C$2:$C$76,$A1448)</f>
        <v>Home Loan</v>
      </c>
      <c r="D1448" s="20" t="s">
        <v>1468</v>
      </c>
      <c r="E1448" s="22" t="s">
        <v>966</v>
      </c>
      <c r="F1448" s="22" t="s">
        <v>81</v>
      </c>
      <c r="G1448" s="22" t="s">
        <v>1675</v>
      </c>
      <c r="H1448" s="24" t="s">
        <v>59</v>
      </c>
      <c r="I1448" s="24" t="s">
        <v>59</v>
      </c>
      <c r="J1448" s="24" t="s">
        <v>60</v>
      </c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">
        <v>50.0</v>
      </c>
      <c r="B1449" s="35" t="str">
        <f t="array" ref="B1449">INDEX('Báo cáo 75 trang đích'!$B$2:$B$76,$A1449)</f>
        <v>https://techcombank.com/thong-tin/blog/vay-ngan-hang-1-ty-moi-thang-tra-bao-nhieu</v>
      </c>
      <c r="C1449" s="5" t="str">
        <f t="array" ref="C1449">INDEX('Báo cáo 75 trang đích'!$C$2:$C$76,$A1449)</f>
        <v>Home Loan</v>
      </c>
      <c r="D1449" s="20" t="s">
        <v>1686</v>
      </c>
      <c r="E1449" s="22" t="s">
        <v>315</v>
      </c>
      <c r="F1449" s="22" t="s">
        <v>81</v>
      </c>
      <c r="G1449" s="22" t="s">
        <v>1687</v>
      </c>
      <c r="H1449" s="24" t="s">
        <v>59</v>
      </c>
      <c r="I1449" s="24" t="s">
        <v>59</v>
      </c>
      <c r="J1449" s="24" t="s">
        <v>60</v>
      </c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">
        <v>50.0</v>
      </c>
      <c r="B1450" s="35" t="str">
        <f t="array" ref="B1450">INDEX('Báo cáo 75 trang đích'!$B$2:$B$76,$A1450)</f>
        <v>https://techcombank.com/thong-tin/blog/vay-ngan-hang-1-ty-moi-thang-tra-bao-nhieu</v>
      </c>
      <c r="C1450" s="5" t="str">
        <f t="array" ref="C1450">INDEX('Báo cáo 75 trang đích'!$C$2:$C$76,$A1450)</f>
        <v>Home Loan</v>
      </c>
      <c r="D1450" s="20" t="s">
        <v>128</v>
      </c>
      <c r="E1450" s="22" t="s">
        <v>963</v>
      </c>
      <c r="F1450" s="22" t="s">
        <v>81</v>
      </c>
      <c r="G1450" s="22" t="s">
        <v>1672</v>
      </c>
      <c r="H1450" s="24" t="s">
        <v>59</v>
      </c>
      <c r="I1450" s="24" t="s">
        <v>59</v>
      </c>
      <c r="J1450" s="24" t="s">
        <v>60</v>
      </c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">
        <v>50.0</v>
      </c>
      <c r="B1451" s="35" t="str">
        <f t="array" ref="B1451">INDEX('Báo cáo 75 trang đích'!$B$2:$B$76,$A1451)</f>
        <v>https://techcombank.com/thong-tin/blog/vay-ngan-hang-1-ty-moi-thang-tra-bao-nhieu</v>
      </c>
      <c r="C1451" s="5" t="str">
        <f t="array" ref="C1451">INDEX('Báo cáo 75 trang đích'!$C$2:$C$76,$A1451)</f>
        <v>Home Loan</v>
      </c>
      <c r="D1451" s="20" t="s">
        <v>71</v>
      </c>
      <c r="E1451" s="22" t="s">
        <v>966</v>
      </c>
      <c r="F1451" s="22" t="s">
        <v>81</v>
      </c>
      <c r="G1451" s="22" t="s">
        <v>1688</v>
      </c>
      <c r="H1451" s="24" t="s">
        <v>59</v>
      </c>
      <c r="I1451" s="24" t="s">
        <v>59</v>
      </c>
      <c r="J1451" s="24" t="s">
        <v>60</v>
      </c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">
        <v>50.0</v>
      </c>
      <c r="B1452" s="35" t="str">
        <f t="array" ref="B1452">INDEX('Báo cáo 75 trang đích'!$B$2:$B$76,$A1452)</f>
        <v>https://techcombank.com/thong-tin/blog/vay-ngan-hang-1-ty-moi-thang-tra-bao-nhieu</v>
      </c>
      <c r="C1452" s="5" t="str">
        <f t="array" ref="C1452">INDEX('Báo cáo 75 trang đích'!$C$2:$C$76,$A1452)</f>
        <v>Home Loan</v>
      </c>
      <c r="D1452" s="20" t="s">
        <v>1689</v>
      </c>
      <c r="E1452" s="22" t="s">
        <v>315</v>
      </c>
      <c r="F1452" s="22" t="s">
        <v>81</v>
      </c>
      <c r="G1452" s="22" t="s">
        <v>1675</v>
      </c>
      <c r="H1452" s="24" t="s">
        <v>59</v>
      </c>
      <c r="I1452" s="24" t="s">
        <v>59</v>
      </c>
      <c r="J1452" s="24" t="s">
        <v>60</v>
      </c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">
        <v>50.0</v>
      </c>
      <c r="B1453" s="35" t="str">
        <f t="array" ref="B1453">INDEX('Báo cáo 75 trang đích'!$B$2:$B$76,$A1453)</f>
        <v>https://techcombank.com/thong-tin/blog/vay-ngan-hang-1-ty-moi-thang-tra-bao-nhieu</v>
      </c>
      <c r="C1453" s="5" t="str">
        <f t="array" ref="C1453">INDEX('Báo cáo 75 trang đích'!$C$2:$C$76,$A1453)</f>
        <v>Home Loan</v>
      </c>
      <c r="D1453" s="20" t="s">
        <v>1471</v>
      </c>
      <c r="E1453" s="22" t="s">
        <v>963</v>
      </c>
      <c r="F1453" s="22" t="s">
        <v>81</v>
      </c>
      <c r="G1453" s="22" t="s">
        <v>1675</v>
      </c>
      <c r="H1453" s="24" t="s">
        <v>59</v>
      </c>
      <c r="I1453" s="24" t="s">
        <v>59</v>
      </c>
      <c r="J1453" s="24" t="s">
        <v>60</v>
      </c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">
        <v>50.0</v>
      </c>
      <c r="B1454" s="35" t="str">
        <f t="array" ref="B1454">INDEX('Báo cáo 75 trang đích'!$B$2:$B$76,$A1454)</f>
        <v>https://techcombank.com/thong-tin/blog/vay-ngan-hang-1-ty-moi-thang-tra-bao-nhieu</v>
      </c>
      <c r="C1454" s="5" t="str">
        <f t="array" ref="C1454">INDEX('Báo cáo 75 trang đích'!$C$2:$C$76,$A1454)</f>
        <v>Home Loan</v>
      </c>
      <c r="D1454" s="20" t="s">
        <v>1061</v>
      </c>
      <c r="E1454" s="22" t="s">
        <v>966</v>
      </c>
      <c r="F1454" s="22" t="s">
        <v>81</v>
      </c>
      <c r="G1454" s="22" t="s">
        <v>1672</v>
      </c>
      <c r="H1454" s="24" t="s">
        <v>59</v>
      </c>
      <c r="I1454" s="24" t="s">
        <v>59</v>
      </c>
      <c r="J1454" s="24" t="s">
        <v>60</v>
      </c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">
        <v>50.0</v>
      </c>
      <c r="B1455" s="35" t="str">
        <f t="array" ref="B1455">INDEX('Báo cáo 75 trang đích'!$B$2:$B$76,$A1455)</f>
        <v>https://techcombank.com/thong-tin/blog/vay-ngan-hang-1-ty-moi-thang-tra-bao-nhieu</v>
      </c>
      <c r="C1455" s="5" t="str">
        <f t="array" ref="C1455">INDEX('Báo cáo 75 trang đích'!$C$2:$C$76,$A1455)</f>
        <v>Home Loan</v>
      </c>
      <c r="D1455" s="20" t="s">
        <v>1194</v>
      </c>
      <c r="E1455" s="22" t="s">
        <v>315</v>
      </c>
      <c r="F1455" s="22" t="s">
        <v>81</v>
      </c>
      <c r="G1455" s="22" t="s">
        <v>1675</v>
      </c>
      <c r="H1455" s="24" t="s">
        <v>59</v>
      </c>
      <c r="I1455" s="24" t="s">
        <v>59</v>
      </c>
      <c r="J1455" s="24" t="s">
        <v>60</v>
      </c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">
        <v>50.0</v>
      </c>
      <c r="B1456" s="35" t="str">
        <f t="array" ref="B1456">INDEX('Báo cáo 75 trang đích'!$B$2:$B$76,$A1456)</f>
        <v>https://techcombank.com/thong-tin/blog/vay-ngan-hang-1-ty-moi-thang-tra-bao-nhieu</v>
      </c>
      <c r="C1456" s="5" t="str">
        <f t="array" ref="C1456">INDEX('Báo cáo 75 trang đích'!$C$2:$C$76,$A1456)</f>
        <v>Home Loan</v>
      </c>
      <c r="D1456" s="20" t="s">
        <v>786</v>
      </c>
      <c r="E1456" s="22" t="s">
        <v>963</v>
      </c>
      <c r="F1456" s="22" t="s">
        <v>81</v>
      </c>
      <c r="G1456" s="22" t="s">
        <v>1675</v>
      </c>
      <c r="H1456" s="24" t="s">
        <v>59</v>
      </c>
      <c r="I1456" s="24" t="s">
        <v>59</v>
      </c>
      <c r="J1456" s="24" t="s">
        <v>60</v>
      </c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">
        <v>50.0</v>
      </c>
      <c r="B1457" s="35" t="str">
        <f t="array" ref="B1457">INDEX('Báo cáo 75 trang đích'!$B$2:$B$76,$A1457)</f>
        <v>https://techcombank.com/thong-tin/blog/vay-ngan-hang-1-ty-moi-thang-tra-bao-nhieu</v>
      </c>
      <c r="C1457" s="5" t="str">
        <f t="array" ref="C1457">INDEX('Báo cáo 75 trang đích'!$C$2:$C$76,$A1457)</f>
        <v>Home Loan</v>
      </c>
      <c r="D1457" s="20" t="s">
        <v>1690</v>
      </c>
      <c r="E1457" s="22" t="s">
        <v>966</v>
      </c>
      <c r="F1457" s="22" t="s">
        <v>81</v>
      </c>
      <c r="G1457" s="22" t="s">
        <v>1683</v>
      </c>
      <c r="H1457" s="24" t="s">
        <v>59</v>
      </c>
      <c r="I1457" s="24" t="s">
        <v>59</v>
      </c>
      <c r="J1457" s="24" t="s">
        <v>60</v>
      </c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">
        <v>50.0</v>
      </c>
      <c r="B1458" s="35" t="str">
        <f t="array" ref="B1458">INDEX('Báo cáo 75 trang đích'!$B$2:$B$76,$A1458)</f>
        <v>https://techcombank.com/thong-tin/blog/vay-ngan-hang-1-ty-moi-thang-tra-bao-nhieu</v>
      </c>
      <c r="C1458" s="5" t="str">
        <f t="array" ref="C1458">INDEX('Báo cáo 75 trang đích'!$C$2:$C$76,$A1458)</f>
        <v>Home Loan</v>
      </c>
      <c r="D1458" s="20" t="s">
        <v>1166</v>
      </c>
      <c r="E1458" s="22" t="s">
        <v>315</v>
      </c>
      <c r="F1458" s="22" t="s">
        <v>81</v>
      </c>
      <c r="G1458" s="22" t="s">
        <v>1675</v>
      </c>
      <c r="H1458" s="24" t="s">
        <v>59</v>
      </c>
      <c r="I1458" s="24" t="s">
        <v>59</v>
      </c>
      <c r="J1458" s="24" t="s">
        <v>60</v>
      </c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">
        <v>50.0</v>
      </c>
      <c r="B1459" s="35" t="str">
        <f t="array" ref="B1459">INDEX('Báo cáo 75 trang đích'!$B$2:$B$76,$A1459)</f>
        <v>https://techcombank.com/thong-tin/blog/vay-ngan-hang-1-ty-moi-thang-tra-bao-nhieu</v>
      </c>
      <c r="C1459" s="5" t="str">
        <f t="array" ref="C1459">INDEX('Báo cáo 75 trang đích'!$C$2:$C$76,$A1459)</f>
        <v>Home Loan</v>
      </c>
      <c r="D1459" s="20" t="s">
        <v>1691</v>
      </c>
      <c r="E1459" s="22" t="s">
        <v>963</v>
      </c>
      <c r="F1459" s="22" t="s">
        <v>81</v>
      </c>
      <c r="G1459" s="22" t="s">
        <v>1681</v>
      </c>
      <c r="H1459" s="24" t="s">
        <v>59</v>
      </c>
      <c r="I1459" s="24" t="s">
        <v>59</v>
      </c>
      <c r="J1459" s="24" t="s">
        <v>60</v>
      </c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">
        <v>50.0</v>
      </c>
      <c r="B1460" s="35" t="str">
        <f t="array" ref="B1460">INDEX('Báo cáo 75 trang đích'!$B$2:$B$76,$A1460)</f>
        <v>https://techcombank.com/thong-tin/blog/vay-ngan-hang-1-ty-moi-thang-tra-bao-nhieu</v>
      </c>
      <c r="C1460" s="5" t="str">
        <f t="array" ref="C1460">INDEX('Báo cáo 75 trang đích'!$C$2:$C$76,$A1460)</f>
        <v>Home Loan</v>
      </c>
      <c r="D1460" s="20" t="s">
        <v>1692</v>
      </c>
      <c r="E1460" s="22" t="s">
        <v>966</v>
      </c>
      <c r="F1460" s="22" t="s">
        <v>81</v>
      </c>
      <c r="G1460" s="22" t="s">
        <v>1672</v>
      </c>
      <c r="H1460" s="24" t="s">
        <v>59</v>
      </c>
      <c r="I1460" s="24" t="s">
        <v>59</v>
      </c>
      <c r="J1460" s="24" t="s">
        <v>60</v>
      </c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">
        <v>50.0</v>
      </c>
      <c r="B1461" s="35" t="str">
        <f t="array" ref="B1461">INDEX('Báo cáo 75 trang đích'!$B$2:$B$76,$A1461)</f>
        <v>https://techcombank.com/thong-tin/blog/vay-ngan-hang-1-ty-moi-thang-tra-bao-nhieu</v>
      </c>
      <c r="C1461" s="5" t="str">
        <f t="array" ref="C1461">INDEX('Báo cáo 75 trang đích'!$C$2:$C$76,$A1461)</f>
        <v>Home Loan</v>
      </c>
      <c r="D1461" s="20" t="s">
        <v>1472</v>
      </c>
      <c r="E1461" s="22" t="s">
        <v>315</v>
      </c>
      <c r="F1461" s="22" t="s">
        <v>81</v>
      </c>
      <c r="G1461" s="22" t="s">
        <v>1675</v>
      </c>
      <c r="H1461" s="24" t="s">
        <v>59</v>
      </c>
      <c r="I1461" s="24" t="s">
        <v>59</v>
      </c>
      <c r="J1461" s="24" t="s">
        <v>60</v>
      </c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">
        <v>50.0</v>
      </c>
      <c r="B1462" s="35" t="str">
        <f t="array" ref="B1462">INDEX('Báo cáo 75 trang đích'!$B$2:$B$76,$A1462)</f>
        <v>https://techcombank.com/thong-tin/blog/vay-ngan-hang-1-ty-moi-thang-tra-bao-nhieu</v>
      </c>
      <c r="C1462" s="5" t="str">
        <f t="array" ref="C1462">INDEX('Báo cáo 75 trang đích'!$C$2:$C$76,$A1462)</f>
        <v>Home Loan</v>
      </c>
      <c r="D1462" s="20" t="s">
        <v>853</v>
      </c>
      <c r="E1462" s="22" t="s">
        <v>963</v>
      </c>
      <c r="F1462" s="22" t="s">
        <v>81</v>
      </c>
      <c r="G1462" s="22" t="s">
        <v>1675</v>
      </c>
      <c r="H1462" s="24" t="s">
        <v>59</v>
      </c>
      <c r="I1462" s="24" t="s">
        <v>59</v>
      </c>
      <c r="J1462" s="24" t="s">
        <v>60</v>
      </c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">
        <v>50.0</v>
      </c>
      <c r="B1463" s="35" t="str">
        <f t="array" ref="B1463">INDEX('Báo cáo 75 trang đích'!$B$2:$B$76,$A1463)</f>
        <v>https://techcombank.com/thong-tin/blog/vay-ngan-hang-1-ty-moi-thang-tra-bao-nhieu</v>
      </c>
      <c r="C1463" s="5" t="str">
        <f t="array" ref="C1463">INDEX('Báo cáo 75 trang đích'!$C$2:$C$76,$A1463)</f>
        <v>Home Loan</v>
      </c>
      <c r="D1463" s="20" t="s">
        <v>809</v>
      </c>
      <c r="E1463" s="22" t="s">
        <v>966</v>
      </c>
      <c r="F1463" s="22" t="s">
        <v>81</v>
      </c>
      <c r="G1463" s="22" t="s">
        <v>1672</v>
      </c>
      <c r="H1463" s="24" t="s">
        <v>59</v>
      </c>
      <c r="I1463" s="24" t="s">
        <v>59</v>
      </c>
      <c r="J1463" s="24" t="s">
        <v>60</v>
      </c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">
        <v>50.0</v>
      </c>
      <c r="B1464" s="35" t="str">
        <f t="array" ref="B1464">INDEX('Báo cáo 75 trang đích'!$B$2:$B$76,$A1464)</f>
        <v>https://techcombank.com/thong-tin/blog/vay-ngan-hang-1-ty-moi-thang-tra-bao-nhieu</v>
      </c>
      <c r="C1464" s="5" t="str">
        <f t="array" ref="C1464">INDEX('Báo cáo 75 trang đích'!$C$2:$C$76,$A1464)</f>
        <v>Home Loan</v>
      </c>
      <c r="D1464" s="20" t="s">
        <v>132</v>
      </c>
      <c r="E1464" s="22" t="s">
        <v>315</v>
      </c>
      <c r="F1464" s="22" t="s">
        <v>81</v>
      </c>
      <c r="G1464" s="22" t="s">
        <v>1672</v>
      </c>
      <c r="H1464" s="24" t="s">
        <v>59</v>
      </c>
      <c r="I1464" s="24" t="s">
        <v>59</v>
      </c>
      <c r="J1464" s="24" t="s">
        <v>60</v>
      </c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">
        <v>50.0</v>
      </c>
      <c r="B1465" s="35" t="str">
        <f t="array" ref="B1465">INDEX('Báo cáo 75 trang đích'!$B$2:$B$76,$A1465)</f>
        <v>https://techcombank.com/thong-tin/blog/vay-ngan-hang-1-ty-moi-thang-tra-bao-nhieu</v>
      </c>
      <c r="C1465" s="5" t="str">
        <f t="array" ref="C1465">INDEX('Báo cáo 75 trang đích'!$C$2:$C$76,$A1465)</f>
        <v>Home Loan</v>
      </c>
      <c r="D1465" s="20" t="s">
        <v>1515</v>
      </c>
      <c r="E1465" s="22" t="s">
        <v>963</v>
      </c>
      <c r="F1465" s="22" t="s">
        <v>81</v>
      </c>
      <c r="G1465" s="22" t="s">
        <v>1683</v>
      </c>
      <c r="H1465" s="24" t="s">
        <v>59</v>
      </c>
      <c r="I1465" s="24" t="s">
        <v>59</v>
      </c>
      <c r="J1465" s="24" t="s">
        <v>60</v>
      </c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">
        <v>50.0</v>
      </c>
      <c r="B1466" s="35" t="str">
        <f t="array" ref="B1466">INDEX('Báo cáo 75 trang đích'!$B$2:$B$76,$A1466)</f>
        <v>https://techcombank.com/thong-tin/blog/vay-ngan-hang-1-ty-moi-thang-tra-bao-nhieu</v>
      </c>
      <c r="C1466" s="5" t="str">
        <f t="array" ref="C1466">INDEX('Báo cáo 75 trang đích'!$C$2:$C$76,$A1466)</f>
        <v>Home Loan</v>
      </c>
      <c r="D1466" s="20" t="s">
        <v>1693</v>
      </c>
      <c r="E1466" s="22" t="s">
        <v>966</v>
      </c>
      <c r="F1466" s="22" t="s">
        <v>81</v>
      </c>
      <c r="G1466" s="22" t="s">
        <v>1672</v>
      </c>
      <c r="H1466" s="24" t="s">
        <v>59</v>
      </c>
      <c r="I1466" s="24" t="s">
        <v>59</v>
      </c>
      <c r="J1466" s="24" t="s">
        <v>60</v>
      </c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">
        <v>50.0</v>
      </c>
      <c r="B1467" s="35" t="str">
        <f t="array" ref="B1467">INDEX('Báo cáo 75 trang đích'!$B$2:$B$76,$A1467)</f>
        <v>https://techcombank.com/thong-tin/blog/vay-ngan-hang-1-ty-moi-thang-tra-bao-nhieu</v>
      </c>
      <c r="C1467" s="5" t="str">
        <f t="array" ref="C1467">INDEX('Báo cáo 75 trang đích'!$C$2:$C$76,$A1467)</f>
        <v>Home Loan</v>
      </c>
      <c r="D1467" s="20" t="s">
        <v>1694</v>
      </c>
      <c r="E1467" s="22" t="s">
        <v>315</v>
      </c>
      <c r="F1467" s="22" t="s">
        <v>81</v>
      </c>
      <c r="G1467" s="22" t="s">
        <v>1672</v>
      </c>
      <c r="H1467" s="24" t="s">
        <v>59</v>
      </c>
      <c r="I1467" s="24" t="s">
        <v>59</v>
      </c>
      <c r="J1467" s="24" t="s">
        <v>60</v>
      </c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">
        <v>50.0</v>
      </c>
      <c r="B1468" s="35" t="str">
        <f t="array" ref="B1468">INDEX('Báo cáo 75 trang đích'!$B$2:$B$76,$A1468)</f>
        <v>https://techcombank.com/thong-tin/blog/vay-ngan-hang-1-ty-moi-thang-tra-bao-nhieu</v>
      </c>
      <c r="C1468" s="5" t="str">
        <f t="array" ref="C1468">INDEX('Báo cáo 75 trang đích'!$C$2:$C$76,$A1468)</f>
        <v>Home Loan</v>
      </c>
      <c r="D1468" s="20" t="s">
        <v>1076</v>
      </c>
      <c r="E1468" s="22" t="s">
        <v>963</v>
      </c>
      <c r="F1468" s="22" t="s">
        <v>81</v>
      </c>
      <c r="G1468" s="22" t="s">
        <v>1672</v>
      </c>
      <c r="H1468" s="24" t="s">
        <v>59</v>
      </c>
      <c r="I1468" s="24" t="s">
        <v>59</v>
      </c>
      <c r="J1468" s="24" t="s">
        <v>60</v>
      </c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">
        <v>50.0</v>
      </c>
      <c r="B1469" s="35" t="str">
        <f t="array" ref="B1469">INDEX('Báo cáo 75 trang đích'!$B$2:$B$76,$A1469)</f>
        <v>https://techcombank.com/thong-tin/blog/vay-ngan-hang-1-ty-moi-thang-tra-bao-nhieu</v>
      </c>
      <c r="C1469" s="5" t="str">
        <f t="array" ref="C1469">INDEX('Báo cáo 75 trang đích'!$C$2:$C$76,$A1469)</f>
        <v>Home Loan</v>
      </c>
      <c r="D1469" s="20" t="s">
        <v>26</v>
      </c>
      <c r="E1469" s="22" t="s">
        <v>966</v>
      </c>
      <c r="F1469" s="22" t="s">
        <v>81</v>
      </c>
      <c r="G1469" s="22" t="s">
        <v>1672</v>
      </c>
      <c r="H1469" s="24" t="s">
        <v>59</v>
      </c>
      <c r="I1469" s="24" t="s">
        <v>59</v>
      </c>
      <c r="J1469" s="24" t="s">
        <v>60</v>
      </c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">
        <v>50.0</v>
      </c>
      <c r="B1470" s="35" t="str">
        <f t="array" ref="B1470">INDEX('Báo cáo 75 trang đích'!$B$2:$B$76,$A1470)</f>
        <v>https://techcombank.com/thong-tin/blog/vay-ngan-hang-1-ty-moi-thang-tra-bao-nhieu</v>
      </c>
      <c r="C1470" s="5" t="str">
        <f t="array" ref="C1470">INDEX('Báo cáo 75 trang đích'!$C$2:$C$76,$A1470)</f>
        <v>Home Loan</v>
      </c>
      <c r="D1470" s="20" t="s">
        <v>1078</v>
      </c>
      <c r="E1470" s="22" t="s">
        <v>315</v>
      </c>
      <c r="F1470" s="22" t="s">
        <v>81</v>
      </c>
      <c r="G1470" s="22" t="s">
        <v>1672</v>
      </c>
      <c r="H1470" s="24" t="s">
        <v>59</v>
      </c>
      <c r="I1470" s="24" t="s">
        <v>59</v>
      </c>
      <c r="J1470" s="24" t="s">
        <v>60</v>
      </c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">
        <v>50.0</v>
      </c>
      <c r="B1471" s="35" t="str">
        <f t="array" ref="B1471">INDEX('Báo cáo 75 trang đích'!$B$2:$B$76,$A1471)</f>
        <v>https://techcombank.com/thong-tin/blog/vay-ngan-hang-1-ty-moi-thang-tra-bao-nhieu</v>
      </c>
      <c r="C1471" s="5" t="str">
        <f t="array" ref="C1471">INDEX('Báo cáo 75 trang đích'!$C$2:$C$76,$A1471)</f>
        <v>Home Loan</v>
      </c>
      <c r="D1471" s="20" t="s">
        <v>1517</v>
      </c>
      <c r="E1471" s="22" t="s">
        <v>963</v>
      </c>
      <c r="F1471" s="22" t="s">
        <v>81</v>
      </c>
      <c r="G1471" s="22" t="s">
        <v>1683</v>
      </c>
      <c r="H1471" s="24" t="s">
        <v>59</v>
      </c>
      <c r="I1471" s="24" t="s">
        <v>59</v>
      </c>
      <c r="J1471" s="24" t="s">
        <v>60</v>
      </c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">
        <v>50.0</v>
      </c>
      <c r="B1472" s="35" t="str">
        <f t="array" ref="B1472">INDEX('Báo cáo 75 trang đích'!$B$2:$B$76,$A1472)</f>
        <v>https://techcombank.com/thong-tin/blog/vay-ngan-hang-1-ty-moi-thang-tra-bao-nhieu</v>
      </c>
      <c r="C1472" s="5" t="str">
        <f t="array" ref="C1472">INDEX('Báo cáo 75 trang đích'!$C$2:$C$76,$A1472)</f>
        <v>Home Loan</v>
      </c>
      <c r="D1472" s="20" t="s">
        <v>1175</v>
      </c>
      <c r="E1472" s="22" t="s">
        <v>966</v>
      </c>
      <c r="F1472" s="22" t="s">
        <v>81</v>
      </c>
      <c r="G1472" s="22" t="s">
        <v>1675</v>
      </c>
      <c r="H1472" s="24" t="s">
        <v>59</v>
      </c>
      <c r="I1472" s="24" t="s">
        <v>59</v>
      </c>
      <c r="J1472" s="24" t="s">
        <v>60</v>
      </c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">
        <v>50.0</v>
      </c>
      <c r="B1473" s="35" t="str">
        <f t="array" ref="B1473">INDEX('Báo cáo 75 trang đích'!$B$2:$B$76,$A1473)</f>
        <v>https://techcombank.com/thong-tin/blog/vay-ngan-hang-1-ty-moi-thang-tra-bao-nhieu</v>
      </c>
      <c r="C1473" s="5" t="str">
        <f t="array" ref="C1473">INDEX('Báo cáo 75 trang đích'!$C$2:$C$76,$A1473)</f>
        <v>Home Loan</v>
      </c>
      <c r="D1473" s="20" t="s">
        <v>1292</v>
      </c>
      <c r="E1473" s="22" t="s">
        <v>315</v>
      </c>
      <c r="F1473" s="22" t="s">
        <v>81</v>
      </c>
      <c r="G1473" s="22" t="s">
        <v>1672</v>
      </c>
      <c r="H1473" s="24" t="s">
        <v>59</v>
      </c>
      <c r="I1473" s="24" t="s">
        <v>59</v>
      </c>
      <c r="J1473" s="24" t="s">
        <v>60</v>
      </c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">
        <v>50.0</v>
      </c>
      <c r="B1474" s="35" t="str">
        <f t="array" ref="B1474">INDEX('Báo cáo 75 trang đích'!$B$2:$B$76,$A1474)</f>
        <v>https://techcombank.com/thong-tin/blog/vay-ngan-hang-1-ty-moi-thang-tra-bao-nhieu</v>
      </c>
      <c r="C1474" s="5" t="str">
        <f t="array" ref="C1474">INDEX('Báo cáo 75 trang đích'!$C$2:$C$76,$A1474)</f>
        <v>Home Loan</v>
      </c>
      <c r="D1474" s="20" t="s">
        <v>737</v>
      </c>
      <c r="E1474" s="22" t="s">
        <v>963</v>
      </c>
      <c r="F1474" s="22" t="s">
        <v>81</v>
      </c>
      <c r="G1474" s="22" t="s">
        <v>1675</v>
      </c>
      <c r="H1474" s="24" t="s">
        <v>59</v>
      </c>
      <c r="I1474" s="24" t="s">
        <v>59</v>
      </c>
      <c r="J1474" s="24" t="s">
        <v>60</v>
      </c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">
        <v>50.0</v>
      </c>
      <c r="B1475" s="35" t="str">
        <f t="array" ref="B1475">INDEX('Báo cáo 75 trang đích'!$B$2:$B$76,$A1475)</f>
        <v>https://techcombank.com/thong-tin/blog/vay-ngan-hang-1-ty-moi-thang-tra-bao-nhieu</v>
      </c>
      <c r="C1475" s="5" t="str">
        <f t="array" ref="C1475">INDEX('Báo cáo 75 trang đích'!$C$2:$C$76,$A1475)</f>
        <v>Home Loan</v>
      </c>
      <c r="D1475" s="20" t="s">
        <v>1293</v>
      </c>
      <c r="E1475" s="22" t="s">
        <v>966</v>
      </c>
      <c r="F1475" s="22" t="s">
        <v>81</v>
      </c>
      <c r="G1475" s="22" t="s">
        <v>1675</v>
      </c>
      <c r="H1475" s="24" t="s">
        <v>59</v>
      </c>
      <c r="I1475" s="24" t="s">
        <v>59</v>
      </c>
      <c r="J1475" s="24" t="s">
        <v>60</v>
      </c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">
        <v>50.0</v>
      </c>
      <c r="B1476" s="35" t="str">
        <f t="array" ref="B1476">INDEX('Báo cáo 75 trang đích'!$B$2:$B$76,$A1476)</f>
        <v>https://techcombank.com/thong-tin/blog/vay-ngan-hang-1-ty-moi-thang-tra-bao-nhieu</v>
      </c>
      <c r="C1476" s="5" t="str">
        <f t="array" ref="C1476">INDEX('Báo cáo 75 trang đích'!$C$2:$C$76,$A1476)</f>
        <v>Home Loan</v>
      </c>
      <c r="D1476" s="20" t="s">
        <v>1057</v>
      </c>
      <c r="E1476" s="22" t="s">
        <v>315</v>
      </c>
      <c r="F1476" s="22" t="s">
        <v>81</v>
      </c>
      <c r="G1476" s="22" t="s">
        <v>1675</v>
      </c>
      <c r="H1476" s="24" t="s">
        <v>59</v>
      </c>
      <c r="I1476" s="24" t="s">
        <v>59</v>
      </c>
      <c r="J1476" s="24" t="s">
        <v>60</v>
      </c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">
        <v>50.0</v>
      </c>
      <c r="B1477" s="35" t="str">
        <f t="array" ref="B1477">INDEX('Báo cáo 75 trang đích'!$B$2:$B$76,$A1477)</f>
        <v>https://techcombank.com/thong-tin/blog/vay-ngan-hang-1-ty-moi-thang-tra-bao-nhieu</v>
      </c>
      <c r="C1477" s="5" t="str">
        <f t="array" ref="C1477">INDEX('Báo cáo 75 trang đích'!$C$2:$C$76,$A1477)</f>
        <v>Home Loan</v>
      </c>
      <c r="D1477" s="20" t="s">
        <v>1518</v>
      </c>
      <c r="E1477" s="22" t="s">
        <v>963</v>
      </c>
      <c r="F1477" s="22" t="s">
        <v>81</v>
      </c>
      <c r="G1477" s="22" t="s">
        <v>1675</v>
      </c>
      <c r="H1477" s="24" t="s">
        <v>59</v>
      </c>
      <c r="I1477" s="24" t="s">
        <v>59</v>
      </c>
      <c r="J1477" s="24" t="s">
        <v>60</v>
      </c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">
        <v>50.0</v>
      </c>
      <c r="B1478" s="35" t="str">
        <f t="array" ref="B1478">INDEX('Báo cáo 75 trang đích'!$B$2:$B$76,$A1478)</f>
        <v>https://techcombank.com/thong-tin/blog/vay-ngan-hang-1-ty-moi-thang-tra-bao-nhieu</v>
      </c>
      <c r="C1478" s="5" t="str">
        <f t="array" ref="C1478">INDEX('Báo cáo 75 trang đích'!$C$2:$C$76,$A1478)</f>
        <v>Home Loan</v>
      </c>
      <c r="D1478" s="20" t="s">
        <v>1695</v>
      </c>
      <c r="E1478" s="22" t="s">
        <v>966</v>
      </c>
      <c r="F1478" s="22" t="s">
        <v>81</v>
      </c>
      <c r="G1478" s="22" t="s">
        <v>1675</v>
      </c>
      <c r="H1478" s="24" t="s">
        <v>59</v>
      </c>
      <c r="I1478" s="24" t="s">
        <v>59</v>
      </c>
      <c r="J1478" s="24" t="s">
        <v>60</v>
      </c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">
        <v>50.0</v>
      </c>
      <c r="B1479" s="35" t="str">
        <f t="array" ref="B1479">INDEX('Báo cáo 75 trang đích'!$B$2:$B$76,$A1479)</f>
        <v>https://techcombank.com/thong-tin/blog/vay-ngan-hang-1-ty-moi-thang-tra-bao-nhieu</v>
      </c>
      <c r="C1479" s="5" t="str">
        <f t="array" ref="C1479">INDEX('Báo cáo 75 trang đích'!$C$2:$C$76,$A1479)</f>
        <v>Home Loan</v>
      </c>
      <c r="D1479" s="20" t="s">
        <v>1696</v>
      </c>
      <c r="E1479" s="22" t="s">
        <v>315</v>
      </c>
      <c r="F1479" s="22" t="s">
        <v>81</v>
      </c>
      <c r="G1479" s="22" t="s">
        <v>1672</v>
      </c>
      <c r="H1479" s="24" t="s">
        <v>59</v>
      </c>
      <c r="I1479" s="24" t="s">
        <v>59</v>
      </c>
      <c r="J1479" s="24" t="s">
        <v>60</v>
      </c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">
        <v>51.0</v>
      </c>
      <c r="B1480" s="35" t="str">
        <f t="array" ref="B1480">INDEX('Báo cáo 75 trang đích'!$B$2:$B$76,$A1480)</f>
        <v>https://techcombank.com/thong-tin/blog/traveloka-voucher</v>
      </c>
      <c r="C1480" s="5" t="str">
        <f t="array" ref="C1480">INDEX('Báo cáo 75 trang đích'!$C$2:$C$76,$A1480)</f>
        <v>Loyalty</v>
      </c>
      <c r="D1480" s="20" t="s">
        <v>973</v>
      </c>
      <c r="E1480" s="22" t="s">
        <v>320</v>
      </c>
      <c r="F1480" s="22" t="s">
        <v>57</v>
      </c>
      <c r="G1480" s="22" t="s">
        <v>1697</v>
      </c>
      <c r="H1480" s="24" t="s">
        <v>59</v>
      </c>
      <c r="I1480" s="24" t="s">
        <v>59</v>
      </c>
      <c r="J1480" s="24" t="s">
        <v>60</v>
      </c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">
        <v>51.0</v>
      </c>
      <c r="B1481" s="35" t="str">
        <f t="array" ref="B1481">INDEX('Báo cáo 75 trang đích'!$B$2:$B$76,$A1481)</f>
        <v>https://techcombank.com/thong-tin/blog/traveloka-voucher</v>
      </c>
      <c r="C1481" s="5" t="str">
        <f t="array" ref="C1481">INDEX('Báo cáo 75 trang đích'!$C$2:$C$76,$A1481)</f>
        <v>Loyalty</v>
      </c>
      <c r="D1481" s="20" t="s">
        <v>976</v>
      </c>
      <c r="E1481" s="22" t="s">
        <v>979</v>
      </c>
      <c r="F1481" s="22" t="s">
        <v>57</v>
      </c>
      <c r="G1481" s="22" t="s">
        <v>1698</v>
      </c>
      <c r="H1481" s="24" t="s">
        <v>59</v>
      </c>
      <c r="I1481" s="24" t="s">
        <v>59</v>
      </c>
      <c r="J1481" s="24" t="s">
        <v>60</v>
      </c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">
        <v>51.0</v>
      </c>
      <c r="B1482" s="35" t="str">
        <f t="array" ref="B1482">INDEX('Báo cáo 75 trang đích'!$B$2:$B$76,$A1482)</f>
        <v>https://techcombank.com/thong-tin/blog/traveloka-voucher</v>
      </c>
      <c r="C1482" s="5" t="str">
        <f t="array" ref="C1482">INDEX('Báo cáo 75 trang đích'!$C$2:$C$76,$A1482)</f>
        <v>Loyalty</v>
      </c>
      <c r="D1482" s="20" t="s">
        <v>980</v>
      </c>
      <c r="E1482" s="22" t="s">
        <v>320</v>
      </c>
      <c r="F1482" s="22" t="s">
        <v>57</v>
      </c>
      <c r="G1482" s="22" t="s">
        <v>1699</v>
      </c>
      <c r="H1482" s="24" t="s">
        <v>59</v>
      </c>
      <c r="I1482" s="24" t="s">
        <v>59</v>
      </c>
      <c r="J1482" s="24" t="s">
        <v>60</v>
      </c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">
        <v>51.0</v>
      </c>
      <c r="B1483" s="35" t="str">
        <f t="array" ref="B1483">INDEX('Báo cáo 75 trang đích'!$B$2:$B$76,$A1483)</f>
        <v>https://techcombank.com/thong-tin/blog/traveloka-voucher</v>
      </c>
      <c r="C1483" s="5" t="str">
        <f t="array" ref="C1483">INDEX('Báo cáo 75 trang đích'!$C$2:$C$76,$A1483)</f>
        <v>Loyalty</v>
      </c>
      <c r="D1483" s="20" t="s">
        <v>983</v>
      </c>
      <c r="E1483" s="22" t="s">
        <v>979</v>
      </c>
      <c r="F1483" s="22" t="s">
        <v>76</v>
      </c>
      <c r="G1483" s="22" t="s">
        <v>1700</v>
      </c>
      <c r="H1483" s="24" t="s">
        <v>59</v>
      </c>
      <c r="I1483" s="24" t="s">
        <v>59</v>
      </c>
      <c r="J1483" s="24" t="s">
        <v>60</v>
      </c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">
        <v>51.0</v>
      </c>
      <c r="B1484" s="35" t="str">
        <f t="array" ref="B1484">INDEX('Báo cáo 75 trang đích'!$B$2:$B$76,$A1484)</f>
        <v>https://techcombank.com/thong-tin/blog/traveloka-voucher</v>
      </c>
      <c r="C1484" s="5" t="str">
        <f t="array" ref="C1484">INDEX('Báo cáo 75 trang đích'!$C$2:$C$76,$A1484)</f>
        <v>Loyalty</v>
      </c>
      <c r="D1484" s="20" t="s">
        <v>1277</v>
      </c>
      <c r="E1484" s="22" t="s">
        <v>320</v>
      </c>
      <c r="F1484" s="22" t="s">
        <v>76</v>
      </c>
      <c r="G1484" s="22" t="s">
        <v>1701</v>
      </c>
      <c r="H1484" s="24" t="s">
        <v>59</v>
      </c>
      <c r="I1484" s="24" t="s">
        <v>59</v>
      </c>
      <c r="J1484" s="24" t="s">
        <v>60</v>
      </c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">
        <v>51.0</v>
      </c>
      <c r="B1485" s="35" t="str">
        <f t="array" ref="B1485">INDEX('Báo cáo 75 trang đích'!$B$2:$B$76,$A1485)</f>
        <v>https://techcombank.com/thong-tin/blog/traveloka-voucher</v>
      </c>
      <c r="C1485" s="5" t="str">
        <f t="array" ref="C1485">INDEX('Báo cáo 75 trang đích'!$C$2:$C$76,$A1485)</f>
        <v>Loyalty</v>
      </c>
      <c r="D1485" s="20" t="s">
        <v>1702</v>
      </c>
      <c r="E1485" s="22" t="s">
        <v>979</v>
      </c>
      <c r="F1485" s="22" t="s">
        <v>81</v>
      </c>
      <c r="G1485" s="22" t="s">
        <v>1703</v>
      </c>
      <c r="H1485" s="24" t="s">
        <v>59</v>
      </c>
      <c r="I1485" s="24" t="s">
        <v>59</v>
      </c>
      <c r="J1485" s="24" t="s">
        <v>60</v>
      </c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">
        <v>51.0</v>
      </c>
      <c r="B1486" s="35" t="str">
        <f t="array" ref="B1486">INDEX('Báo cáo 75 trang đích'!$B$2:$B$76,$A1486)</f>
        <v>https://techcombank.com/thong-tin/blog/traveloka-voucher</v>
      </c>
      <c r="C1486" s="5" t="str">
        <f t="array" ref="C1486">INDEX('Báo cáo 75 trang đích'!$C$2:$C$76,$A1486)</f>
        <v>Loyalty</v>
      </c>
      <c r="D1486" s="20" t="s">
        <v>1704</v>
      </c>
      <c r="E1486" s="22" t="s">
        <v>320</v>
      </c>
      <c r="F1486" s="22" t="s">
        <v>81</v>
      </c>
      <c r="G1486" s="22" t="s">
        <v>1705</v>
      </c>
      <c r="H1486" s="24" t="s">
        <v>59</v>
      </c>
      <c r="I1486" s="24" t="s">
        <v>59</v>
      </c>
      <c r="J1486" s="24" t="s">
        <v>60</v>
      </c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">
        <v>51.0</v>
      </c>
      <c r="B1487" s="35" t="str">
        <f t="array" ref="B1487">INDEX('Báo cáo 75 trang đích'!$B$2:$B$76,$A1487)</f>
        <v>https://techcombank.com/thong-tin/blog/traveloka-voucher</v>
      </c>
      <c r="C1487" s="5" t="str">
        <f t="array" ref="C1487">INDEX('Báo cáo 75 trang đích'!$C$2:$C$76,$A1487)</f>
        <v>Loyalty</v>
      </c>
      <c r="D1487" s="20" t="s">
        <v>1706</v>
      </c>
      <c r="E1487" s="22" t="s">
        <v>979</v>
      </c>
      <c r="F1487" s="22" t="s">
        <v>81</v>
      </c>
      <c r="G1487" s="22" t="s">
        <v>1707</v>
      </c>
      <c r="H1487" s="24" t="s">
        <v>59</v>
      </c>
      <c r="I1487" s="24" t="s">
        <v>59</v>
      </c>
      <c r="J1487" s="24" t="s">
        <v>60</v>
      </c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">
        <v>51.0</v>
      </c>
      <c r="B1488" s="35" t="str">
        <f t="array" ref="B1488">INDEX('Báo cáo 75 trang đích'!$B$2:$B$76,$A1488)</f>
        <v>https://techcombank.com/thong-tin/blog/traveloka-voucher</v>
      </c>
      <c r="C1488" s="5" t="str">
        <f t="array" ref="C1488">INDEX('Báo cáo 75 trang đích'!$C$2:$C$76,$A1488)</f>
        <v>Loyalty</v>
      </c>
      <c r="D1488" s="20" t="s">
        <v>1708</v>
      </c>
      <c r="E1488" s="22" t="s">
        <v>320</v>
      </c>
      <c r="F1488" s="22" t="s">
        <v>81</v>
      </c>
      <c r="G1488" s="22" t="s">
        <v>1709</v>
      </c>
      <c r="H1488" s="24" t="s">
        <v>59</v>
      </c>
      <c r="I1488" s="24" t="s">
        <v>59</v>
      </c>
      <c r="J1488" s="24" t="s">
        <v>60</v>
      </c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">
        <v>51.0</v>
      </c>
      <c r="B1489" s="35" t="str">
        <f t="array" ref="B1489">INDEX('Báo cáo 75 trang đích'!$B$2:$B$76,$A1489)</f>
        <v>https://techcombank.com/thong-tin/blog/traveloka-voucher</v>
      </c>
      <c r="C1489" s="5" t="str">
        <f t="array" ref="C1489">INDEX('Báo cáo 75 trang đích'!$C$2:$C$76,$A1489)</f>
        <v>Loyalty</v>
      </c>
      <c r="D1489" s="20" t="s">
        <v>1710</v>
      </c>
      <c r="E1489" s="22" t="s">
        <v>979</v>
      </c>
      <c r="F1489" s="22" t="s">
        <v>81</v>
      </c>
      <c r="G1489" s="22" t="s">
        <v>1709</v>
      </c>
      <c r="H1489" s="24" t="s">
        <v>59</v>
      </c>
      <c r="I1489" s="24" t="s">
        <v>59</v>
      </c>
      <c r="J1489" s="24" t="s">
        <v>60</v>
      </c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">
        <v>51.0</v>
      </c>
      <c r="B1490" s="35" t="str">
        <f t="array" ref="B1490">INDEX('Báo cáo 75 trang đích'!$B$2:$B$76,$A1490)</f>
        <v>https://techcombank.com/thong-tin/blog/traveloka-voucher</v>
      </c>
      <c r="C1490" s="5" t="str">
        <f t="array" ref="C1490">INDEX('Báo cáo 75 trang đích'!$C$2:$C$76,$A1490)</f>
        <v>Loyalty</v>
      </c>
      <c r="D1490" s="20" t="s">
        <v>1584</v>
      </c>
      <c r="E1490" s="22" t="s">
        <v>320</v>
      </c>
      <c r="F1490" s="22" t="s">
        <v>81</v>
      </c>
      <c r="G1490" s="22" t="s">
        <v>1703</v>
      </c>
      <c r="H1490" s="24" t="s">
        <v>59</v>
      </c>
      <c r="I1490" s="24" t="s">
        <v>59</v>
      </c>
      <c r="J1490" s="24" t="s">
        <v>60</v>
      </c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">
        <v>51.0</v>
      </c>
      <c r="B1491" s="35" t="str">
        <f t="array" ref="B1491">INDEX('Báo cáo 75 trang đích'!$B$2:$B$76,$A1491)</f>
        <v>https://techcombank.com/thong-tin/blog/traveloka-voucher</v>
      </c>
      <c r="C1491" s="5" t="str">
        <f t="array" ref="C1491">INDEX('Báo cáo 75 trang đích'!$C$2:$C$76,$A1491)</f>
        <v>Loyalty</v>
      </c>
      <c r="D1491" s="20" t="s">
        <v>1711</v>
      </c>
      <c r="E1491" s="22" t="s">
        <v>979</v>
      </c>
      <c r="F1491" s="22" t="s">
        <v>81</v>
      </c>
      <c r="G1491" s="22" t="s">
        <v>1703</v>
      </c>
      <c r="H1491" s="24" t="s">
        <v>59</v>
      </c>
      <c r="I1491" s="24" t="s">
        <v>59</v>
      </c>
      <c r="J1491" s="24" t="s">
        <v>60</v>
      </c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">
        <v>51.0</v>
      </c>
      <c r="B1492" s="35" t="str">
        <f t="array" ref="B1492">INDEX('Báo cáo 75 trang đích'!$B$2:$B$76,$A1492)</f>
        <v>https://techcombank.com/thong-tin/blog/traveloka-voucher</v>
      </c>
      <c r="C1492" s="5" t="str">
        <f t="array" ref="C1492">INDEX('Báo cáo 75 trang đích'!$C$2:$C$76,$A1492)</f>
        <v>Loyalty</v>
      </c>
      <c r="D1492" s="20" t="s">
        <v>1712</v>
      </c>
      <c r="E1492" s="22" t="s">
        <v>320</v>
      </c>
      <c r="F1492" s="22" t="s">
        <v>81</v>
      </c>
      <c r="G1492" s="22" t="s">
        <v>1709</v>
      </c>
      <c r="H1492" s="24" t="s">
        <v>59</v>
      </c>
      <c r="I1492" s="24" t="s">
        <v>59</v>
      </c>
      <c r="J1492" s="24" t="s">
        <v>60</v>
      </c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">
        <v>51.0</v>
      </c>
      <c r="B1493" s="35" t="str">
        <f t="array" ref="B1493">INDEX('Báo cáo 75 trang đích'!$B$2:$B$76,$A1493)</f>
        <v>https://techcombank.com/thong-tin/blog/traveloka-voucher</v>
      </c>
      <c r="C1493" s="5" t="str">
        <f t="array" ref="C1493">INDEX('Báo cáo 75 trang đích'!$C$2:$C$76,$A1493)</f>
        <v>Loyalty</v>
      </c>
      <c r="D1493" s="20" t="s">
        <v>1713</v>
      </c>
      <c r="E1493" s="22" t="s">
        <v>979</v>
      </c>
      <c r="F1493" s="22" t="s">
        <v>81</v>
      </c>
      <c r="G1493" s="22" t="s">
        <v>1709</v>
      </c>
      <c r="H1493" s="24" t="s">
        <v>59</v>
      </c>
      <c r="I1493" s="24" t="s">
        <v>59</v>
      </c>
      <c r="J1493" s="24" t="s">
        <v>60</v>
      </c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">
        <v>51.0</v>
      </c>
      <c r="B1494" s="35" t="str">
        <f t="array" ref="B1494">INDEX('Báo cáo 75 trang đích'!$B$2:$B$76,$A1494)</f>
        <v>https://techcombank.com/thong-tin/blog/traveloka-voucher</v>
      </c>
      <c r="C1494" s="5" t="str">
        <f t="array" ref="C1494">INDEX('Báo cáo 75 trang đích'!$C$2:$C$76,$A1494)</f>
        <v>Loyalty</v>
      </c>
      <c r="D1494" s="20" t="s">
        <v>1714</v>
      </c>
      <c r="E1494" s="22" t="s">
        <v>320</v>
      </c>
      <c r="F1494" s="22" t="s">
        <v>81</v>
      </c>
      <c r="G1494" s="22" t="s">
        <v>1703</v>
      </c>
      <c r="H1494" s="24" t="s">
        <v>59</v>
      </c>
      <c r="I1494" s="24" t="s">
        <v>59</v>
      </c>
      <c r="J1494" s="24" t="s">
        <v>60</v>
      </c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">
        <v>51.0</v>
      </c>
      <c r="B1495" s="35" t="str">
        <f t="array" ref="B1495">INDEX('Báo cáo 75 trang đích'!$B$2:$B$76,$A1495)</f>
        <v>https://techcombank.com/thong-tin/blog/traveloka-voucher</v>
      </c>
      <c r="C1495" s="5" t="str">
        <f t="array" ref="C1495">INDEX('Báo cáo 75 trang đích'!$C$2:$C$76,$A1495)</f>
        <v>Loyalty</v>
      </c>
      <c r="D1495" s="20" t="s">
        <v>1715</v>
      </c>
      <c r="E1495" s="22" t="s">
        <v>979</v>
      </c>
      <c r="F1495" s="22" t="s">
        <v>81</v>
      </c>
      <c r="G1495" s="22" t="s">
        <v>1709</v>
      </c>
      <c r="H1495" s="24" t="s">
        <v>59</v>
      </c>
      <c r="I1495" s="24" t="s">
        <v>59</v>
      </c>
      <c r="J1495" s="24" t="s">
        <v>60</v>
      </c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">
        <v>51.0</v>
      </c>
      <c r="B1496" s="35" t="str">
        <f t="array" ref="B1496">INDEX('Báo cáo 75 trang đích'!$B$2:$B$76,$A1496)</f>
        <v>https://techcombank.com/thong-tin/blog/traveloka-voucher</v>
      </c>
      <c r="C1496" s="5" t="str">
        <f t="array" ref="C1496">INDEX('Báo cáo 75 trang đích'!$C$2:$C$76,$A1496)</f>
        <v>Loyalty</v>
      </c>
      <c r="D1496" s="20" t="s">
        <v>1716</v>
      </c>
      <c r="E1496" s="22" t="s">
        <v>320</v>
      </c>
      <c r="F1496" s="22" t="s">
        <v>81</v>
      </c>
      <c r="G1496" s="22" t="s">
        <v>1703</v>
      </c>
      <c r="H1496" s="24" t="s">
        <v>59</v>
      </c>
      <c r="I1496" s="24" t="s">
        <v>59</v>
      </c>
      <c r="J1496" s="24" t="s">
        <v>60</v>
      </c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">
        <v>51.0</v>
      </c>
      <c r="B1497" s="35" t="str">
        <f t="array" ref="B1497">INDEX('Báo cáo 75 trang đích'!$B$2:$B$76,$A1497)</f>
        <v>https://techcombank.com/thong-tin/blog/traveloka-voucher</v>
      </c>
      <c r="C1497" s="5" t="str">
        <f t="array" ref="C1497">INDEX('Báo cáo 75 trang đích'!$C$2:$C$76,$A1497)</f>
        <v>Loyalty</v>
      </c>
      <c r="D1497" s="20" t="s">
        <v>1717</v>
      </c>
      <c r="E1497" s="22" t="s">
        <v>979</v>
      </c>
      <c r="F1497" s="22" t="s">
        <v>81</v>
      </c>
      <c r="G1497" s="22" t="s">
        <v>1703</v>
      </c>
      <c r="H1497" s="24" t="s">
        <v>59</v>
      </c>
      <c r="I1497" s="24" t="s">
        <v>59</v>
      </c>
      <c r="J1497" s="24" t="s">
        <v>60</v>
      </c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">
        <v>51.0</v>
      </c>
      <c r="B1498" s="35" t="str">
        <f t="array" ref="B1498">INDEX('Báo cáo 75 trang đích'!$B$2:$B$76,$A1498)</f>
        <v>https://techcombank.com/thong-tin/blog/traveloka-voucher</v>
      </c>
      <c r="C1498" s="5" t="str">
        <f t="array" ref="C1498">INDEX('Báo cáo 75 trang đích'!$C$2:$C$76,$A1498)</f>
        <v>Loyalty</v>
      </c>
      <c r="D1498" s="20" t="s">
        <v>1718</v>
      </c>
      <c r="E1498" s="22" t="s">
        <v>320</v>
      </c>
      <c r="F1498" s="22" t="s">
        <v>81</v>
      </c>
      <c r="G1498" s="22" t="s">
        <v>1703</v>
      </c>
      <c r="H1498" s="24" t="s">
        <v>59</v>
      </c>
      <c r="I1498" s="24" t="s">
        <v>59</v>
      </c>
      <c r="J1498" s="24" t="s">
        <v>60</v>
      </c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">
        <v>51.0</v>
      </c>
      <c r="B1499" s="35" t="str">
        <f t="array" ref="B1499">INDEX('Báo cáo 75 trang đích'!$B$2:$B$76,$A1499)</f>
        <v>https://techcombank.com/thong-tin/blog/traveloka-voucher</v>
      </c>
      <c r="C1499" s="5" t="str">
        <f t="array" ref="C1499">INDEX('Báo cáo 75 trang đích'!$C$2:$C$76,$A1499)</f>
        <v>Loyalty</v>
      </c>
      <c r="D1499" s="20" t="s">
        <v>1385</v>
      </c>
      <c r="E1499" s="22" t="s">
        <v>979</v>
      </c>
      <c r="F1499" s="22" t="s">
        <v>81</v>
      </c>
      <c r="G1499" s="22" t="s">
        <v>1705</v>
      </c>
      <c r="H1499" s="24" t="s">
        <v>59</v>
      </c>
      <c r="I1499" s="24" t="s">
        <v>59</v>
      </c>
      <c r="J1499" s="24" t="s">
        <v>60</v>
      </c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">
        <v>51.0</v>
      </c>
      <c r="B1500" s="35" t="str">
        <f t="array" ref="B1500">INDEX('Báo cáo 75 trang đích'!$B$2:$B$76,$A1500)</f>
        <v>https://techcombank.com/thong-tin/blog/traveloka-voucher</v>
      </c>
      <c r="C1500" s="5" t="str">
        <f t="array" ref="C1500">INDEX('Báo cáo 75 trang đích'!$C$2:$C$76,$A1500)</f>
        <v>Loyalty</v>
      </c>
      <c r="D1500" s="20" t="s">
        <v>256</v>
      </c>
      <c r="E1500" s="22" t="s">
        <v>320</v>
      </c>
      <c r="F1500" s="22" t="s">
        <v>81</v>
      </c>
      <c r="G1500" s="22" t="s">
        <v>1709</v>
      </c>
      <c r="H1500" s="24" t="s">
        <v>59</v>
      </c>
      <c r="I1500" s="24" t="s">
        <v>59</v>
      </c>
      <c r="J1500" s="24" t="s">
        <v>60</v>
      </c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">
        <v>51.0</v>
      </c>
      <c r="B1501" s="35" t="str">
        <f t="array" ref="B1501">INDEX('Báo cáo 75 trang đích'!$B$2:$B$76,$A1501)</f>
        <v>https://techcombank.com/thong-tin/blog/traveloka-voucher</v>
      </c>
      <c r="C1501" s="5" t="str">
        <f t="array" ref="C1501">INDEX('Báo cáo 75 trang đích'!$C$2:$C$76,$A1501)</f>
        <v>Loyalty</v>
      </c>
      <c r="D1501" s="20" t="s">
        <v>1719</v>
      </c>
      <c r="E1501" s="22" t="s">
        <v>979</v>
      </c>
      <c r="F1501" s="22" t="s">
        <v>81</v>
      </c>
      <c r="G1501" s="22" t="s">
        <v>1709</v>
      </c>
      <c r="H1501" s="24" t="s">
        <v>59</v>
      </c>
      <c r="I1501" s="24" t="s">
        <v>59</v>
      </c>
      <c r="J1501" s="24" t="s">
        <v>60</v>
      </c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">
        <v>51.0</v>
      </c>
      <c r="B1502" s="35" t="str">
        <f t="array" ref="B1502">INDEX('Báo cáo 75 trang đích'!$B$2:$B$76,$A1502)</f>
        <v>https://techcombank.com/thong-tin/blog/traveloka-voucher</v>
      </c>
      <c r="C1502" s="5" t="str">
        <f t="array" ref="C1502">INDEX('Báo cáo 75 trang đích'!$C$2:$C$76,$A1502)</f>
        <v>Loyalty</v>
      </c>
      <c r="D1502" s="20" t="s">
        <v>1387</v>
      </c>
      <c r="E1502" s="22" t="s">
        <v>320</v>
      </c>
      <c r="F1502" s="22" t="s">
        <v>81</v>
      </c>
      <c r="G1502" s="22" t="s">
        <v>1703</v>
      </c>
      <c r="H1502" s="24" t="s">
        <v>59</v>
      </c>
      <c r="I1502" s="24" t="s">
        <v>59</v>
      </c>
      <c r="J1502" s="24" t="s">
        <v>60</v>
      </c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">
        <v>51.0</v>
      </c>
      <c r="B1503" s="35" t="str">
        <f t="array" ref="B1503">INDEX('Báo cáo 75 trang đích'!$B$2:$B$76,$A1503)</f>
        <v>https://techcombank.com/thong-tin/blog/traveloka-voucher</v>
      </c>
      <c r="C1503" s="5" t="str">
        <f t="array" ref="C1503">INDEX('Báo cáo 75 trang đích'!$C$2:$C$76,$A1503)</f>
        <v>Loyalty</v>
      </c>
      <c r="D1503" s="20" t="s">
        <v>1600</v>
      </c>
      <c r="E1503" s="22" t="s">
        <v>979</v>
      </c>
      <c r="F1503" s="22" t="s">
        <v>81</v>
      </c>
      <c r="G1503" s="22" t="s">
        <v>1703</v>
      </c>
      <c r="H1503" s="24" t="s">
        <v>59</v>
      </c>
      <c r="I1503" s="24" t="s">
        <v>59</v>
      </c>
      <c r="J1503" s="24" t="s">
        <v>60</v>
      </c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">
        <v>51.0</v>
      </c>
      <c r="B1504" s="35" t="str">
        <f t="array" ref="B1504">INDEX('Báo cáo 75 trang đích'!$B$2:$B$76,$A1504)</f>
        <v>https://techcombank.com/thong-tin/blog/traveloka-voucher</v>
      </c>
      <c r="C1504" s="5" t="str">
        <f t="array" ref="C1504">INDEX('Báo cáo 75 trang đích'!$C$2:$C$76,$A1504)</f>
        <v>Loyalty</v>
      </c>
      <c r="D1504" s="20" t="s">
        <v>1720</v>
      </c>
      <c r="E1504" s="22" t="s">
        <v>320</v>
      </c>
      <c r="F1504" s="22" t="s">
        <v>81</v>
      </c>
      <c r="G1504" s="22" t="s">
        <v>1703</v>
      </c>
      <c r="H1504" s="24" t="s">
        <v>59</v>
      </c>
      <c r="I1504" s="24" t="s">
        <v>59</v>
      </c>
      <c r="J1504" s="24" t="s">
        <v>60</v>
      </c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">
        <v>51.0</v>
      </c>
      <c r="B1505" s="35" t="str">
        <f t="array" ref="B1505">INDEX('Báo cáo 75 trang đích'!$B$2:$B$76,$A1505)</f>
        <v>https://techcombank.com/thong-tin/blog/traveloka-voucher</v>
      </c>
      <c r="C1505" s="5" t="str">
        <f t="array" ref="C1505">INDEX('Báo cáo 75 trang đích'!$C$2:$C$76,$A1505)</f>
        <v>Loyalty</v>
      </c>
      <c r="D1505" s="20" t="s">
        <v>1721</v>
      </c>
      <c r="E1505" s="22" t="s">
        <v>979</v>
      </c>
      <c r="F1505" s="22" t="s">
        <v>81</v>
      </c>
      <c r="G1505" s="22" t="s">
        <v>1705</v>
      </c>
      <c r="H1505" s="24" t="s">
        <v>59</v>
      </c>
      <c r="I1505" s="24" t="s">
        <v>59</v>
      </c>
      <c r="J1505" s="24" t="s">
        <v>60</v>
      </c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">
        <v>51.0</v>
      </c>
      <c r="B1506" s="35" t="str">
        <f t="array" ref="B1506">INDEX('Báo cáo 75 trang đích'!$B$2:$B$76,$A1506)</f>
        <v>https://techcombank.com/thong-tin/blog/traveloka-voucher</v>
      </c>
      <c r="C1506" s="5" t="str">
        <f t="array" ref="C1506">INDEX('Báo cáo 75 trang đích'!$C$2:$C$76,$A1506)</f>
        <v>Loyalty</v>
      </c>
      <c r="D1506" s="20" t="s">
        <v>1391</v>
      </c>
      <c r="E1506" s="22" t="s">
        <v>320</v>
      </c>
      <c r="F1506" s="22" t="s">
        <v>81</v>
      </c>
      <c r="G1506" s="22" t="s">
        <v>1703</v>
      </c>
      <c r="H1506" s="24" t="s">
        <v>59</v>
      </c>
      <c r="I1506" s="24" t="s">
        <v>59</v>
      </c>
      <c r="J1506" s="24" t="s">
        <v>60</v>
      </c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">
        <v>51.0</v>
      </c>
      <c r="B1507" s="35" t="str">
        <f t="array" ref="B1507">INDEX('Báo cáo 75 trang đích'!$B$2:$B$76,$A1507)</f>
        <v>https://techcombank.com/thong-tin/blog/traveloka-voucher</v>
      </c>
      <c r="C1507" s="5" t="str">
        <f t="array" ref="C1507">INDEX('Báo cáo 75 trang đích'!$C$2:$C$76,$A1507)</f>
        <v>Loyalty</v>
      </c>
      <c r="D1507" s="20" t="s">
        <v>1722</v>
      </c>
      <c r="E1507" s="22" t="s">
        <v>979</v>
      </c>
      <c r="F1507" s="22" t="s">
        <v>81</v>
      </c>
      <c r="G1507" s="22" t="s">
        <v>1703</v>
      </c>
      <c r="H1507" s="24" t="s">
        <v>59</v>
      </c>
      <c r="I1507" s="24" t="s">
        <v>59</v>
      </c>
      <c r="J1507" s="24" t="s">
        <v>60</v>
      </c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">
        <v>51.0</v>
      </c>
      <c r="B1508" s="35" t="str">
        <f t="array" ref="B1508">INDEX('Báo cáo 75 trang đích'!$B$2:$B$76,$A1508)</f>
        <v>https://techcombank.com/thong-tin/blog/traveloka-voucher</v>
      </c>
      <c r="C1508" s="5" t="str">
        <f t="array" ref="C1508">INDEX('Báo cáo 75 trang đích'!$C$2:$C$76,$A1508)</f>
        <v>Loyalty</v>
      </c>
      <c r="D1508" s="20" t="s">
        <v>1324</v>
      </c>
      <c r="E1508" s="22" t="s">
        <v>320</v>
      </c>
      <c r="F1508" s="22" t="s">
        <v>81</v>
      </c>
      <c r="G1508" s="22" t="s">
        <v>1723</v>
      </c>
      <c r="H1508" s="24" t="s">
        <v>59</v>
      </c>
      <c r="I1508" s="24" t="s">
        <v>59</v>
      </c>
      <c r="J1508" s="24" t="s">
        <v>60</v>
      </c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">
        <v>51.0</v>
      </c>
      <c r="B1509" s="35" t="str">
        <f t="array" ref="B1509">INDEX('Báo cáo 75 trang đích'!$B$2:$B$76,$A1509)</f>
        <v>https://techcombank.com/thong-tin/blog/traveloka-voucher</v>
      </c>
      <c r="C1509" s="5" t="str">
        <f t="array" ref="C1509">INDEX('Báo cáo 75 trang đích'!$C$2:$C$76,$A1509)</f>
        <v>Loyalty</v>
      </c>
      <c r="D1509" s="20" t="s">
        <v>1451</v>
      </c>
      <c r="E1509" s="22" t="s">
        <v>979</v>
      </c>
      <c r="F1509" s="22" t="s">
        <v>81</v>
      </c>
      <c r="G1509" s="22" t="s">
        <v>1723</v>
      </c>
      <c r="H1509" s="24" t="s">
        <v>59</v>
      </c>
      <c r="I1509" s="24" t="s">
        <v>59</v>
      </c>
      <c r="J1509" s="24" t="s">
        <v>60</v>
      </c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">
        <v>51.0</v>
      </c>
      <c r="B1510" s="35" t="str">
        <f t="array" ref="B1510">INDEX('Báo cáo 75 trang đích'!$B$2:$B$76,$A1510)</f>
        <v>https://techcombank.com/thong-tin/blog/traveloka-voucher</v>
      </c>
      <c r="C1510" s="5" t="str">
        <f t="array" ref="C1510">INDEX('Báo cáo 75 trang đích'!$C$2:$C$76,$A1510)</f>
        <v>Loyalty</v>
      </c>
      <c r="D1510" s="20" t="s">
        <v>1724</v>
      </c>
      <c r="E1510" s="22" t="s">
        <v>320</v>
      </c>
      <c r="F1510" s="22" t="s">
        <v>81</v>
      </c>
      <c r="G1510" s="22" t="s">
        <v>1709</v>
      </c>
      <c r="H1510" s="24" t="s">
        <v>59</v>
      </c>
      <c r="I1510" s="24" t="s">
        <v>59</v>
      </c>
      <c r="J1510" s="24" t="s">
        <v>60</v>
      </c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">
        <v>51.0</v>
      </c>
      <c r="B1511" s="35" t="str">
        <f t="array" ref="B1511">INDEX('Báo cáo 75 trang đích'!$B$2:$B$76,$A1511)</f>
        <v>https://techcombank.com/thong-tin/blog/traveloka-voucher</v>
      </c>
      <c r="C1511" s="5" t="str">
        <f t="array" ref="C1511">INDEX('Báo cáo 75 trang đích'!$C$2:$C$76,$A1511)</f>
        <v>Loyalty</v>
      </c>
      <c r="D1511" s="20" t="s">
        <v>1631</v>
      </c>
      <c r="E1511" s="22" t="s">
        <v>979</v>
      </c>
      <c r="F1511" s="22" t="s">
        <v>81</v>
      </c>
      <c r="G1511" s="22" t="s">
        <v>1725</v>
      </c>
      <c r="H1511" s="24" t="s">
        <v>59</v>
      </c>
      <c r="I1511" s="24" t="s">
        <v>59</v>
      </c>
      <c r="J1511" s="24" t="s">
        <v>60</v>
      </c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">
        <v>51.0</v>
      </c>
      <c r="B1512" s="35" t="str">
        <f t="array" ref="B1512">INDEX('Báo cáo 75 trang đích'!$B$2:$B$76,$A1512)</f>
        <v>https://techcombank.com/thong-tin/blog/traveloka-voucher</v>
      </c>
      <c r="C1512" s="5" t="str">
        <f t="array" ref="C1512">INDEX('Báo cáo 75 trang đích'!$C$2:$C$76,$A1512)</f>
        <v>Loyalty</v>
      </c>
      <c r="D1512" s="20" t="s">
        <v>1726</v>
      </c>
      <c r="E1512" s="22" t="s">
        <v>320</v>
      </c>
      <c r="F1512" s="22" t="s">
        <v>81</v>
      </c>
      <c r="G1512" s="22" t="s">
        <v>1709</v>
      </c>
      <c r="H1512" s="24" t="s">
        <v>59</v>
      </c>
      <c r="I1512" s="24" t="s">
        <v>59</v>
      </c>
      <c r="J1512" s="24" t="s">
        <v>60</v>
      </c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">
        <v>51.0</v>
      </c>
      <c r="B1513" s="35" t="str">
        <f t="array" ref="B1513">INDEX('Báo cáo 75 trang đích'!$B$2:$B$76,$A1513)</f>
        <v>https://techcombank.com/thong-tin/blog/traveloka-voucher</v>
      </c>
      <c r="C1513" s="5" t="str">
        <f t="array" ref="C1513">INDEX('Báo cáo 75 trang đích'!$C$2:$C$76,$A1513)</f>
        <v>Loyalty</v>
      </c>
      <c r="D1513" s="20" t="s">
        <v>1727</v>
      </c>
      <c r="E1513" s="22" t="s">
        <v>979</v>
      </c>
      <c r="F1513" s="22" t="s">
        <v>81</v>
      </c>
      <c r="G1513" s="22" t="s">
        <v>1703</v>
      </c>
      <c r="H1513" s="24" t="s">
        <v>59</v>
      </c>
      <c r="I1513" s="24" t="s">
        <v>59</v>
      </c>
      <c r="J1513" s="24" t="s">
        <v>60</v>
      </c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">
        <v>51.0</v>
      </c>
      <c r="B1514" s="35" t="str">
        <f t="array" ref="B1514">INDEX('Báo cáo 75 trang đích'!$B$2:$B$76,$A1514)</f>
        <v>https://techcombank.com/thong-tin/blog/traveloka-voucher</v>
      </c>
      <c r="C1514" s="5" t="str">
        <f t="array" ref="C1514">INDEX('Báo cáo 75 trang đích'!$C$2:$C$76,$A1514)</f>
        <v>Loyalty</v>
      </c>
      <c r="D1514" s="20" t="s">
        <v>1728</v>
      </c>
      <c r="E1514" s="22" t="s">
        <v>320</v>
      </c>
      <c r="F1514" s="22" t="s">
        <v>81</v>
      </c>
      <c r="G1514" s="22" t="s">
        <v>1709</v>
      </c>
      <c r="H1514" s="24" t="s">
        <v>59</v>
      </c>
      <c r="I1514" s="24" t="s">
        <v>59</v>
      </c>
      <c r="J1514" s="24" t="s">
        <v>60</v>
      </c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">
        <v>51.0</v>
      </c>
      <c r="B1515" s="35" t="str">
        <f t="array" ref="B1515">INDEX('Báo cáo 75 trang đích'!$B$2:$B$76,$A1515)</f>
        <v>https://techcombank.com/thong-tin/blog/traveloka-voucher</v>
      </c>
      <c r="C1515" s="5" t="str">
        <f t="array" ref="C1515">INDEX('Báo cáo 75 trang đích'!$C$2:$C$76,$A1515)</f>
        <v>Loyalty</v>
      </c>
      <c r="D1515" s="20" t="s">
        <v>1729</v>
      </c>
      <c r="E1515" s="22" t="s">
        <v>979</v>
      </c>
      <c r="F1515" s="22" t="s">
        <v>81</v>
      </c>
      <c r="G1515" s="22" t="s">
        <v>1725</v>
      </c>
      <c r="H1515" s="24" t="s">
        <v>59</v>
      </c>
      <c r="I1515" s="24" t="s">
        <v>59</v>
      </c>
      <c r="J1515" s="24" t="s">
        <v>60</v>
      </c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">
        <v>51.0</v>
      </c>
      <c r="B1516" s="35" t="str">
        <f t="array" ref="B1516">INDEX('Báo cáo 75 trang đích'!$B$2:$B$76,$A1516)</f>
        <v>https://techcombank.com/thong-tin/blog/traveloka-voucher</v>
      </c>
      <c r="C1516" s="5" t="str">
        <f t="array" ref="C1516">INDEX('Báo cáo 75 trang đích'!$C$2:$C$76,$A1516)</f>
        <v>Loyalty</v>
      </c>
      <c r="D1516" s="20" t="s">
        <v>1730</v>
      </c>
      <c r="E1516" s="22" t="s">
        <v>320</v>
      </c>
      <c r="F1516" s="22" t="s">
        <v>81</v>
      </c>
      <c r="G1516" s="22" t="s">
        <v>1709</v>
      </c>
      <c r="H1516" s="24" t="s">
        <v>59</v>
      </c>
      <c r="I1516" s="24" t="s">
        <v>59</v>
      </c>
      <c r="J1516" s="24" t="s">
        <v>60</v>
      </c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">
        <v>51.0</v>
      </c>
      <c r="B1517" s="35" t="str">
        <f t="array" ref="B1517">INDEX('Báo cáo 75 trang đích'!$B$2:$B$76,$A1517)</f>
        <v>https://techcombank.com/thong-tin/blog/traveloka-voucher</v>
      </c>
      <c r="C1517" s="5" t="str">
        <f t="array" ref="C1517">INDEX('Báo cáo 75 trang đích'!$C$2:$C$76,$A1517)</f>
        <v>Loyalty</v>
      </c>
      <c r="D1517" s="20" t="s">
        <v>1731</v>
      </c>
      <c r="E1517" s="22" t="s">
        <v>979</v>
      </c>
      <c r="F1517" s="22" t="s">
        <v>81</v>
      </c>
      <c r="G1517" s="22" t="s">
        <v>1709</v>
      </c>
      <c r="H1517" s="24" t="s">
        <v>59</v>
      </c>
      <c r="I1517" s="24" t="s">
        <v>59</v>
      </c>
      <c r="J1517" s="24" t="s">
        <v>60</v>
      </c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">
        <v>51.0</v>
      </c>
      <c r="B1518" s="35" t="str">
        <f t="array" ref="B1518">INDEX('Báo cáo 75 trang đích'!$B$2:$B$76,$A1518)</f>
        <v>https://techcombank.com/thong-tin/blog/traveloka-voucher</v>
      </c>
      <c r="C1518" s="5" t="str">
        <f t="array" ref="C1518">INDEX('Báo cáo 75 trang đích'!$C$2:$C$76,$A1518)</f>
        <v>Loyalty</v>
      </c>
      <c r="D1518" s="20" t="s">
        <v>1732</v>
      </c>
      <c r="E1518" s="22" t="s">
        <v>320</v>
      </c>
      <c r="F1518" s="22" t="s">
        <v>81</v>
      </c>
      <c r="G1518" s="22" t="s">
        <v>1733</v>
      </c>
      <c r="H1518" s="24" t="s">
        <v>59</v>
      </c>
      <c r="I1518" s="24" t="s">
        <v>59</v>
      </c>
      <c r="J1518" s="24" t="s">
        <v>60</v>
      </c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">
        <v>51.0</v>
      </c>
      <c r="B1519" s="35" t="str">
        <f t="array" ref="B1519">INDEX('Báo cáo 75 trang đích'!$B$2:$B$76,$A1519)</f>
        <v>https://techcombank.com/thong-tin/blog/traveloka-voucher</v>
      </c>
      <c r="C1519" s="5" t="str">
        <f t="array" ref="C1519">INDEX('Báo cáo 75 trang đích'!$C$2:$C$76,$A1519)</f>
        <v>Loyalty</v>
      </c>
      <c r="D1519" s="20" t="s">
        <v>1632</v>
      </c>
      <c r="E1519" s="22" t="s">
        <v>979</v>
      </c>
      <c r="F1519" s="22" t="s">
        <v>81</v>
      </c>
      <c r="G1519" s="22" t="s">
        <v>1709</v>
      </c>
      <c r="H1519" s="24" t="s">
        <v>59</v>
      </c>
      <c r="I1519" s="24" t="s">
        <v>59</v>
      </c>
      <c r="J1519" s="24" t="s">
        <v>60</v>
      </c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">
        <v>51.0</v>
      </c>
      <c r="B1520" s="35" t="str">
        <f t="array" ref="B1520">INDEX('Báo cáo 75 trang đích'!$B$2:$B$76,$A1520)</f>
        <v>https://techcombank.com/thong-tin/blog/traveloka-voucher</v>
      </c>
      <c r="C1520" s="5" t="str">
        <f t="array" ref="C1520">INDEX('Báo cáo 75 trang đích'!$C$2:$C$76,$A1520)</f>
        <v>Loyalty</v>
      </c>
      <c r="D1520" s="20" t="s">
        <v>1404</v>
      </c>
      <c r="E1520" s="22" t="s">
        <v>320</v>
      </c>
      <c r="F1520" s="22" t="s">
        <v>81</v>
      </c>
      <c r="G1520" s="22" t="s">
        <v>1709</v>
      </c>
      <c r="H1520" s="24" t="s">
        <v>59</v>
      </c>
      <c r="I1520" s="24" t="s">
        <v>59</v>
      </c>
      <c r="J1520" s="24" t="s">
        <v>60</v>
      </c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">
        <v>51.0</v>
      </c>
      <c r="B1521" s="35" t="str">
        <f t="array" ref="B1521">INDEX('Báo cáo 75 trang đích'!$B$2:$B$76,$A1521)</f>
        <v>https://techcombank.com/thong-tin/blog/traveloka-voucher</v>
      </c>
      <c r="C1521" s="5" t="str">
        <f t="array" ref="C1521">INDEX('Báo cáo 75 trang đích'!$C$2:$C$76,$A1521)</f>
        <v>Loyalty</v>
      </c>
      <c r="D1521" s="20" t="s">
        <v>1734</v>
      </c>
      <c r="E1521" s="22" t="s">
        <v>979</v>
      </c>
      <c r="F1521" s="22" t="s">
        <v>81</v>
      </c>
      <c r="G1521" s="22" t="s">
        <v>1703</v>
      </c>
      <c r="H1521" s="24" t="s">
        <v>59</v>
      </c>
      <c r="I1521" s="24" t="s">
        <v>59</v>
      </c>
      <c r="J1521" s="24" t="s">
        <v>60</v>
      </c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">
        <v>51.0</v>
      </c>
      <c r="B1522" s="35" t="str">
        <f t="array" ref="B1522">INDEX('Báo cáo 75 trang đích'!$B$2:$B$76,$A1522)</f>
        <v>https://techcombank.com/thong-tin/blog/traveloka-voucher</v>
      </c>
      <c r="C1522" s="5" t="str">
        <f t="array" ref="C1522">INDEX('Báo cáo 75 trang đích'!$C$2:$C$76,$A1522)</f>
        <v>Loyalty</v>
      </c>
      <c r="D1522" s="20" t="s">
        <v>1735</v>
      </c>
      <c r="E1522" s="22" t="s">
        <v>320</v>
      </c>
      <c r="F1522" s="22" t="s">
        <v>81</v>
      </c>
      <c r="G1522" s="22" t="s">
        <v>1703</v>
      </c>
      <c r="H1522" s="24" t="s">
        <v>59</v>
      </c>
      <c r="I1522" s="24" t="s">
        <v>59</v>
      </c>
      <c r="J1522" s="24" t="s">
        <v>60</v>
      </c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">
        <v>51.0</v>
      </c>
      <c r="B1523" s="35" t="str">
        <f t="array" ref="B1523">INDEX('Báo cáo 75 trang đích'!$B$2:$B$76,$A1523)</f>
        <v>https://techcombank.com/thong-tin/blog/traveloka-voucher</v>
      </c>
      <c r="C1523" s="5" t="str">
        <f t="array" ref="C1523">INDEX('Báo cáo 75 trang đích'!$C$2:$C$76,$A1523)</f>
        <v>Loyalty</v>
      </c>
      <c r="D1523" s="20" t="s">
        <v>1736</v>
      </c>
      <c r="E1523" s="22" t="s">
        <v>979</v>
      </c>
      <c r="F1523" s="22" t="s">
        <v>81</v>
      </c>
      <c r="G1523" s="22" t="s">
        <v>1703</v>
      </c>
      <c r="H1523" s="24" t="s">
        <v>59</v>
      </c>
      <c r="I1523" s="24" t="s">
        <v>59</v>
      </c>
      <c r="J1523" s="24" t="s">
        <v>60</v>
      </c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">
        <v>51.0</v>
      </c>
      <c r="B1524" s="35" t="str">
        <f t="array" ref="B1524">INDEX('Báo cáo 75 trang đích'!$B$2:$B$76,$A1524)</f>
        <v>https://techcombank.com/thong-tin/blog/traveloka-voucher</v>
      </c>
      <c r="C1524" s="5" t="str">
        <f t="array" ref="C1524">INDEX('Báo cáo 75 trang đích'!$C$2:$C$76,$A1524)</f>
        <v>Loyalty</v>
      </c>
      <c r="D1524" s="20" t="s">
        <v>1737</v>
      </c>
      <c r="E1524" s="22" t="s">
        <v>320</v>
      </c>
      <c r="F1524" s="22" t="s">
        <v>81</v>
      </c>
      <c r="G1524" s="22" t="s">
        <v>1709</v>
      </c>
      <c r="H1524" s="24" t="s">
        <v>59</v>
      </c>
      <c r="I1524" s="24" t="s">
        <v>59</v>
      </c>
      <c r="J1524" s="24" t="s">
        <v>60</v>
      </c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">
        <v>51.0</v>
      </c>
      <c r="B1525" s="35" t="str">
        <f t="array" ref="B1525">INDEX('Báo cáo 75 trang đích'!$B$2:$B$76,$A1525)</f>
        <v>https://techcombank.com/thong-tin/blog/traveloka-voucher</v>
      </c>
      <c r="C1525" s="5" t="str">
        <f t="array" ref="C1525">INDEX('Báo cáo 75 trang đích'!$C$2:$C$76,$A1525)</f>
        <v>Loyalty</v>
      </c>
      <c r="D1525" s="20" t="s">
        <v>1738</v>
      </c>
      <c r="E1525" s="22" t="s">
        <v>979</v>
      </c>
      <c r="F1525" s="22" t="s">
        <v>81</v>
      </c>
      <c r="G1525" s="22" t="s">
        <v>1703</v>
      </c>
      <c r="H1525" s="24" t="s">
        <v>59</v>
      </c>
      <c r="I1525" s="24" t="s">
        <v>59</v>
      </c>
      <c r="J1525" s="24" t="s">
        <v>60</v>
      </c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">
        <v>51.0</v>
      </c>
      <c r="B1526" s="35" t="str">
        <f t="array" ref="B1526">INDEX('Báo cáo 75 trang đích'!$B$2:$B$76,$A1526)</f>
        <v>https://techcombank.com/thong-tin/blog/traveloka-voucher</v>
      </c>
      <c r="C1526" s="5" t="str">
        <f t="array" ref="C1526">INDEX('Báo cáo 75 trang đích'!$C$2:$C$76,$A1526)</f>
        <v>Loyalty</v>
      </c>
      <c r="D1526" s="20" t="s">
        <v>1474</v>
      </c>
      <c r="E1526" s="22" t="s">
        <v>320</v>
      </c>
      <c r="F1526" s="22" t="s">
        <v>81</v>
      </c>
      <c r="G1526" s="22" t="s">
        <v>1725</v>
      </c>
      <c r="H1526" s="24" t="s">
        <v>59</v>
      </c>
      <c r="I1526" s="24" t="s">
        <v>59</v>
      </c>
      <c r="J1526" s="24" t="s">
        <v>60</v>
      </c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">
        <v>51.0</v>
      </c>
      <c r="B1527" s="35" t="str">
        <f t="array" ref="B1527">INDEX('Báo cáo 75 trang đích'!$B$2:$B$76,$A1527)</f>
        <v>https://techcombank.com/thong-tin/blog/traveloka-voucher</v>
      </c>
      <c r="C1527" s="5" t="str">
        <f t="array" ref="C1527">INDEX('Báo cáo 75 trang đích'!$C$2:$C$76,$A1527)</f>
        <v>Loyalty</v>
      </c>
      <c r="D1527" s="20" t="s">
        <v>1739</v>
      </c>
      <c r="E1527" s="22" t="s">
        <v>979</v>
      </c>
      <c r="F1527" s="22" t="s">
        <v>81</v>
      </c>
      <c r="G1527" s="22" t="s">
        <v>1703</v>
      </c>
      <c r="H1527" s="24" t="s">
        <v>59</v>
      </c>
      <c r="I1527" s="24" t="s">
        <v>59</v>
      </c>
      <c r="J1527" s="24" t="s">
        <v>60</v>
      </c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">
        <v>51.0</v>
      </c>
      <c r="B1528" s="35" t="str">
        <f t="array" ref="B1528">INDEX('Báo cáo 75 trang đích'!$B$2:$B$76,$A1528)</f>
        <v>https://techcombank.com/thong-tin/blog/traveloka-voucher</v>
      </c>
      <c r="C1528" s="5" t="str">
        <f t="array" ref="C1528">INDEX('Báo cáo 75 trang đích'!$C$2:$C$76,$A1528)</f>
        <v>Loyalty</v>
      </c>
      <c r="D1528" s="20" t="s">
        <v>1740</v>
      </c>
      <c r="E1528" s="22" t="s">
        <v>320</v>
      </c>
      <c r="F1528" s="22" t="s">
        <v>81</v>
      </c>
      <c r="G1528" s="22" t="s">
        <v>1703</v>
      </c>
      <c r="H1528" s="24" t="s">
        <v>59</v>
      </c>
      <c r="I1528" s="24" t="s">
        <v>59</v>
      </c>
      <c r="J1528" s="24" t="s">
        <v>60</v>
      </c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">
        <v>51.0</v>
      </c>
      <c r="B1529" s="35" t="str">
        <f t="array" ref="B1529">INDEX('Báo cáo 75 trang đích'!$B$2:$B$76,$A1529)</f>
        <v>https://techcombank.com/thong-tin/blog/traveloka-voucher</v>
      </c>
      <c r="C1529" s="5" t="str">
        <f t="array" ref="C1529">INDEX('Báo cáo 75 trang đích'!$C$2:$C$76,$A1529)</f>
        <v>Loyalty</v>
      </c>
      <c r="D1529" s="20" t="s">
        <v>1741</v>
      </c>
      <c r="E1529" s="22" t="s">
        <v>979</v>
      </c>
      <c r="F1529" s="22" t="s">
        <v>81</v>
      </c>
      <c r="G1529" s="22" t="s">
        <v>1703</v>
      </c>
      <c r="H1529" s="24" t="s">
        <v>59</v>
      </c>
      <c r="I1529" s="24" t="s">
        <v>59</v>
      </c>
      <c r="J1529" s="24" t="s">
        <v>60</v>
      </c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">
        <v>51.0</v>
      </c>
      <c r="B1530" s="35" t="str">
        <f t="array" ref="B1530">INDEX('Báo cáo 75 trang đích'!$B$2:$B$76,$A1530)</f>
        <v>https://techcombank.com/thong-tin/blog/traveloka-voucher</v>
      </c>
      <c r="C1530" s="5" t="str">
        <f t="array" ref="C1530">INDEX('Báo cáo 75 trang đích'!$C$2:$C$76,$A1530)</f>
        <v>Loyalty</v>
      </c>
      <c r="D1530" s="20" t="s">
        <v>280</v>
      </c>
      <c r="E1530" s="22" t="s">
        <v>320</v>
      </c>
      <c r="F1530" s="22" t="s">
        <v>81</v>
      </c>
      <c r="G1530" s="22" t="s">
        <v>1705</v>
      </c>
      <c r="H1530" s="24" t="s">
        <v>59</v>
      </c>
      <c r="I1530" s="24" t="s">
        <v>59</v>
      </c>
      <c r="J1530" s="24" t="s">
        <v>60</v>
      </c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">
        <v>51.0</v>
      </c>
      <c r="B1531" s="35" t="str">
        <f t="array" ref="B1531">INDEX('Báo cáo 75 trang đích'!$B$2:$B$76,$A1531)</f>
        <v>https://techcombank.com/thong-tin/blog/traveloka-voucher</v>
      </c>
      <c r="C1531" s="5" t="str">
        <f t="array" ref="C1531">INDEX('Báo cáo 75 trang đích'!$C$2:$C$76,$A1531)</f>
        <v>Loyalty</v>
      </c>
      <c r="D1531" s="20" t="s">
        <v>931</v>
      </c>
      <c r="E1531" s="22" t="s">
        <v>979</v>
      </c>
      <c r="F1531" s="22" t="s">
        <v>81</v>
      </c>
      <c r="G1531" s="22" t="s">
        <v>1725</v>
      </c>
      <c r="H1531" s="24" t="s">
        <v>59</v>
      </c>
      <c r="I1531" s="24" t="s">
        <v>59</v>
      </c>
      <c r="J1531" s="24" t="s">
        <v>60</v>
      </c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">
        <v>51.0</v>
      </c>
      <c r="B1532" s="35" t="str">
        <f t="array" ref="B1532">INDEX('Báo cáo 75 trang đích'!$B$2:$B$76,$A1532)</f>
        <v>https://techcombank.com/thong-tin/blog/traveloka-voucher</v>
      </c>
      <c r="C1532" s="5" t="str">
        <f t="array" ref="C1532">INDEX('Báo cáo 75 trang đích'!$C$2:$C$76,$A1532)</f>
        <v>Loyalty</v>
      </c>
      <c r="D1532" s="20" t="s">
        <v>913</v>
      </c>
      <c r="E1532" s="22" t="s">
        <v>320</v>
      </c>
      <c r="F1532" s="22" t="s">
        <v>81</v>
      </c>
      <c r="G1532" s="22" t="s">
        <v>1725</v>
      </c>
      <c r="H1532" s="24" t="s">
        <v>59</v>
      </c>
      <c r="I1532" s="24" t="s">
        <v>59</v>
      </c>
      <c r="J1532" s="24" t="s">
        <v>60</v>
      </c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">
        <v>51.0</v>
      </c>
      <c r="B1533" s="35" t="str">
        <f t="array" ref="B1533">INDEX('Báo cáo 75 trang đích'!$B$2:$B$76,$A1533)</f>
        <v>https://techcombank.com/thong-tin/blog/traveloka-voucher</v>
      </c>
      <c r="C1533" s="5" t="str">
        <f t="array" ref="C1533">INDEX('Báo cáo 75 trang đích'!$C$2:$C$76,$A1533)</f>
        <v>Loyalty</v>
      </c>
      <c r="D1533" s="20" t="s">
        <v>1742</v>
      </c>
      <c r="E1533" s="22" t="s">
        <v>979</v>
      </c>
      <c r="F1533" s="22" t="s">
        <v>81</v>
      </c>
      <c r="G1533" s="22" t="s">
        <v>1709</v>
      </c>
      <c r="H1533" s="24" t="s">
        <v>59</v>
      </c>
      <c r="I1533" s="24" t="s">
        <v>59</v>
      </c>
      <c r="J1533" s="24" t="s">
        <v>60</v>
      </c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">
        <v>51.0</v>
      </c>
      <c r="B1534" s="35" t="str">
        <f t="array" ref="B1534">INDEX('Báo cáo 75 trang đích'!$B$2:$B$76,$A1534)</f>
        <v>https://techcombank.com/thong-tin/blog/traveloka-voucher</v>
      </c>
      <c r="C1534" s="5" t="str">
        <f t="array" ref="C1534">INDEX('Báo cáo 75 trang đích'!$C$2:$C$76,$A1534)</f>
        <v>Loyalty</v>
      </c>
      <c r="D1534" s="20" t="s">
        <v>929</v>
      </c>
      <c r="E1534" s="22" t="s">
        <v>320</v>
      </c>
      <c r="F1534" s="22" t="s">
        <v>81</v>
      </c>
      <c r="G1534" s="22" t="s">
        <v>1725</v>
      </c>
      <c r="H1534" s="24" t="s">
        <v>59</v>
      </c>
      <c r="I1534" s="24" t="s">
        <v>59</v>
      </c>
      <c r="J1534" s="24" t="s">
        <v>60</v>
      </c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">
        <v>51.0</v>
      </c>
      <c r="B1535" s="35" t="str">
        <f t="array" ref="B1535">INDEX('Báo cáo 75 trang đích'!$B$2:$B$76,$A1535)</f>
        <v>https://techcombank.com/thong-tin/blog/traveloka-voucher</v>
      </c>
      <c r="C1535" s="5" t="str">
        <f t="array" ref="C1535">INDEX('Báo cáo 75 trang đích'!$C$2:$C$76,$A1535)</f>
        <v>Loyalty</v>
      </c>
      <c r="D1535" s="20" t="s">
        <v>898</v>
      </c>
      <c r="E1535" s="22" t="s">
        <v>979</v>
      </c>
      <c r="F1535" s="22" t="s">
        <v>81</v>
      </c>
      <c r="G1535" s="22" t="s">
        <v>1725</v>
      </c>
      <c r="H1535" s="24" t="s">
        <v>59</v>
      </c>
      <c r="I1535" s="24" t="s">
        <v>59</v>
      </c>
      <c r="J1535" s="24" t="s">
        <v>60</v>
      </c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">
        <v>51.0</v>
      </c>
      <c r="B1536" s="35" t="str">
        <f t="array" ref="B1536">INDEX('Báo cáo 75 trang đích'!$B$2:$B$76,$A1536)</f>
        <v>https://techcombank.com/thong-tin/blog/traveloka-voucher</v>
      </c>
      <c r="C1536" s="5" t="str">
        <f t="array" ref="C1536">INDEX('Báo cáo 75 trang đích'!$C$2:$C$76,$A1536)</f>
        <v>Loyalty</v>
      </c>
      <c r="D1536" s="20" t="s">
        <v>876</v>
      </c>
      <c r="E1536" s="22" t="s">
        <v>320</v>
      </c>
      <c r="F1536" s="22" t="s">
        <v>81</v>
      </c>
      <c r="G1536" s="22" t="s">
        <v>1725</v>
      </c>
      <c r="H1536" s="24" t="s">
        <v>59</v>
      </c>
      <c r="I1536" s="24" t="s">
        <v>59</v>
      </c>
      <c r="J1536" s="24" t="s">
        <v>60</v>
      </c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">
        <v>51.0</v>
      </c>
      <c r="B1537" s="35" t="str">
        <f t="array" ref="B1537">INDEX('Báo cáo 75 trang đích'!$B$2:$B$76,$A1537)</f>
        <v>https://techcombank.com/thong-tin/blog/traveloka-voucher</v>
      </c>
      <c r="C1537" s="5" t="str">
        <f t="array" ref="C1537">INDEX('Báo cáo 75 trang đích'!$C$2:$C$76,$A1537)</f>
        <v>Loyalty</v>
      </c>
      <c r="D1537" s="20" t="s">
        <v>1295</v>
      </c>
      <c r="E1537" s="22" t="s">
        <v>979</v>
      </c>
      <c r="F1537" s="22" t="s">
        <v>81</v>
      </c>
      <c r="G1537" s="22" t="s">
        <v>1725</v>
      </c>
      <c r="H1537" s="24" t="s">
        <v>59</v>
      </c>
      <c r="I1537" s="24" t="s">
        <v>59</v>
      </c>
      <c r="J1537" s="24" t="s">
        <v>60</v>
      </c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">
        <v>51.0</v>
      </c>
      <c r="B1538" s="35" t="str">
        <f t="array" ref="B1538">INDEX('Báo cáo 75 trang đích'!$B$2:$B$76,$A1538)</f>
        <v>https://techcombank.com/thong-tin/blog/traveloka-voucher</v>
      </c>
      <c r="C1538" s="5" t="str">
        <f t="array" ref="C1538">INDEX('Báo cáo 75 trang đích'!$C$2:$C$76,$A1538)</f>
        <v>Loyalty</v>
      </c>
      <c r="D1538" s="20" t="s">
        <v>861</v>
      </c>
      <c r="E1538" s="22" t="s">
        <v>320</v>
      </c>
      <c r="F1538" s="22" t="s">
        <v>81</v>
      </c>
      <c r="G1538" s="22" t="s">
        <v>1725</v>
      </c>
      <c r="H1538" s="24" t="s">
        <v>59</v>
      </c>
      <c r="I1538" s="24" t="s">
        <v>59</v>
      </c>
      <c r="J1538" s="24" t="s">
        <v>60</v>
      </c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">
        <v>51.0</v>
      </c>
      <c r="B1539" s="35" t="str">
        <f t="array" ref="B1539">INDEX('Báo cáo 75 trang đích'!$B$2:$B$76,$A1539)</f>
        <v>https://techcombank.com/thong-tin/blog/traveloka-voucher</v>
      </c>
      <c r="C1539" s="5" t="str">
        <f t="array" ref="C1539">INDEX('Báo cáo 75 trang đích'!$C$2:$C$76,$A1539)</f>
        <v>Loyalty</v>
      </c>
      <c r="D1539" s="20" t="s">
        <v>922</v>
      </c>
      <c r="E1539" s="22" t="s">
        <v>979</v>
      </c>
      <c r="F1539" s="22" t="s">
        <v>81</v>
      </c>
      <c r="G1539" s="22" t="s">
        <v>1725</v>
      </c>
      <c r="H1539" s="24" t="s">
        <v>59</v>
      </c>
      <c r="I1539" s="24" t="s">
        <v>59</v>
      </c>
      <c r="J1539" s="24" t="s">
        <v>60</v>
      </c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">
        <v>51.0</v>
      </c>
      <c r="B1540" s="35" t="str">
        <f t="array" ref="B1540">INDEX('Báo cáo 75 trang đích'!$B$2:$B$76,$A1540)</f>
        <v>https://techcombank.com/thong-tin/blog/traveloka-voucher</v>
      </c>
      <c r="C1540" s="5" t="str">
        <f t="array" ref="C1540">INDEX('Báo cáo 75 trang đích'!$C$2:$C$76,$A1540)</f>
        <v>Loyalty</v>
      </c>
      <c r="D1540" s="20" t="s">
        <v>1296</v>
      </c>
      <c r="E1540" s="22" t="s">
        <v>320</v>
      </c>
      <c r="F1540" s="22" t="s">
        <v>81</v>
      </c>
      <c r="G1540" s="22" t="s">
        <v>1725</v>
      </c>
      <c r="H1540" s="24" t="s">
        <v>59</v>
      </c>
      <c r="I1540" s="24" t="s">
        <v>59</v>
      </c>
      <c r="J1540" s="24" t="s">
        <v>60</v>
      </c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">
        <v>51.0</v>
      </c>
      <c r="B1541" s="35" t="str">
        <f t="array" ref="B1541">INDEX('Báo cáo 75 trang đích'!$B$2:$B$76,$A1541)</f>
        <v>https://techcombank.com/thong-tin/blog/traveloka-voucher</v>
      </c>
      <c r="C1541" s="5" t="str">
        <f t="array" ref="C1541">INDEX('Báo cáo 75 trang đích'!$C$2:$C$76,$A1541)</f>
        <v>Loyalty</v>
      </c>
      <c r="D1541" s="20" t="s">
        <v>1657</v>
      </c>
      <c r="E1541" s="22" t="s">
        <v>979</v>
      </c>
      <c r="F1541" s="22" t="s">
        <v>81</v>
      </c>
      <c r="G1541" s="22" t="s">
        <v>1725</v>
      </c>
      <c r="H1541" s="24" t="s">
        <v>59</v>
      </c>
      <c r="I1541" s="24" t="s">
        <v>59</v>
      </c>
      <c r="J1541" s="24" t="s">
        <v>60</v>
      </c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">
        <v>51.0</v>
      </c>
      <c r="B1542" s="35" t="str">
        <f t="array" ref="B1542">INDEX('Báo cáo 75 trang đích'!$B$2:$B$76,$A1542)</f>
        <v>https://techcombank.com/thong-tin/blog/traveloka-voucher</v>
      </c>
      <c r="C1542" s="5" t="str">
        <f t="array" ref="C1542">INDEX('Báo cáo 75 trang đích'!$C$2:$C$76,$A1542)</f>
        <v>Loyalty</v>
      </c>
      <c r="D1542" s="20" t="s">
        <v>1659</v>
      </c>
      <c r="E1542" s="22" t="s">
        <v>320</v>
      </c>
      <c r="F1542" s="22" t="s">
        <v>81</v>
      </c>
      <c r="G1542" s="22" t="s">
        <v>1725</v>
      </c>
      <c r="H1542" s="24" t="s">
        <v>59</v>
      </c>
      <c r="I1542" s="24" t="s">
        <v>59</v>
      </c>
      <c r="J1542" s="24" t="s">
        <v>60</v>
      </c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">
        <v>52.0</v>
      </c>
      <c r="B1543" s="35" t="str">
        <f t="array" ref="B1543">INDEX('Báo cáo 75 trang đích'!$B$2:$B$76,$A1543)</f>
        <v>https://techcombank.com/thong-tin/blog/ho-kinh-doanh-dong-thue-nhu-nao</v>
      </c>
      <c r="C1543" s="5" t="str">
        <f t="array" ref="C1543">INDEX('Báo cáo 75 trang đích'!$C$2:$C$76,$A1543)</f>
        <v>Merchant</v>
      </c>
      <c r="D1543" s="20" t="s">
        <v>986</v>
      </c>
      <c r="E1543" s="22" t="s">
        <v>322</v>
      </c>
      <c r="F1543" s="22" t="s">
        <v>57</v>
      </c>
      <c r="G1543" s="22" t="s">
        <v>1743</v>
      </c>
      <c r="H1543" s="24" t="s">
        <v>59</v>
      </c>
      <c r="I1543" s="24" t="s">
        <v>59</v>
      </c>
      <c r="J1543" s="24" t="s">
        <v>60</v>
      </c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">
        <v>52.0</v>
      </c>
      <c r="B1544" s="35" t="str">
        <f t="array" ref="B1544">INDEX('Báo cáo 75 trang đích'!$B$2:$B$76,$A1544)</f>
        <v>https://techcombank.com/thong-tin/blog/ho-kinh-doanh-dong-thue-nhu-nao</v>
      </c>
      <c r="C1544" s="5" t="str">
        <f t="array" ref="C1544">INDEX('Báo cáo 75 trang đích'!$C$2:$C$76,$A1544)</f>
        <v>Merchant</v>
      </c>
      <c r="D1544" s="20" t="s">
        <v>989</v>
      </c>
      <c r="E1544" s="22" t="s">
        <v>992</v>
      </c>
      <c r="F1544" s="22" t="s">
        <v>57</v>
      </c>
      <c r="G1544" s="22" t="s">
        <v>1744</v>
      </c>
      <c r="H1544" s="24" t="s">
        <v>59</v>
      </c>
      <c r="I1544" s="24" t="s">
        <v>59</v>
      </c>
      <c r="J1544" s="24" t="s">
        <v>60</v>
      </c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">
        <v>52.0</v>
      </c>
      <c r="B1545" s="35" t="str">
        <f t="array" ref="B1545">INDEX('Báo cáo 75 trang đích'!$B$2:$B$76,$A1545)</f>
        <v>https://techcombank.com/thong-tin/blog/ho-kinh-doanh-dong-thue-nhu-nao</v>
      </c>
      <c r="C1545" s="5" t="str">
        <f t="array" ref="C1545">INDEX('Báo cáo 75 trang đích'!$C$2:$C$76,$A1545)</f>
        <v>Merchant</v>
      </c>
      <c r="D1545" s="20" t="s">
        <v>250</v>
      </c>
      <c r="E1545" s="22" t="s">
        <v>995</v>
      </c>
      <c r="F1545" s="22" t="s">
        <v>57</v>
      </c>
      <c r="G1545" s="22" t="s">
        <v>1745</v>
      </c>
      <c r="H1545" s="24" t="s">
        <v>59</v>
      </c>
      <c r="I1545" s="24" t="s">
        <v>59</v>
      </c>
      <c r="J1545" s="24" t="s">
        <v>60</v>
      </c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">
        <v>52.0</v>
      </c>
      <c r="B1546" s="35" t="str">
        <f t="array" ref="B1546">INDEX('Báo cáo 75 trang đích'!$B$2:$B$76,$A1546)</f>
        <v>https://techcombank.com/thong-tin/blog/ho-kinh-doanh-dong-thue-nhu-nao</v>
      </c>
      <c r="C1546" s="5" t="str">
        <f t="array" ref="C1546">INDEX('Báo cáo 75 trang đích'!$C$2:$C$76,$A1546)</f>
        <v>Merchant</v>
      </c>
      <c r="D1546" s="20" t="s">
        <v>105</v>
      </c>
      <c r="E1546" s="22" t="s">
        <v>998</v>
      </c>
      <c r="F1546" s="22" t="s">
        <v>57</v>
      </c>
      <c r="G1546" s="22" t="s">
        <v>1746</v>
      </c>
      <c r="H1546" s="24" t="s">
        <v>59</v>
      </c>
      <c r="I1546" s="24" t="s">
        <v>59</v>
      </c>
      <c r="J1546" s="24" t="s">
        <v>60</v>
      </c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">
        <v>52.0</v>
      </c>
      <c r="B1547" s="35" t="str">
        <f t="array" ref="B1547">INDEX('Báo cáo 75 trang đích'!$B$2:$B$76,$A1547)</f>
        <v>https://techcombank.com/thong-tin/blog/ho-kinh-doanh-dong-thue-nhu-nao</v>
      </c>
      <c r="C1547" s="5" t="str">
        <f t="array" ref="C1547">INDEX('Báo cáo 75 trang đích'!$C$2:$C$76,$A1547)</f>
        <v>Merchant</v>
      </c>
      <c r="D1547" s="20" t="s">
        <v>1000</v>
      </c>
      <c r="E1547" s="22" t="s">
        <v>322</v>
      </c>
      <c r="F1547" s="22" t="s">
        <v>76</v>
      </c>
      <c r="G1547" s="22" t="s">
        <v>1747</v>
      </c>
      <c r="H1547" s="24" t="s">
        <v>59</v>
      </c>
      <c r="I1547" s="24" t="s">
        <v>59</v>
      </c>
      <c r="J1547" s="24" t="s">
        <v>60</v>
      </c>
      <c r="K1547" s="22" t="s">
        <v>137</v>
      </c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">
        <v>52.0</v>
      </c>
      <c r="B1548" s="35" t="str">
        <f t="array" ref="B1548">INDEX('Báo cáo 75 trang đích'!$B$2:$B$76,$A1548)</f>
        <v>https://techcombank.com/thong-tin/blog/ho-kinh-doanh-dong-thue-nhu-nao</v>
      </c>
      <c r="C1548" s="5" t="str">
        <f t="array" ref="C1548">INDEX('Báo cáo 75 trang đích'!$C$2:$C$76,$A1548)</f>
        <v>Merchant</v>
      </c>
      <c r="D1548" s="20" t="s">
        <v>145</v>
      </c>
      <c r="E1548" s="22" t="s">
        <v>992</v>
      </c>
      <c r="F1548" s="22" t="s">
        <v>81</v>
      </c>
      <c r="G1548" s="22" t="s">
        <v>1748</v>
      </c>
      <c r="H1548" s="24" t="s">
        <v>59</v>
      </c>
      <c r="I1548" s="24" t="s">
        <v>59</v>
      </c>
      <c r="J1548" s="24" t="s">
        <v>60</v>
      </c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">
        <v>52.0</v>
      </c>
      <c r="B1549" s="35" t="str">
        <f t="array" ref="B1549">INDEX('Báo cáo 75 trang đích'!$B$2:$B$76,$A1549)</f>
        <v>https://techcombank.com/thong-tin/blog/ho-kinh-doanh-dong-thue-nhu-nao</v>
      </c>
      <c r="C1549" s="5" t="str">
        <f t="array" ref="C1549">INDEX('Báo cáo 75 trang đích'!$C$2:$C$76,$A1549)</f>
        <v>Merchant</v>
      </c>
      <c r="D1549" s="20" t="s">
        <v>1025</v>
      </c>
      <c r="E1549" s="22" t="s">
        <v>995</v>
      </c>
      <c r="F1549" s="22" t="s">
        <v>81</v>
      </c>
      <c r="G1549" s="22" t="s">
        <v>1749</v>
      </c>
      <c r="H1549" s="24" t="s">
        <v>59</v>
      </c>
      <c r="I1549" s="24" t="s">
        <v>59</v>
      </c>
      <c r="J1549" s="24" t="s">
        <v>60</v>
      </c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">
        <v>52.0</v>
      </c>
      <c r="B1550" s="35" t="str">
        <f t="array" ref="B1550">INDEX('Báo cáo 75 trang đích'!$B$2:$B$76,$A1550)</f>
        <v>https://techcombank.com/thong-tin/blog/ho-kinh-doanh-dong-thue-nhu-nao</v>
      </c>
      <c r="C1550" s="5" t="str">
        <f t="array" ref="C1550">INDEX('Báo cáo 75 trang đích'!$C$2:$C$76,$A1550)</f>
        <v>Merchant</v>
      </c>
      <c r="D1550" s="20" t="s">
        <v>311</v>
      </c>
      <c r="E1550" s="22" t="s">
        <v>998</v>
      </c>
      <c r="F1550" s="22" t="s">
        <v>81</v>
      </c>
      <c r="G1550" s="22" t="s">
        <v>1748</v>
      </c>
      <c r="H1550" s="24" t="s">
        <v>59</v>
      </c>
      <c r="I1550" s="24" t="s">
        <v>59</v>
      </c>
      <c r="J1550" s="24" t="s">
        <v>60</v>
      </c>
      <c r="K1550" s="22" t="s">
        <v>97</v>
      </c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">
        <v>52.0</v>
      </c>
      <c r="B1551" s="35" t="str">
        <f t="array" ref="B1551">INDEX('Báo cáo 75 trang đích'!$B$2:$B$76,$A1551)</f>
        <v>https://techcombank.com/thong-tin/blog/ho-kinh-doanh-dong-thue-nhu-nao</v>
      </c>
      <c r="C1551" s="5" t="str">
        <f t="array" ref="C1551">INDEX('Báo cáo 75 trang đích'!$C$2:$C$76,$A1551)</f>
        <v>Merchant</v>
      </c>
      <c r="D1551" s="20" t="s">
        <v>1012</v>
      </c>
      <c r="E1551" s="22" t="s">
        <v>322</v>
      </c>
      <c r="F1551" s="22" t="s">
        <v>81</v>
      </c>
      <c r="G1551" s="22" t="s">
        <v>1750</v>
      </c>
      <c r="H1551" s="24" t="s">
        <v>59</v>
      </c>
      <c r="I1551" s="24" t="s">
        <v>59</v>
      </c>
      <c r="J1551" s="24" t="s">
        <v>60</v>
      </c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">
        <v>52.0</v>
      </c>
      <c r="B1552" s="35" t="str">
        <f t="array" ref="B1552">INDEX('Báo cáo 75 trang đích'!$B$2:$B$76,$A1552)</f>
        <v>https://techcombank.com/thong-tin/blog/ho-kinh-doanh-dong-thue-nhu-nao</v>
      </c>
      <c r="C1552" s="5" t="str">
        <f t="array" ref="C1552">INDEX('Báo cáo 75 trang đích'!$C$2:$C$76,$A1552)</f>
        <v>Merchant</v>
      </c>
      <c r="D1552" s="20" t="s">
        <v>247</v>
      </c>
      <c r="E1552" s="22" t="s">
        <v>992</v>
      </c>
      <c r="F1552" s="22" t="s">
        <v>81</v>
      </c>
      <c r="G1552" s="22" t="s">
        <v>1749</v>
      </c>
      <c r="H1552" s="24" t="s">
        <v>59</v>
      </c>
      <c r="I1552" s="24" t="s">
        <v>59</v>
      </c>
      <c r="J1552" s="24" t="s">
        <v>60</v>
      </c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">
        <v>52.0</v>
      </c>
      <c r="B1553" s="35" t="str">
        <f t="array" ref="B1553">INDEX('Báo cáo 75 trang đích'!$B$2:$B$76,$A1553)</f>
        <v>https://techcombank.com/thong-tin/blog/ho-kinh-doanh-dong-thue-nhu-nao</v>
      </c>
      <c r="C1553" s="5" t="str">
        <f t="array" ref="C1553">INDEX('Báo cáo 75 trang đích'!$C$2:$C$76,$A1553)</f>
        <v>Merchant</v>
      </c>
      <c r="D1553" s="20" t="s">
        <v>1751</v>
      </c>
      <c r="E1553" s="22" t="s">
        <v>995</v>
      </c>
      <c r="F1553" s="22" t="s">
        <v>81</v>
      </c>
      <c r="G1553" s="22" t="s">
        <v>1750</v>
      </c>
      <c r="H1553" s="24" t="s">
        <v>59</v>
      </c>
      <c r="I1553" s="24" t="s">
        <v>59</v>
      </c>
      <c r="J1553" s="24" t="s">
        <v>60</v>
      </c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">
        <v>52.0</v>
      </c>
      <c r="B1554" s="35" t="str">
        <f t="array" ref="B1554">INDEX('Báo cáo 75 trang đích'!$B$2:$B$76,$A1554)</f>
        <v>https://techcombank.com/thong-tin/blog/ho-kinh-doanh-dong-thue-nhu-nao</v>
      </c>
      <c r="C1554" s="5" t="str">
        <f t="array" ref="C1554">INDEX('Báo cáo 75 trang đích'!$C$2:$C$76,$A1554)</f>
        <v>Merchant</v>
      </c>
      <c r="D1554" s="20" t="s">
        <v>1752</v>
      </c>
      <c r="E1554" s="22" t="s">
        <v>998</v>
      </c>
      <c r="F1554" s="22" t="s">
        <v>81</v>
      </c>
      <c r="G1554" s="22" t="s">
        <v>1750</v>
      </c>
      <c r="H1554" s="24" t="s">
        <v>59</v>
      </c>
      <c r="I1554" s="24" t="s">
        <v>59</v>
      </c>
      <c r="J1554" s="24" t="s">
        <v>60</v>
      </c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">
        <v>52.0</v>
      </c>
      <c r="B1555" s="35" t="str">
        <f t="array" ref="B1555">INDEX('Báo cáo 75 trang đích'!$B$2:$B$76,$A1555)</f>
        <v>https://techcombank.com/thong-tin/blog/ho-kinh-doanh-dong-thue-nhu-nao</v>
      </c>
      <c r="C1555" s="5" t="str">
        <f t="array" ref="C1555">INDEX('Báo cáo 75 trang đích'!$C$2:$C$76,$A1555)</f>
        <v>Merchant</v>
      </c>
      <c r="D1555" s="20" t="s">
        <v>95</v>
      </c>
      <c r="E1555" s="22" t="s">
        <v>322</v>
      </c>
      <c r="F1555" s="22" t="s">
        <v>81</v>
      </c>
      <c r="G1555" s="22" t="s">
        <v>1748</v>
      </c>
      <c r="H1555" s="24" t="s">
        <v>59</v>
      </c>
      <c r="I1555" s="24" t="s">
        <v>59</v>
      </c>
      <c r="J1555" s="24" t="s">
        <v>60</v>
      </c>
      <c r="K1555" s="22" t="s">
        <v>97</v>
      </c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">
        <v>52.0</v>
      </c>
      <c r="B1556" s="35" t="str">
        <f t="array" ref="B1556">INDEX('Báo cáo 75 trang đích'!$B$2:$B$76,$A1556)</f>
        <v>https://techcombank.com/thong-tin/blog/ho-kinh-doanh-dong-thue-nhu-nao</v>
      </c>
      <c r="C1556" s="5" t="str">
        <f t="array" ref="C1556">INDEX('Báo cáo 75 trang đích'!$C$2:$C$76,$A1556)</f>
        <v>Merchant</v>
      </c>
      <c r="D1556" s="20" t="s">
        <v>104</v>
      </c>
      <c r="E1556" s="22" t="s">
        <v>992</v>
      </c>
      <c r="F1556" s="22" t="s">
        <v>81</v>
      </c>
      <c r="G1556" s="22" t="s">
        <v>1748</v>
      </c>
      <c r="H1556" s="24" t="s">
        <v>59</v>
      </c>
      <c r="I1556" s="24" t="s">
        <v>59</v>
      </c>
      <c r="J1556" s="24" t="s">
        <v>60</v>
      </c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">
        <v>52.0</v>
      </c>
      <c r="B1557" s="35" t="str">
        <f t="array" ref="B1557">INDEX('Báo cáo 75 trang đích'!$B$2:$B$76,$A1557)</f>
        <v>https://techcombank.com/thong-tin/blog/ho-kinh-doanh-dong-thue-nhu-nao</v>
      </c>
      <c r="C1557" s="5" t="str">
        <f t="array" ref="C1557">INDEX('Báo cáo 75 trang đích'!$C$2:$C$76,$A1557)</f>
        <v>Merchant</v>
      </c>
      <c r="D1557" s="20" t="s">
        <v>1753</v>
      </c>
      <c r="E1557" s="22" t="s">
        <v>995</v>
      </c>
      <c r="F1557" s="22" t="s">
        <v>81</v>
      </c>
      <c r="G1557" s="22" t="s">
        <v>1750</v>
      </c>
      <c r="H1557" s="24" t="s">
        <v>59</v>
      </c>
      <c r="I1557" s="24" t="s">
        <v>59</v>
      </c>
      <c r="J1557" s="24" t="s">
        <v>60</v>
      </c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">
        <v>52.0</v>
      </c>
      <c r="B1558" s="35" t="str">
        <f t="array" ref="B1558">INDEX('Báo cáo 75 trang đích'!$B$2:$B$76,$A1558)</f>
        <v>https://techcombank.com/thong-tin/blog/ho-kinh-doanh-dong-thue-nhu-nao</v>
      </c>
      <c r="C1558" s="5" t="str">
        <f t="array" ref="C1558">INDEX('Báo cáo 75 trang đích'!$C$2:$C$76,$A1558)</f>
        <v>Merchant</v>
      </c>
      <c r="D1558" s="20" t="s">
        <v>1754</v>
      </c>
      <c r="E1558" s="22" t="s">
        <v>998</v>
      </c>
      <c r="F1558" s="22" t="s">
        <v>81</v>
      </c>
      <c r="G1558" s="22" t="s">
        <v>1748</v>
      </c>
      <c r="H1558" s="24" t="s">
        <v>59</v>
      </c>
      <c r="I1558" s="24" t="s">
        <v>59</v>
      </c>
      <c r="J1558" s="24" t="s">
        <v>60</v>
      </c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">
        <v>52.0</v>
      </c>
      <c r="B1559" s="35" t="str">
        <f t="array" ref="B1559">INDEX('Báo cáo 75 trang đích'!$B$2:$B$76,$A1559)</f>
        <v>https://techcombank.com/thong-tin/blog/ho-kinh-doanh-dong-thue-nhu-nao</v>
      </c>
      <c r="C1559" s="5" t="str">
        <f t="array" ref="C1559">INDEX('Báo cáo 75 trang đích'!$C$2:$C$76,$A1559)</f>
        <v>Merchant</v>
      </c>
      <c r="D1559" s="20" t="s">
        <v>245</v>
      </c>
      <c r="E1559" s="22" t="s">
        <v>322</v>
      </c>
      <c r="F1559" s="22" t="s">
        <v>81</v>
      </c>
      <c r="G1559" s="22" t="s">
        <v>1748</v>
      </c>
      <c r="H1559" s="24" t="s">
        <v>59</v>
      </c>
      <c r="I1559" s="24" t="s">
        <v>59</v>
      </c>
      <c r="J1559" s="24" t="s">
        <v>60</v>
      </c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">
        <v>52.0</v>
      </c>
      <c r="B1560" s="35" t="str">
        <f t="array" ref="B1560">INDEX('Báo cáo 75 trang đích'!$B$2:$B$76,$A1560)</f>
        <v>https://techcombank.com/thong-tin/blog/ho-kinh-doanh-dong-thue-nhu-nao</v>
      </c>
      <c r="C1560" s="5" t="str">
        <f t="array" ref="C1560">INDEX('Báo cáo 75 trang đích'!$C$2:$C$76,$A1560)</f>
        <v>Merchant</v>
      </c>
      <c r="D1560" s="20" t="s">
        <v>99</v>
      </c>
      <c r="E1560" s="22" t="s">
        <v>992</v>
      </c>
      <c r="F1560" s="22" t="s">
        <v>81</v>
      </c>
      <c r="G1560" s="22" t="s">
        <v>1748</v>
      </c>
      <c r="H1560" s="24" t="s">
        <v>59</v>
      </c>
      <c r="I1560" s="24" t="s">
        <v>59</v>
      </c>
      <c r="J1560" s="24" t="s">
        <v>60</v>
      </c>
      <c r="K1560" s="22" t="s">
        <v>97</v>
      </c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">
        <v>52.0</v>
      </c>
      <c r="B1561" s="35" t="str">
        <f t="array" ref="B1561">INDEX('Báo cáo 75 trang đích'!$B$2:$B$76,$A1561)</f>
        <v>https://techcombank.com/thong-tin/blog/ho-kinh-doanh-dong-thue-nhu-nao</v>
      </c>
      <c r="C1561" s="5" t="str">
        <f t="array" ref="C1561">INDEX('Báo cáo 75 trang đích'!$C$2:$C$76,$A1561)</f>
        <v>Merchant</v>
      </c>
      <c r="D1561" s="20" t="s">
        <v>1755</v>
      </c>
      <c r="E1561" s="22" t="s">
        <v>995</v>
      </c>
      <c r="F1561" s="22" t="s">
        <v>81</v>
      </c>
      <c r="G1561" s="22" t="s">
        <v>1749</v>
      </c>
      <c r="H1561" s="24" t="s">
        <v>59</v>
      </c>
      <c r="I1561" s="24" t="s">
        <v>59</v>
      </c>
      <c r="J1561" s="24" t="s">
        <v>60</v>
      </c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">
        <v>52.0</v>
      </c>
      <c r="B1562" s="35" t="str">
        <f t="array" ref="B1562">INDEX('Báo cáo 75 trang đích'!$B$2:$B$76,$A1562)</f>
        <v>https://techcombank.com/thong-tin/blog/ho-kinh-doanh-dong-thue-nhu-nao</v>
      </c>
      <c r="C1562" s="5" t="str">
        <f t="array" ref="C1562">INDEX('Báo cáo 75 trang đích'!$C$2:$C$76,$A1562)</f>
        <v>Merchant</v>
      </c>
      <c r="D1562" s="20" t="s">
        <v>1435</v>
      </c>
      <c r="E1562" s="22" t="s">
        <v>998</v>
      </c>
      <c r="F1562" s="22" t="s">
        <v>81</v>
      </c>
      <c r="G1562" s="22" t="s">
        <v>1750</v>
      </c>
      <c r="H1562" s="24" t="s">
        <v>59</v>
      </c>
      <c r="I1562" s="24" t="s">
        <v>59</v>
      </c>
      <c r="J1562" s="24" t="s">
        <v>60</v>
      </c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">
        <v>52.0</v>
      </c>
      <c r="B1563" s="35" t="str">
        <f t="array" ref="B1563">INDEX('Báo cáo 75 trang đích'!$B$2:$B$76,$A1563)</f>
        <v>https://techcombank.com/thong-tin/blog/ho-kinh-doanh-dong-thue-nhu-nao</v>
      </c>
      <c r="C1563" s="5" t="str">
        <f t="array" ref="C1563">INDEX('Báo cáo 75 trang đích'!$C$2:$C$76,$A1563)</f>
        <v>Merchant</v>
      </c>
      <c r="D1563" s="20" t="s">
        <v>304</v>
      </c>
      <c r="E1563" s="22" t="s">
        <v>322</v>
      </c>
      <c r="F1563" s="22" t="s">
        <v>81</v>
      </c>
      <c r="G1563" s="22" t="s">
        <v>1750</v>
      </c>
      <c r="H1563" s="24" t="s">
        <v>59</v>
      </c>
      <c r="I1563" s="24" t="s">
        <v>59</v>
      </c>
      <c r="J1563" s="24" t="s">
        <v>60</v>
      </c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">
        <v>52.0</v>
      </c>
      <c r="B1564" s="35" t="str">
        <f t="array" ref="B1564">INDEX('Báo cáo 75 trang đích'!$B$2:$B$76,$A1564)</f>
        <v>https://techcombank.com/thong-tin/blog/ho-kinh-doanh-dong-thue-nhu-nao</v>
      </c>
      <c r="C1564" s="5" t="str">
        <f t="array" ref="C1564">INDEX('Báo cáo 75 trang đích'!$C$2:$C$76,$A1564)</f>
        <v>Merchant</v>
      </c>
      <c r="D1564" s="20" t="s">
        <v>167</v>
      </c>
      <c r="E1564" s="22" t="s">
        <v>992</v>
      </c>
      <c r="F1564" s="22" t="s">
        <v>81</v>
      </c>
      <c r="G1564" s="22" t="s">
        <v>1748</v>
      </c>
      <c r="H1564" s="24" t="s">
        <v>59</v>
      </c>
      <c r="I1564" s="24" t="s">
        <v>59</v>
      </c>
      <c r="J1564" s="24" t="s">
        <v>60</v>
      </c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">
        <v>52.0</v>
      </c>
      <c r="B1565" s="35" t="str">
        <f t="array" ref="B1565">INDEX('Báo cáo 75 trang đích'!$B$2:$B$76,$A1565)</f>
        <v>https://techcombank.com/thong-tin/blog/ho-kinh-doanh-dong-thue-nhu-nao</v>
      </c>
      <c r="C1565" s="5" t="str">
        <f t="array" ref="C1565">INDEX('Báo cáo 75 trang đích'!$C$2:$C$76,$A1565)</f>
        <v>Merchant</v>
      </c>
      <c r="D1565" s="20" t="s">
        <v>186</v>
      </c>
      <c r="E1565" s="22" t="s">
        <v>995</v>
      </c>
      <c r="F1565" s="22" t="s">
        <v>81</v>
      </c>
      <c r="G1565" s="22" t="s">
        <v>1748</v>
      </c>
      <c r="H1565" s="24" t="s">
        <v>59</v>
      </c>
      <c r="I1565" s="24" t="s">
        <v>59</v>
      </c>
      <c r="J1565" s="24" t="s">
        <v>60</v>
      </c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">
        <v>52.0</v>
      </c>
      <c r="B1566" s="35" t="str">
        <f t="array" ref="B1566">INDEX('Báo cáo 75 trang đích'!$B$2:$B$76,$A1566)</f>
        <v>https://techcombank.com/thong-tin/blog/ho-kinh-doanh-dong-thue-nhu-nao</v>
      </c>
      <c r="C1566" s="5" t="str">
        <f t="array" ref="C1566">INDEX('Báo cáo 75 trang đích'!$C$2:$C$76,$A1566)</f>
        <v>Merchant</v>
      </c>
      <c r="D1566" s="20" t="s">
        <v>1756</v>
      </c>
      <c r="E1566" s="22" t="s">
        <v>998</v>
      </c>
      <c r="F1566" s="22" t="s">
        <v>81</v>
      </c>
      <c r="G1566" s="22" t="s">
        <v>1749</v>
      </c>
      <c r="H1566" s="24" t="s">
        <v>59</v>
      </c>
      <c r="I1566" s="24" t="s">
        <v>59</v>
      </c>
      <c r="J1566" s="24" t="s">
        <v>60</v>
      </c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">
        <v>52.0</v>
      </c>
      <c r="B1567" s="35" t="str">
        <f t="array" ref="B1567">INDEX('Báo cáo 75 trang đích'!$B$2:$B$76,$A1567)</f>
        <v>https://techcombank.com/thong-tin/blog/ho-kinh-doanh-dong-thue-nhu-nao</v>
      </c>
      <c r="C1567" s="5" t="str">
        <f t="array" ref="C1567">INDEX('Báo cáo 75 trang đích'!$C$2:$C$76,$A1567)</f>
        <v>Merchant</v>
      </c>
      <c r="D1567" s="20" t="s">
        <v>1757</v>
      </c>
      <c r="E1567" s="22" t="s">
        <v>322</v>
      </c>
      <c r="F1567" s="22" t="s">
        <v>81</v>
      </c>
      <c r="G1567" s="22" t="s">
        <v>1748</v>
      </c>
      <c r="H1567" s="24" t="s">
        <v>59</v>
      </c>
      <c r="I1567" s="24" t="s">
        <v>59</v>
      </c>
      <c r="J1567" s="24" t="s">
        <v>60</v>
      </c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">
        <v>52.0</v>
      </c>
      <c r="B1568" s="35" t="str">
        <f t="array" ref="B1568">INDEX('Báo cáo 75 trang đích'!$B$2:$B$76,$A1568)</f>
        <v>https://techcombank.com/thong-tin/blog/ho-kinh-doanh-dong-thue-nhu-nao</v>
      </c>
      <c r="C1568" s="5" t="str">
        <f t="array" ref="C1568">INDEX('Báo cáo 75 trang đích'!$C$2:$C$76,$A1568)</f>
        <v>Merchant</v>
      </c>
      <c r="D1568" s="20" t="s">
        <v>1758</v>
      </c>
      <c r="E1568" s="22" t="s">
        <v>992</v>
      </c>
      <c r="F1568" s="22" t="s">
        <v>81</v>
      </c>
      <c r="G1568" s="22" t="s">
        <v>1750</v>
      </c>
      <c r="H1568" s="24" t="s">
        <v>59</v>
      </c>
      <c r="I1568" s="24" t="s">
        <v>59</v>
      </c>
      <c r="J1568" s="24" t="s">
        <v>60</v>
      </c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">
        <v>52.0</v>
      </c>
      <c r="B1569" s="35" t="str">
        <f t="array" ref="B1569">INDEX('Báo cáo 75 trang đích'!$B$2:$B$76,$A1569)</f>
        <v>https://techcombank.com/thong-tin/blog/ho-kinh-doanh-dong-thue-nhu-nao</v>
      </c>
      <c r="C1569" s="5" t="str">
        <f t="array" ref="C1569">INDEX('Báo cáo 75 trang đích'!$C$2:$C$76,$A1569)</f>
        <v>Merchant</v>
      </c>
      <c r="D1569" s="20" t="s">
        <v>102</v>
      </c>
      <c r="E1569" s="22" t="s">
        <v>995</v>
      </c>
      <c r="F1569" s="22" t="s">
        <v>81</v>
      </c>
      <c r="G1569" s="22" t="s">
        <v>1749</v>
      </c>
      <c r="H1569" s="24" t="s">
        <v>59</v>
      </c>
      <c r="I1569" s="24" t="s">
        <v>59</v>
      </c>
      <c r="J1569" s="24" t="s">
        <v>60</v>
      </c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">
        <v>52.0</v>
      </c>
      <c r="B1570" s="35" t="str">
        <f t="array" ref="B1570">INDEX('Báo cáo 75 trang đích'!$B$2:$B$76,$A1570)</f>
        <v>https://techcombank.com/thong-tin/blog/ho-kinh-doanh-dong-thue-nhu-nao</v>
      </c>
      <c r="C1570" s="5" t="str">
        <f t="array" ref="C1570">INDEX('Báo cáo 75 trang đích'!$C$2:$C$76,$A1570)</f>
        <v>Merchant</v>
      </c>
      <c r="D1570" s="20" t="s">
        <v>86</v>
      </c>
      <c r="E1570" s="22" t="s">
        <v>998</v>
      </c>
      <c r="F1570" s="22" t="s">
        <v>81</v>
      </c>
      <c r="G1570" s="22" t="s">
        <v>1749</v>
      </c>
      <c r="H1570" s="24" t="s">
        <v>59</v>
      </c>
      <c r="I1570" s="24" t="s">
        <v>59</v>
      </c>
      <c r="J1570" s="24" t="s">
        <v>60</v>
      </c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">
        <v>52.0</v>
      </c>
      <c r="B1571" s="35" t="str">
        <f t="array" ref="B1571">INDEX('Báo cáo 75 trang đích'!$B$2:$B$76,$A1571)</f>
        <v>https://techcombank.com/thong-tin/blog/ho-kinh-doanh-dong-thue-nhu-nao</v>
      </c>
      <c r="C1571" s="5" t="str">
        <f t="array" ref="C1571">INDEX('Báo cáo 75 trang đích'!$C$2:$C$76,$A1571)</f>
        <v>Merchant</v>
      </c>
      <c r="D1571" s="20" t="s">
        <v>1671</v>
      </c>
      <c r="E1571" s="22" t="s">
        <v>322</v>
      </c>
      <c r="F1571" s="22" t="s">
        <v>81</v>
      </c>
      <c r="G1571" s="22" t="s">
        <v>1750</v>
      </c>
      <c r="H1571" s="24" t="s">
        <v>59</v>
      </c>
      <c r="I1571" s="24" t="s">
        <v>59</v>
      </c>
      <c r="J1571" s="24" t="s">
        <v>60</v>
      </c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">
        <v>52.0</v>
      </c>
      <c r="B1572" s="35" t="str">
        <f t="array" ref="B1572">INDEX('Báo cáo 75 trang đích'!$B$2:$B$76,$A1572)</f>
        <v>https://techcombank.com/thong-tin/blog/ho-kinh-doanh-dong-thue-nhu-nao</v>
      </c>
      <c r="C1572" s="5" t="str">
        <f t="array" ref="C1572">INDEX('Báo cáo 75 trang đích'!$C$2:$C$76,$A1572)</f>
        <v>Merchant</v>
      </c>
      <c r="D1572" s="20" t="s">
        <v>106</v>
      </c>
      <c r="E1572" s="22" t="s">
        <v>992</v>
      </c>
      <c r="F1572" s="22" t="s">
        <v>81</v>
      </c>
      <c r="G1572" s="22" t="s">
        <v>1749</v>
      </c>
      <c r="H1572" s="24" t="s">
        <v>59</v>
      </c>
      <c r="I1572" s="24" t="s">
        <v>59</v>
      </c>
      <c r="J1572" s="24" t="s">
        <v>60</v>
      </c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">
        <v>52.0</v>
      </c>
      <c r="B1573" s="35" t="str">
        <f t="array" ref="B1573">INDEX('Báo cáo 75 trang đích'!$B$2:$B$76,$A1573)</f>
        <v>https://techcombank.com/thong-tin/blog/ho-kinh-doanh-dong-thue-nhu-nao</v>
      </c>
      <c r="C1573" s="5" t="str">
        <f t="array" ref="C1573">INDEX('Báo cáo 75 trang đích'!$C$2:$C$76,$A1573)</f>
        <v>Merchant</v>
      </c>
      <c r="D1573" s="20" t="s">
        <v>1759</v>
      </c>
      <c r="E1573" s="22" t="s">
        <v>995</v>
      </c>
      <c r="F1573" s="22" t="s">
        <v>81</v>
      </c>
      <c r="G1573" s="22" t="s">
        <v>1749</v>
      </c>
      <c r="H1573" s="24" t="s">
        <v>59</v>
      </c>
      <c r="I1573" s="24" t="s">
        <v>59</v>
      </c>
      <c r="J1573" s="24" t="s">
        <v>60</v>
      </c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">
        <v>52.0</v>
      </c>
      <c r="B1574" s="35" t="str">
        <f t="array" ref="B1574">INDEX('Báo cáo 75 trang đích'!$B$2:$B$76,$A1574)</f>
        <v>https://techcombank.com/thong-tin/blog/ho-kinh-doanh-dong-thue-nhu-nao</v>
      </c>
      <c r="C1574" s="5" t="str">
        <f t="array" ref="C1574">INDEX('Báo cáo 75 trang đích'!$C$2:$C$76,$A1574)</f>
        <v>Merchant</v>
      </c>
      <c r="D1574" s="20" t="s">
        <v>1760</v>
      </c>
      <c r="E1574" s="22" t="s">
        <v>998</v>
      </c>
      <c r="F1574" s="22" t="s">
        <v>81</v>
      </c>
      <c r="G1574" s="22" t="s">
        <v>1750</v>
      </c>
      <c r="H1574" s="24" t="s">
        <v>59</v>
      </c>
      <c r="I1574" s="24" t="s">
        <v>59</v>
      </c>
      <c r="J1574" s="24" t="s">
        <v>60</v>
      </c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">
        <v>52.0</v>
      </c>
      <c r="B1575" s="35" t="str">
        <f t="array" ref="B1575">INDEX('Báo cáo 75 trang đích'!$B$2:$B$76,$A1575)</f>
        <v>https://techcombank.com/thong-tin/blog/ho-kinh-doanh-dong-thue-nhu-nao</v>
      </c>
      <c r="C1575" s="5" t="str">
        <f t="array" ref="C1575">INDEX('Báo cáo 75 trang đích'!$C$2:$C$76,$A1575)</f>
        <v>Merchant</v>
      </c>
      <c r="D1575" s="20" t="s">
        <v>109</v>
      </c>
      <c r="E1575" s="22" t="s">
        <v>322</v>
      </c>
      <c r="F1575" s="22" t="s">
        <v>81</v>
      </c>
      <c r="G1575" s="22" t="s">
        <v>1748</v>
      </c>
      <c r="H1575" s="24" t="s">
        <v>59</v>
      </c>
      <c r="I1575" s="24" t="s">
        <v>59</v>
      </c>
      <c r="J1575" s="24" t="s">
        <v>60</v>
      </c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">
        <v>52.0</v>
      </c>
      <c r="B1576" s="35" t="str">
        <f t="array" ref="B1576">INDEX('Báo cáo 75 trang đích'!$B$2:$B$76,$A1576)</f>
        <v>https://techcombank.com/thong-tin/blog/ho-kinh-doanh-dong-thue-nhu-nao</v>
      </c>
      <c r="C1576" s="5" t="str">
        <f t="array" ref="C1576">INDEX('Báo cáo 75 trang đích'!$C$2:$C$76,$A1576)</f>
        <v>Merchant</v>
      </c>
      <c r="D1576" s="20" t="s">
        <v>239</v>
      </c>
      <c r="E1576" s="22" t="s">
        <v>992</v>
      </c>
      <c r="F1576" s="22" t="s">
        <v>81</v>
      </c>
      <c r="G1576" s="22" t="s">
        <v>1750</v>
      </c>
      <c r="H1576" s="24" t="s">
        <v>59</v>
      </c>
      <c r="I1576" s="24" t="s">
        <v>59</v>
      </c>
      <c r="J1576" s="24" t="s">
        <v>60</v>
      </c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">
        <v>52.0</v>
      </c>
      <c r="B1577" s="35" t="str">
        <f t="array" ref="B1577">INDEX('Báo cáo 75 trang đích'!$B$2:$B$76,$A1577)</f>
        <v>https://techcombank.com/thong-tin/blog/ho-kinh-doanh-dong-thue-nhu-nao</v>
      </c>
      <c r="C1577" s="5" t="str">
        <f t="array" ref="C1577">INDEX('Báo cáo 75 trang đích'!$C$2:$C$76,$A1577)</f>
        <v>Merchant</v>
      </c>
      <c r="D1577" s="20" t="s">
        <v>111</v>
      </c>
      <c r="E1577" s="22" t="s">
        <v>995</v>
      </c>
      <c r="F1577" s="22" t="s">
        <v>81</v>
      </c>
      <c r="G1577" s="22" t="s">
        <v>1748</v>
      </c>
      <c r="H1577" s="24" t="s">
        <v>59</v>
      </c>
      <c r="I1577" s="24" t="s">
        <v>59</v>
      </c>
      <c r="J1577" s="24" t="s">
        <v>60</v>
      </c>
      <c r="K1577" s="22" t="s">
        <v>97</v>
      </c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">
        <v>52.0</v>
      </c>
      <c r="B1578" s="35" t="str">
        <f t="array" ref="B1578">INDEX('Báo cáo 75 trang đích'!$B$2:$B$76,$A1578)</f>
        <v>https://techcombank.com/thong-tin/blog/ho-kinh-doanh-dong-thue-nhu-nao</v>
      </c>
      <c r="C1578" s="5" t="str">
        <f t="array" ref="C1578">INDEX('Báo cáo 75 trang đích'!$C$2:$C$76,$A1578)</f>
        <v>Merchant</v>
      </c>
      <c r="D1578" s="20" t="s">
        <v>1761</v>
      </c>
      <c r="E1578" s="22" t="s">
        <v>998</v>
      </c>
      <c r="F1578" s="22" t="s">
        <v>81</v>
      </c>
      <c r="G1578" s="22" t="s">
        <v>1750</v>
      </c>
      <c r="H1578" s="24" t="s">
        <v>59</v>
      </c>
      <c r="I1578" s="24" t="s">
        <v>59</v>
      </c>
      <c r="J1578" s="24" t="s">
        <v>60</v>
      </c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">
        <v>52.0</v>
      </c>
      <c r="B1579" s="35" t="str">
        <f t="array" ref="B1579">INDEX('Báo cáo 75 trang đích'!$B$2:$B$76,$A1579)</f>
        <v>https://techcombank.com/thong-tin/blog/ho-kinh-doanh-dong-thue-nhu-nao</v>
      </c>
      <c r="C1579" s="5" t="str">
        <f t="array" ref="C1579">INDEX('Báo cáo 75 trang đích'!$C$2:$C$76,$A1579)</f>
        <v>Merchant</v>
      </c>
      <c r="D1579" s="20" t="s">
        <v>1762</v>
      </c>
      <c r="E1579" s="22" t="s">
        <v>322</v>
      </c>
      <c r="F1579" s="22" t="s">
        <v>81</v>
      </c>
      <c r="G1579" s="22" t="s">
        <v>1749</v>
      </c>
      <c r="H1579" s="24" t="s">
        <v>59</v>
      </c>
      <c r="I1579" s="24" t="s">
        <v>59</v>
      </c>
      <c r="J1579" s="24" t="s">
        <v>60</v>
      </c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">
        <v>52.0</v>
      </c>
      <c r="B1580" s="35" t="str">
        <f t="array" ref="B1580">INDEX('Báo cáo 75 trang đích'!$B$2:$B$76,$A1580)</f>
        <v>https://techcombank.com/thong-tin/blog/ho-kinh-doanh-dong-thue-nhu-nao</v>
      </c>
      <c r="C1580" s="5" t="str">
        <f t="array" ref="C1580">INDEX('Báo cáo 75 trang đích'!$C$2:$C$76,$A1580)</f>
        <v>Merchant</v>
      </c>
      <c r="D1580" s="20" t="s">
        <v>1034</v>
      </c>
      <c r="E1580" s="22" t="s">
        <v>992</v>
      </c>
      <c r="F1580" s="22" t="s">
        <v>81</v>
      </c>
      <c r="G1580" s="22" t="s">
        <v>1749</v>
      </c>
      <c r="H1580" s="24" t="s">
        <v>59</v>
      </c>
      <c r="I1580" s="24" t="s">
        <v>59</v>
      </c>
      <c r="J1580" s="24" t="s">
        <v>60</v>
      </c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">
        <v>52.0</v>
      </c>
      <c r="B1581" s="35" t="str">
        <f t="array" ref="B1581">INDEX('Báo cáo 75 trang đích'!$B$2:$B$76,$A1581)</f>
        <v>https://techcombank.com/thong-tin/blog/ho-kinh-doanh-dong-thue-nhu-nao</v>
      </c>
      <c r="C1581" s="5" t="str">
        <f t="array" ref="C1581">INDEX('Báo cáo 75 trang đích'!$C$2:$C$76,$A1581)</f>
        <v>Merchant</v>
      </c>
      <c r="D1581" s="20" t="s">
        <v>1383</v>
      </c>
      <c r="E1581" s="22" t="s">
        <v>995</v>
      </c>
      <c r="F1581" s="22" t="s">
        <v>81</v>
      </c>
      <c r="G1581" s="22" t="s">
        <v>1750</v>
      </c>
      <c r="H1581" s="24" t="s">
        <v>59</v>
      </c>
      <c r="I1581" s="24" t="s">
        <v>59</v>
      </c>
      <c r="J1581" s="24" t="s">
        <v>60</v>
      </c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">
        <v>52.0</v>
      </c>
      <c r="B1582" s="35" t="str">
        <f t="array" ref="B1582">INDEX('Báo cáo 75 trang đích'!$B$2:$B$76,$A1582)</f>
        <v>https://techcombank.com/thong-tin/blog/ho-kinh-doanh-dong-thue-nhu-nao</v>
      </c>
      <c r="C1582" s="5" t="str">
        <f t="array" ref="C1582">INDEX('Báo cáo 75 trang đích'!$C$2:$C$76,$A1582)</f>
        <v>Merchant</v>
      </c>
      <c r="D1582" s="20" t="s">
        <v>472</v>
      </c>
      <c r="E1582" s="22" t="s">
        <v>998</v>
      </c>
      <c r="F1582" s="22" t="s">
        <v>81</v>
      </c>
      <c r="G1582" s="22" t="s">
        <v>1748</v>
      </c>
      <c r="H1582" s="24" t="s">
        <v>59</v>
      </c>
      <c r="I1582" s="24" t="s">
        <v>59</v>
      </c>
      <c r="J1582" s="24" t="s">
        <v>60</v>
      </c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">
        <v>52.0</v>
      </c>
      <c r="B1583" s="35" t="str">
        <f t="array" ref="B1583">INDEX('Báo cáo 75 trang đích'!$B$2:$B$76,$A1583)</f>
        <v>https://techcombank.com/thong-tin/blog/ho-kinh-doanh-dong-thue-nhu-nao</v>
      </c>
      <c r="C1583" s="5" t="str">
        <f t="array" ref="C1583">INDEX('Báo cáo 75 trang đích'!$C$2:$C$76,$A1583)</f>
        <v>Merchant</v>
      </c>
      <c r="D1583" s="20" t="s">
        <v>193</v>
      </c>
      <c r="E1583" s="22" t="s">
        <v>322</v>
      </c>
      <c r="F1583" s="22" t="s">
        <v>81</v>
      </c>
      <c r="G1583" s="22" t="s">
        <v>1748</v>
      </c>
      <c r="H1583" s="24" t="s">
        <v>59</v>
      </c>
      <c r="I1583" s="24" t="s">
        <v>59</v>
      </c>
      <c r="J1583" s="24" t="s">
        <v>60</v>
      </c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">
        <v>52.0</v>
      </c>
      <c r="B1584" s="35" t="str">
        <f t="array" ref="B1584">INDEX('Báo cáo 75 trang đích'!$B$2:$B$76,$A1584)</f>
        <v>https://techcombank.com/thong-tin/blog/ho-kinh-doanh-dong-thue-nhu-nao</v>
      </c>
      <c r="C1584" s="5" t="str">
        <f t="array" ref="C1584">INDEX('Báo cáo 75 trang đích'!$C$2:$C$76,$A1584)</f>
        <v>Merchant</v>
      </c>
      <c r="D1584" s="20" t="s">
        <v>1763</v>
      </c>
      <c r="E1584" s="22" t="s">
        <v>992</v>
      </c>
      <c r="F1584" s="22" t="s">
        <v>81</v>
      </c>
      <c r="G1584" s="22" t="s">
        <v>1750</v>
      </c>
      <c r="H1584" s="24" t="s">
        <v>59</v>
      </c>
      <c r="I1584" s="24" t="s">
        <v>59</v>
      </c>
      <c r="J1584" s="24" t="s">
        <v>60</v>
      </c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">
        <v>52.0</v>
      </c>
      <c r="B1585" s="35" t="str">
        <f t="array" ref="B1585">INDEX('Báo cáo 75 trang đích'!$B$2:$B$76,$A1585)</f>
        <v>https://techcombank.com/thong-tin/blog/ho-kinh-doanh-dong-thue-nhu-nao</v>
      </c>
      <c r="C1585" s="5" t="str">
        <f t="array" ref="C1585">INDEX('Báo cáo 75 trang đích'!$C$2:$C$76,$A1585)</f>
        <v>Merchant</v>
      </c>
      <c r="D1585" s="20" t="s">
        <v>1371</v>
      </c>
      <c r="E1585" s="22" t="s">
        <v>995</v>
      </c>
      <c r="F1585" s="22" t="s">
        <v>81</v>
      </c>
      <c r="G1585" s="22" t="s">
        <v>1749</v>
      </c>
      <c r="H1585" s="24" t="s">
        <v>59</v>
      </c>
      <c r="I1585" s="24" t="s">
        <v>59</v>
      </c>
      <c r="J1585" s="24" t="s">
        <v>60</v>
      </c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">
        <v>52.0</v>
      </c>
      <c r="B1586" s="35" t="str">
        <f t="array" ref="B1586">INDEX('Báo cáo 75 trang đích'!$B$2:$B$76,$A1586)</f>
        <v>https://techcombank.com/thong-tin/blog/ho-kinh-doanh-dong-thue-nhu-nao</v>
      </c>
      <c r="C1586" s="5" t="str">
        <f t="array" ref="C1586">INDEX('Báo cáo 75 trang đích'!$C$2:$C$76,$A1586)</f>
        <v>Merchant</v>
      </c>
      <c r="D1586" s="20" t="s">
        <v>1764</v>
      </c>
      <c r="E1586" s="22" t="s">
        <v>998</v>
      </c>
      <c r="F1586" s="22" t="s">
        <v>81</v>
      </c>
      <c r="G1586" s="22" t="s">
        <v>1765</v>
      </c>
      <c r="H1586" s="24" t="s">
        <v>59</v>
      </c>
      <c r="I1586" s="24" t="s">
        <v>59</v>
      </c>
      <c r="J1586" s="24" t="s">
        <v>60</v>
      </c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">
        <v>52.0</v>
      </c>
      <c r="B1587" s="35" t="str">
        <f t="array" ref="B1587">INDEX('Báo cáo 75 trang đích'!$B$2:$B$76,$A1587)</f>
        <v>https://techcombank.com/thong-tin/blog/ho-kinh-doanh-dong-thue-nhu-nao</v>
      </c>
      <c r="C1587" s="5" t="str">
        <f t="array" ref="C1587">INDEX('Báo cáo 75 trang đích'!$C$2:$C$76,$A1587)</f>
        <v>Merchant</v>
      </c>
      <c r="D1587" s="20" t="s">
        <v>1534</v>
      </c>
      <c r="E1587" s="22" t="s">
        <v>322</v>
      </c>
      <c r="F1587" s="22" t="s">
        <v>81</v>
      </c>
      <c r="G1587" s="22" t="s">
        <v>1750</v>
      </c>
      <c r="H1587" s="24" t="s">
        <v>59</v>
      </c>
      <c r="I1587" s="24" t="s">
        <v>59</v>
      </c>
      <c r="J1587" s="24" t="s">
        <v>60</v>
      </c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">
        <v>52.0</v>
      </c>
      <c r="B1588" s="35" t="str">
        <f t="array" ref="B1588">INDEX('Báo cáo 75 trang đích'!$B$2:$B$76,$A1588)</f>
        <v>https://techcombank.com/thong-tin/blog/ho-kinh-doanh-dong-thue-nhu-nao</v>
      </c>
      <c r="C1588" s="5" t="str">
        <f t="array" ref="C1588">INDEX('Báo cáo 75 trang đích'!$C$2:$C$76,$A1588)</f>
        <v>Merchant</v>
      </c>
      <c r="D1588" s="20" t="s">
        <v>323</v>
      </c>
      <c r="E1588" s="22" t="s">
        <v>992</v>
      </c>
      <c r="F1588" s="22" t="s">
        <v>81</v>
      </c>
      <c r="G1588" s="22" t="s">
        <v>1749</v>
      </c>
      <c r="H1588" s="24" t="s">
        <v>59</v>
      </c>
      <c r="I1588" s="24" t="s">
        <v>59</v>
      </c>
      <c r="J1588" s="24" t="s">
        <v>60</v>
      </c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">
        <v>52.0</v>
      </c>
      <c r="B1589" s="35" t="str">
        <f t="array" ref="B1589">INDEX('Báo cáo 75 trang đích'!$B$2:$B$76,$A1589)</f>
        <v>https://techcombank.com/thong-tin/blog/ho-kinh-doanh-dong-thue-nhu-nao</v>
      </c>
      <c r="C1589" s="5" t="str">
        <f t="array" ref="C1589">INDEX('Báo cáo 75 trang đích'!$C$2:$C$76,$A1589)</f>
        <v>Merchant</v>
      </c>
      <c r="D1589" s="20" t="s">
        <v>252</v>
      </c>
      <c r="E1589" s="22" t="s">
        <v>995</v>
      </c>
      <c r="F1589" s="22" t="s">
        <v>81</v>
      </c>
      <c r="G1589" s="22" t="s">
        <v>1749</v>
      </c>
      <c r="H1589" s="24" t="s">
        <v>59</v>
      </c>
      <c r="I1589" s="24" t="s">
        <v>59</v>
      </c>
      <c r="J1589" s="24" t="s">
        <v>60</v>
      </c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">
        <v>52.0</v>
      </c>
      <c r="B1590" s="35" t="str">
        <f t="array" ref="B1590">INDEX('Báo cáo 75 trang đích'!$B$2:$B$76,$A1590)</f>
        <v>https://techcombank.com/thong-tin/blog/ho-kinh-doanh-dong-thue-nhu-nao</v>
      </c>
      <c r="C1590" s="5" t="str">
        <f t="array" ref="C1590">INDEX('Báo cáo 75 trang đích'!$C$2:$C$76,$A1590)</f>
        <v>Merchant</v>
      </c>
      <c r="D1590" s="20" t="s">
        <v>1766</v>
      </c>
      <c r="E1590" s="22" t="s">
        <v>998</v>
      </c>
      <c r="F1590" s="22" t="s">
        <v>81</v>
      </c>
      <c r="G1590" s="22" t="s">
        <v>1750</v>
      </c>
      <c r="H1590" s="24" t="s">
        <v>59</v>
      </c>
      <c r="I1590" s="24" t="s">
        <v>59</v>
      </c>
      <c r="J1590" s="24" t="s">
        <v>60</v>
      </c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">
        <v>52.0</v>
      </c>
      <c r="B1591" s="35" t="str">
        <f t="array" ref="B1591">INDEX('Báo cáo 75 trang đích'!$B$2:$B$76,$A1591)</f>
        <v>https://techcombank.com/thong-tin/blog/ho-kinh-doanh-dong-thue-nhu-nao</v>
      </c>
      <c r="C1591" s="5" t="str">
        <f t="array" ref="C1591">INDEX('Báo cáo 75 trang đích'!$C$2:$C$76,$A1591)</f>
        <v>Merchant</v>
      </c>
      <c r="D1591" s="20" t="s">
        <v>114</v>
      </c>
      <c r="E1591" s="22" t="s">
        <v>322</v>
      </c>
      <c r="F1591" s="22" t="s">
        <v>81</v>
      </c>
      <c r="G1591" s="22" t="s">
        <v>1749</v>
      </c>
      <c r="H1591" s="24" t="s">
        <v>59</v>
      </c>
      <c r="I1591" s="24" t="s">
        <v>59</v>
      </c>
      <c r="J1591" s="24" t="s">
        <v>60</v>
      </c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">
        <v>52.0</v>
      </c>
      <c r="B1592" s="35" t="str">
        <f t="array" ref="B1592">INDEX('Báo cáo 75 trang đích'!$B$2:$B$76,$A1592)</f>
        <v>https://techcombank.com/thong-tin/blog/ho-kinh-doanh-dong-thue-nhu-nao</v>
      </c>
      <c r="C1592" s="5" t="str">
        <f t="array" ref="C1592">INDEX('Báo cáo 75 trang đích'!$C$2:$C$76,$A1592)</f>
        <v>Merchant</v>
      </c>
      <c r="D1592" s="20" t="s">
        <v>1674</v>
      </c>
      <c r="E1592" s="22" t="s">
        <v>992</v>
      </c>
      <c r="F1592" s="22" t="s">
        <v>81</v>
      </c>
      <c r="G1592" s="22" t="s">
        <v>1750</v>
      </c>
      <c r="H1592" s="24" t="s">
        <v>59</v>
      </c>
      <c r="I1592" s="24" t="s">
        <v>59</v>
      </c>
      <c r="J1592" s="24" t="s">
        <v>60</v>
      </c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">
        <v>52.0</v>
      </c>
      <c r="B1593" s="35" t="str">
        <f t="array" ref="B1593">INDEX('Báo cáo 75 trang đích'!$B$2:$B$76,$A1593)</f>
        <v>https://techcombank.com/thong-tin/blog/ho-kinh-doanh-dong-thue-nhu-nao</v>
      </c>
      <c r="C1593" s="5" t="str">
        <f t="array" ref="C1593">INDEX('Báo cáo 75 trang đích'!$C$2:$C$76,$A1593)</f>
        <v>Merchant</v>
      </c>
      <c r="D1593" s="20" t="s">
        <v>115</v>
      </c>
      <c r="E1593" s="22" t="s">
        <v>995</v>
      </c>
      <c r="F1593" s="22" t="s">
        <v>81</v>
      </c>
      <c r="G1593" s="22" t="s">
        <v>1749</v>
      </c>
      <c r="H1593" s="24" t="s">
        <v>59</v>
      </c>
      <c r="I1593" s="24" t="s">
        <v>59</v>
      </c>
      <c r="J1593" s="24" t="s">
        <v>60</v>
      </c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">
        <v>52.0</v>
      </c>
      <c r="B1594" s="35" t="str">
        <f t="array" ref="B1594">INDEX('Báo cáo 75 trang đích'!$B$2:$B$76,$A1594)</f>
        <v>https://techcombank.com/thong-tin/blog/ho-kinh-doanh-dong-thue-nhu-nao</v>
      </c>
      <c r="C1594" s="5" t="str">
        <f t="array" ref="C1594">INDEX('Báo cáo 75 trang đích'!$C$2:$C$76,$A1594)</f>
        <v>Merchant</v>
      </c>
      <c r="D1594" s="20" t="s">
        <v>303</v>
      </c>
      <c r="E1594" s="22" t="s">
        <v>998</v>
      </c>
      <c r="F1594" s="22" t="s">
        <v>81</v>
      </c>
      <c r="G1594" s="22" t="s">
        <v>1748</v>
      </c>
      <c r="H1594" s="24" t="s">
        <v>59</v>
      </c>
      <c r="I1594" s="24" t="s">
        <v>59</v>
      </c>
      <c r="J1594" s="24" t="s">
        <v>60</v>
      </c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">
        <v>52.0</v>
      </c>
      <c r="B1595" s="35" t="str">
        <f t="array" ref="B1595">INDEX('Báo cáo 75 trang đích'!$B$2:$B$76,$A1595)</f>
        <v>https://techcombank.com/thong-tin/blog/ho-kinh-doanh-dong-thue-nhu-nao</v>
      </c>
      <c r="C1595" s="5" t="str">
        <f t="array" ref="C1595">INDEX('Báo cáo 75 trang đích'!$C$2:$C$76,$A1595)</f>
        <v>Merchant</v>
      </c>
      <c r="D1595" s="20" t="s">
        <v>510</v>
      </c>
      <c r="E1595" s="22" t="s">
        <v>322</v>
      </c>
      <c r="F1595" s="22" t="s">
        <v>81</v>
      </c>
      <c r="G1595" s="22" t="s">
        <v>1749</v>
      </c>
      <c r="H1595" s="24" t="s">
        <v>59</v>
      </c>
      <c r="I1595" s="24" t="s">
        <v>59</v>
      </c>
      <c r="J1595" s="24" t="s">
        <v>60</v>
      </c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">
        <v>52.0</v>
      </c>
      <c r="B1596" s="35" t="str">
        <f t="array" ref="B1596">INDEX('Báo cáo 75 trang đích'!$B$2:$B$76,$A1596)</f>
        <v>https://techcombank.com/thong-tin/blog/ho-kinh-doanh-dong-thue-nhu-nao</v>
      </c>
      <c r="C1596" s="5" t="str">
        <f t="array" ref="C1596">INDEX('Báo cáo 75 trang đích'!$C$2:$C$76,$A1596)</f>
        <v>Merchant</v>
      </c>
      <c r="D1596" s="20" t="s">
        <v>180</v>
      </c>
      <c r="E1596" s="22" t="s">
        <v>992</v>
      </c>
      <c r="F1596" s="22" t="s">
        <v>81</v>
      </c>
      <c r="G1596" s="22" t="s">
        <v>1748</v>
      </c>
      <c r="H1596" s="24" t="s">
        <v>59</v>
      </c>
      <c r="I1596" s="24" t="s">
        <v>59</v>
      </c>
      <c r="J1596" s="24" t="s">
        <v>60</v>
      </c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">
        <v>52.0</v>
      </c>
      <c r="B1597" s="35" t="str">
        <f t="array" ref="B1597">INDEX('Báo cáo 75 trang đích'!$B$2:$B$76,$A1597)</f>
        <v>https://techcombank.com/thong-tin/blog/ho-kinh-doanh-dong-thue-nhu-nao</v>
      </c>
      <c r="C1597" s="5" t="str">
        <f t="array" ref="C1597">INDEX('Báo cáo 75 trang đích'!$C$2:$C$76,$A1597)</f>
        <v>Merchant</v>
      </c>
      <c r="D1597" s="20" t="s">
        <v>258</v>
      </c>
      <c r="E1597" s="22" t="s">
        <v>995</v>
      </c>
      <c r="F1597" s="22" t="s">
        <v>81</v>
      </c>
      <c r="G1597" s="22" t="s">
        <v>1750</v>
      </c>
      <c r="H1597" s="24" t="s">
        <v>59</v>
      </c>
      <c r="I1597" s="24" t="s">
        <v>59</v>
      </c>
      <c r="J1597" s="24" t="s">
        <v>60</v>
      </c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">
        <v>52.0</v>
      </c>
      <c r="B1598" s="35" t="str">
        <f t="array" ref="B1598">INDEX('Báo cáo 75 trang đích'!$B$2:$B$76,$A1598)</f>
        <v>https://techcombank.com/thong-tin/blog/ho-kinh-doanh-dong-thue-nhu-nao</v>
      </c>
      <c r="C1598" s="5" t="str">
        <f t="array" ref="C1598">INDEX('Báo cáo 75 trang đích'!$C$2:$C$76,$A1598)</f>
        <v>Merchant</v>
      </c>
      <c r="D1598" s="20" t="s">
        <v>328</v>
      </c>
      <c r="E1598" s="22" t="s">
        <v>998</v>
      </c>
      <c r="F1598" s="22" t="s">
        <v>81</v>
      </c>
      <c r="G1598" s="22" t="s">
        <v>1748</v>
      </c>
      <c r="H1598" s="24" t="s">
        <v>59</v>
      </c>
      <c r="I1598" s="24" t="s">
        <v>59</v>
      </c>
      <c r="J1598" s="24" t="s">
        <v>60</v>
      </c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">
        <v>52.0</v>
      </c>
      <c r="B1599" s="35" t="str">
        <f t="array" ref="B1599">INDEX('Báo cáo 75 trang đích'!$B$2:$B$76,$A1599)</f>
        <v>https://techcombank.com/thong-tin/blog/ho-kinh-doanh-dong-thue-nhu-nao</v>
      </c>
      <c r="C1599" s="5" t="str">
        <f t="array" ref="C1599">INDEX('Báo cáo 75 trang đích'!$C$2:$C$76,$A1599)</f>
        <v>Merchant</v>
      </c>
      <c r="D1599" s="20" t="s">
        <v>1767</v>
      </c>
      <c r="E1599" s="22" t="s">
        <v>322</v>
      </c>
      <c r="F1599" s="22" t="s">
        <v>81</v>
      </c>
      <c r="G1599" s="22" t="s">
        <v>1749</v>
      </c>
      <c r="H1599" s="24" t="s">
        <v>59</v>
      </c>
      <c r="I1599" s="24" t="s">
        <v>59</v>
      </c>
      <c r="J1599" s="24" t="s">
        <v>60</v>
      </c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">
        <v>52.0</v>
      </c>
      <c r="B1600" s="35" t="str">
        <f t="array" ref="B1600">INDEX('Báo cáo 75 trang đích'!$B$2:$B$76,$A1600)</f>
        <v>https://techcombank.com/thong-tin/blog/ho-kinh-doanh-dong-thue-nhu-nao</v>
      </c>
      <c r="C1600" s="5" t="str">
        <f t="array" ref="C1600">INDEX('Báo cáo 75 trang đích'!$C$2:$C$76,$A1600)</f>
        <v>Merchant</v>
      </c>
      <c r="D1600" s="20" t="s">
        <v>92</v>
      </c>
      <c r="E1600" s="22" t="s">
        <v>992</v>
      </c>
      <c r="F1600" s="22" t="s">
        <v>81</v>
      </c>
      <c r="G1600" s="22" t="s">
        <v>1748</v>
      </c>
      <c r="H1600" s="24" t="s">
        <v>59</v>
      </c>
      <c r="I1600" s="24" t="s">
        <v>59</v>
      </c>
      <c r="J1600" s="24" t="s">
        <v>60</v>
      </c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">
        <v>52.0</v>
      </c>
      <c r="B1601" s="35" t="str">
        <f t="array" ref="B1601">INDEX('Báo cáo 75 trang đích'!$B$2:$B$76,$A1601)</f>
        <v>https://techcombank.com/thong-tin/blog/ho-kinh-doanh-dong-thue-nhu-nao</v>
      </c>
      <c r="C1601" s="5" t="str">
        <f t="array" ref="C1601">INDEX('Báo cáo 75 trang đích'!$C$2:$C$76,$A1601)</f>
        <v>Merchant</v>
      </c>
      <c r="D1601" s="20" t="s">
        <v>264</v>
      </c>
      <c r="E1601" s="22" t="s">
        <v>995</v>
      </c>
      <c r="F1601" s="22" t="s">
        <v>81</v>
      </c>
      <c r="G1601" s="22" t="s">
        <v>1749</v>
      </c>
      <c r="H1601" s="24" t="s">
        <v>59</v>
      </c>
      <c r="I1601" s="24" t="s">
        <v>59</v>
      </c>
      <c r="J1601" s="24" t="s">
        <v>60</v>
      </c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">
        <v>52.0</v>
      </c>
      <c r="B1602" s="35" t="str">
        <f t="array" ref="B1602">INDEX('Báo cáo 75 trang đích'!$B$2:$B$76,$A1602)</f>
        <v>https://techcombank.com/thong-tin/blog/ho-kinh-doanh-dong-thue-nhu-nao</v>
      </c>
      <c r="C1602" s="5" t="str">
        <f t="array" ref="C1602">INDEX('Báo cáo 75 trang đích'!$C$2:$C$76,$A1602)</f>
        <v>Merchant</v>
      </c>
      <c r="D1602" s="20" t="s">
        <v>307</v>
      </c>
      <c r="E1602" s="22" t="s">
        <v>998</v>
      </c>
      <c r="F1602" s="22" t="s">
        <v>81</v>
      </c>
      <c r="G1602" s="22" t="s">
        <v>1749</v>
      </c>
      <c r="H1602" s="24" t="s">
        <v>59</v>
      </c>
      <c r="I1602" s="24" t="s">
        <v>59</v>
      </c>
      <c r="J1602" s="24" t="s">
        <v>60</v>
      </c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">
        <v>52.0</v>
      </c>
      <c r="B1603" s="35" t="str">
        <f t="array" ref="B1603">INDEX('Báo cáo 75 trang đích'!$B$2:$B$76,$A1603)</f>
        <v>https://techcombank.com/thong-tin/blog/ho-kinh-doanh-dong-thue-nhu-nao</v>
      </c>
      <c r="C1603" s="5" t="str">
        <f t="array" ref="C1603">INDEX('Báo cáo 75 trang đích'!$C$2:$C$76,$A1603)</f>
        <v>Merchant</v>
      </c>
      <c r="D1603" s="20" t="s">
        <v>197</v>
      </c>
      <c r="E1603" s="22" t="s">
        <v>322</v>
      </c>
      <c r="F1603" s="22" t="s">
        <v>81</v>
      </c>
      <c r="G1603" s="22" t="s">
        <v>1749</v>
      </c>
      <c r="H1603" s="24" t="s">
        <v>59</v>
      </c>
      <c r="I1603" s="24" t="s">
        <v>59</v>
      </c>
      <c r="J1603" s="24" t="s">
        <v>60</v>
      </c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">
        <v>52.0</v>
      </c>
      <c r="B1604" s="35" t="str">
        <f t="array" ref="B1604">INDEX('Báo cáo 75 trang đích'!$B$2:$B$76,$A1604)</f>
        <v>https://techcombank.com/thong-tin/blog/ho-kinh-doanh-dong-thue-nhu-nao</v>
      </c>
      <c r="C1604" s="5" t="str">
        <f t="array" ref="C1604">INDEX('Báo cáo 75 trang đích'!$C$2:$C$76,$A1604)</f>
        <v>Merchant</v>
      </c>
      <c r="D1604" s="20" t="s">
        <v>266</v>
      </c>
      <c r="E1604" s="22" t="s">
        <v>992</v>
      </c>
      <c r="F1604" s="22" t="s">
        <v>81</v>
      </c>
      <c r="G1604" s="22" t="s">
        <v>1750</v>
      </c>
      <c r="H1604" s="24" t="s">
        <v>59</v>
      </c>
      <c r="I1604" s="24" t="s">
        <v>59</v>
      </c>
      <c r="J1604" s="24" t="s">
        <v>60</v>
      </c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">
        <v>52.0</v>
      </c>
      <c r="B1605" s="35" t="str">
        <f t="array" ref="B1605">INDEX('Báo cáo 75 trang đích'!$B$2:$B$76,$A1605)</f>
        <v>https://techcombank.com/thong-tin/blog/ho-kinh-doanh-dong-thue-nhu-nao</v>
      </c>
      <c r="C1605" s="5" t="str">
        <f t="array" ref="C1605">INDEX('Báo cáo 75 trang đích'!$C$2:$C$76,$A1605)</f>
        <v>Merchant</v>
      </c>
      <c r="D1605" s="20" t="s">
        <v>74</v>
      </c>
      <c r="E1605" s="22" t="s">
        <v>995</v>
      </c>
      <c r="F1605" s="22" t="s">
        <v>81</v>
      </c>
      <c r="G1605" s="22" t="s">
        <v>1748</v>
      </c>
      <c r="H1605" s="24" t="s">
        <v>59</v>
      </c>
      <c r="I1605" s="24" t="s">
        <v>59</v>
      </c>
      <c r="J1605" s="24" t="s">
        <v>60</v>
      </c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">
        <v>52.0</v>
      </c>
      <c r="B1606" s="35" t="str">
        <f t="array" ref="B1606">INDEX('Báo cáo 75 trang đích'!$B$2:$B$76,$A1606)</f>
        <v>https://techcombank.com/thong-tin/blog/ho-kinh-doanh-dong-thue-nhu-nao</v>
      </c>
      <c r="C1606" s="5" t="str">
        <f t="array" ref="C1606">INDEX('Báo cáo 75 trang đích'!$C$2:$C$76,$A1606)</f>
        <v>Merchant</v>
      </c>
      <c r="D1606" s="20" t="s">
        <v>175</v>
      </c>
      <c r="E1606" s="22" t="s">
        <v>998</v>
      </c>
      <c r="F1606" s="22" t="s">
        <v>81</v>
      </c>
      <c r="G1606" s="22" t="s">
        <v>1748</v>
      </c>
      <c r="H1606" s="24" t="s">
        <v>59</v>
      </c>
      <c r="I1606" s="24" t="s">
        <v>59</v>
      </c>
      <c r="J1606" s="24" t="s">
        <v>60</v>
      </c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">
        <v>52.0</v>
      </c>
      <c r="B1607" s="35" t="str">
        <f t="array" ref="B1607">INDEX('Báo cáo 75 trang đích'!$B$2:$B$76,$A1607)</f>
        <v>https://techcombank.com/thong-tin/blog/ho-kinh-doanh-dong-thue-nhu-nao</v>
      </c>
      <c r="C1607" s="5" t="str">
        <f t="array" ref="C1607">INDEX('Báo cáo 75 trang đích'!$C$2:$C$76,$A1607)</f>
        <v>Merchant</v>
      </c>
      <c r="D1607" s="20" t="s">
        <v>157</v>
      </c>
      <c r="E1607" s="22" t="s">
        <v>322</v>
      </c>
      <c r="F1607" s="22" t="s">
        <v>81</v>
      </c>
      <c r="G1607" s="22" t="s">
        <v>1748</v>
      </c>
      <c r="H1607" s="24" t="s">
        <v>59</v>
      </c>
      <c r="I1607" s="24" t="s">
        <v>59</v>
      </c>
      <c r="J1607" s="24" t="s">
        <v>60</v>
      </c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">
        <v>52.0</v>
      </c>
      <c r="B1608" s="35" t="str">
        <f t="array" ref="B1608">INDEX('Báo cáo 75 trang đích'!$B$2:$B$76,$A1608)</f>
        <v>https://techcombank.com/thong-tin/blog/ho-kinh-doanh-dong-thue-nhu-nao</v>
      </c>
      <c r="C1608" s="5" t="str">
        <f t="array" ref="C1608">INDEX('Báo cáo 75 trang đích'!$C$2:$C$76,$A1608)</f>
        <v>Merchant</v>
      </c>
      <c r="D1608" s="20" t="s">
        <v>441</v>
      </c>
      <c r="E1608" s="22" t="s">
        <v>992</v>
      </c>
      <c r="F1608" s="22" t="s">
        <v>81</v>
      </c>
      <c r="G1608" s="22" t="s">
        <v>1748</v>
      </c>
      <c r="H1608" s="24" t="s">
        <v>59</v>
      </c>
      <c r="I1608" s="24" t="s">
        <v>59</v>
      </c>
      <c r="J1608" s="24" t="s">
        <v>60</v>
      </c>
      <c r="K1608" s="22" t="s">
        <v>97</v>
      </c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">
        <v>52.0</v>
      </c>
      <c r="B1609" s="35" t="str">
        <f t="array" ref="B1609">INDEX('Báo cáo 75 trang đích'!$B$2:$B$76,$A1609)</f>
        <v>https://techcombank.com/thong-tin/blog/ho-kinh-doanh-dong-thue-nhu-nao</v>
      </c>
      <c r="C1609" s="5" t="str">
        <f t="array" ref="C1609">INDEX('Báo cáo 75 trang đích'!$C$2:$C$76,$A1609)</f>
        <v>Merchant</v>
      </c>
      <c r="D1609" s="20" t="s">
        <v>118</v>
      </c>
      <c r="E1609" s="22" t="s">
        <v>995</v>
      </c>
      <c r="F1609" s="22" t="s">
        <v>81</v>
      </c>
      <c r="G1609" s="22" t="s">
        <v>1748</v>
      </c>
      <c r="H1609" s="24" t="s">
        <v>59</v>
      </c>
      <c r="I1609" s="24" t="s">
        <v>59</v>
      </c>
      <c r="J1609" s="24" t="s">
        <v>60</v>
      </c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">
        <v>52.0</v>
      </c>
      <c r="B1610" s="35" t="str">
        <f t="array" ref="B1610">INDEX('Báo cáo 75 trang đích'!$B$2:$B$76,$A1610)</f>
        <v>https://techcombank.com/thong-tin/blog/ho-kinh-doanh-dong-thue-nhu-nao</v>
      </c>
      <c r="C1610" s="5" t="str">
        <f t="array" ref="C1610">INDEX('Báo cáo 75 trang đích'!$C$2:$C$76,$A1610)</f>
        <v>Merchant</v>
      </c>
      <c r="D1610" s="20" t="s">
        <v>1768</v>
      </c>
      <c r="E1610" s="22" t="s">
        <v>998</v>
      </c>
      <c r="F1610" s="22" t="s">
        <v>81</v>
      </c>
      <c r="G1610" s="22" t="s">
        <v>1750</v>
      </c>
      <c r="H1610" s="24" t="s">
        <v>59</v>
      </c>
      <c r="I1610" s="24" t="s">
        <v>59</v>
      </c>
      <c r="J1610" s="24" t="s">
        <v>60</v>
      </c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">
        <v>52.0</v>
      </c>
      <c r="B1611" s="35" t="str">
        <f t="array" ref="B1611">INDEX('Báo cáo 75 trang đích'!$B$2:$B$76,$A1611)</f>
        <v>https://techcombank.com/thong-tin/blog/ho-kinh-doanh-dong-thue-nhu-nao</v>
      </c>
      <c r="C1611" s="5" t="str">
        <f t="array" ref="C1611">INDEX('Báo cáo 75 trang đích'!$C$2:$C$76,$A1611)</f>
        <v>Merchant</v>
      </c>
      <c r="D1611" s="20" t="s">
        <v>1769</v>
      </c>
      <c r="E1611" s="22" t="s">
        <v>322</v>
      </c>
      <c r="F1611" s="22" t="s">
        <v>81</v>
      </c>
      <c r="G1611" s="22" t="s">
        <v>1750</v>
      </c>
      <c r="H1611" s="24" t="s">
        <v>59</v>
      </c>
      <c r="I1611" s="24" t="s">
        <v>59</v>
      </c>
      <c r="J1611" s="24" t="s">
        <v>60</v>
      </c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">
        <v>52.0</v>
      </c>
      <c r="B1612" s="35" t="str">
        <f t="array" ref="B1612">INDEX('Báo cáo 75 trang đích'!$B$2:$B$76,$A1612)</f>
        <v>https://techcombank.com/thong-tin/blog/ho-kinh-doanh-dong-thue-nhu-nao</v>
      </c>
      <c r="C1612" s="5" t="str">
        <f t="array" ref="C1612">INDEX('Báo cáo 75 trang đích'!$C$2:$C$76,$A1612)</f>
        <v>Merchant</v>
      </c>
      <c r="D1612" s="20" t="s">
        <v>614</v>
      </c>
      <c r="E1612" s="22" t="s">
        <v>992</v>
      </c>
      <c r="F1612" s="22" t="s">
        <v>81</v>
      </c>
      <c r="G1612" s="22" t="s">
        <v>1750</v>
      </c>
      <c r="H1612" s="24" t="s">
        <v>59</v>
      </c>
      <c r="I1612" s="24" t="s">
        <v>59</v>
      </c>
      <c r="J1612" s="24" t="s">
        <v>60</v>
      </c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">
        <v>52.0</v>
      </c>
      <c r="B1613" s="35" t="str">
        <f t="array" ref="B1613">INDEX('Báo cáo 75 trang đích'!$B$2:$B$76,$A1613)</f>
        <v>https://techcombank.com/thong-tin/blog/ho-kinh-doanh-dong-thue-nhu-nao</v>
      </c>
      <c r="C1613" s="5" t="str">
        <f t="array" ref="C1613">INDEX('Báo cáo 75 trang đích'!$C$2:$C$76,$A1613)</f>
        <v>Merchant</v>
      </c>
      <c r="D1613" s="20" t="s">
        <v>1770</v>
      </c>
      <c r="E1613" s="22" t="s">
        <v>995</v>
      </c>
      <c r="F1613" s="22" t="s">
        <v>81</v>
      </c>
      <c r="G1613" s="22" t="s">
        <v>1749</v>
      </c>
      <c r="H1613" s="24" t="s">
        <v>59</v>
      </c>
      <c r="I1613" s="24" t="s">
        <v>59</v>
      </c>
      <c r="J1613" s="24" t="s">
        <v>60</v>
      </c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">
        <v>52.0</v>
      </c>
      <c r="B1614" s="35" t="str">
        <f t="array" ref="B1614">INDEX('Báo cáo 75 trang đích'!$B$2:$B$76,$A1614)</f>
        <v>https://techcombank.com/thong-tin/blog/ho-kinh-doanh-dong-thue-nhu-nao</v>
      </c>
      <c r="C1614" s="5" t="str">
        <f t="array" ref="C1614">INDEX('Báo cáo 75 trang đích'!$C$2:$C$76,$A1614)</f>
        <v>Merchant</v>
      </c>
      <c r="D1614" s="20" t="s">
        <v>1031</v>
      </c>
      <c r="E1614" s="22" t="s">
        <v>998</v>
      </c>
      <c r="F1614" s="22" t="s">
        <v>81</v>
      </c>
      <c r="G1614" s="22" t="s">
        <v>1749</v>
      </c>
      <c r="H1614" s="24" t="s">
        <v>59</v>
      </c>
      <c r="I1614" s="24" t="s">
        <v>59</v>
      </c>
      <c r="J1614" s="24" t="s">
        <v>60</v>
      </c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">
        <v>52.0</v>
      </c>
      <c r="B1615" s="35" t="str">
        <f t="array" ref="B1615">INDEX('Báo cáo 75 trang đích'!$B$2:$B$76,$A1615)</f>
        <v>https://techcombank.com/thong-tin/blog/ho-kinh-doanh-dong-thue-nhu-nao</v>
      </c>
      <c r="C1615" s="5" t="str">
        <f t="array" ref="C1615">INDEX('Báo cáo 75 trang đích'!$C$2:$C$76,$A1615)</f>
        <v>Merchant</v>
      </c>
      <c r="D1615" s="20" t="s">
        <v>268</v>
      </c>
      <c r="E1615" s="22" t="s">
        <v>322</v>
      </c>
      <c r="F1615" s="22" t="s">
        <v>81</v>
      </c>
      <c r="G1615" s="22" t="s">
        <v>1750</v>
      </c>
      <c r="H1615" s="24" t="s">
        <v>59</v>
      </c>
      <c r="I1615" s="24" t="s">
        <v>59</v>
      </c>
      <c r="J1615" s="24" t="s">
        <v>60</v>
      </c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">
        <v>52.0</v>
      </c>
      <c r="B1616" s="35" t="str">
        <f t="array" ref="B1616">INDEX('Báo cáo 75 trang đích'!$B$2:$B$76,$A1616)</f>
        <v>https://techcombank.com/thong-tin/blog/ho-kinh-doanh-dong-thue-nhu-nao</v>
      </c>
      <c r="C1616" s="5" t="str">
        <f t="array" ref="C1616">INDEX('Báo cáo 75 trang đích'!$C$2:$C$76,$A1616)</f>
        <v>Merchant</v>
      </c>
      <c r="D1616" s="20" t="s">
        <v>85</v>
      </c>
      <c r="E1616" s="22" t="s">
        <v>992</v>
      </c>
      <c r="F1616" s="22" t="s">
        <v>81</v>
      </c>
      <c r="G1616" s="22" t="s">
        <v>1748</v>
      </c>
      <c r="H1616" s="24" t="s">
        <v>59</v>
      </c>
      <c r="I1616" s="24" t="s">
        <v>59</v>
      </c>
      <c r="J1616" s="24" t="s">
        <v>60</v>
      </c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">
        <v>52.0</v>
      </c>
      <c r="B1617" s="35" t="str">
        <f t="array" ref="B1617">INDEX('Báo cáo 75 trang đích'!$B$2:$B$76,$A1617)</f>
        <v>https://techcombank.com/thong-tin/blog/ho-kinh-doanh-dong-thue-nhu-nao</v>
      </c>
      <c r="C1617" s="5" t="str">
        <f t="array" ref="C1617">INDEX('Báo cáo 75 trang đích'!$C$2:$C$76,$A1617)</f>
        <v>Merchant</v>
      </c>
      <c r="D1617" s="20" t="s">
        <v>121</v>
      </c>
      <c r="E1617" s="22" t="s">
        <v>995</v>
      </c>
      <c r="F1617" s="22" t="s">
        <v>81</v>
      </c>
      <c r="G1617" s="22" t="s">
        <v>1748</v>
      </c>
      <c r="H1617" s="24" t="s">
        <v>59</v>
      </c>
      <c r="I1617" s="24" t="s">
        <v>59</v>
      </c>
      <c r="J1617" s="24" t="s">
        <v>60</v>
      </c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">
        <v>52.0</v>
      </c>
      <c r="B1618" s="35" t="str">
        <f t="array" ref="B1618">INDEX('Báo cáo 75 trang đích'!$B$2:$B$76,$A1618)</f>
        <v>https://techcombank.com/thong-tin/blog/ho-kinh-doanh-dong-thue-nhu-nao</v>
      </c>
      <c r="C1618" s="5" t="str">
        <f t="array" ref="C1618">INDEX('Báo cáo 75 trang đích'!$C$2:$C$76,$A1618)</f>
        <v>Merchant</v>
      </c>
      <c r="D1618" s="20" t="s">
        <v>123</v>
      </c>
      <c r="E1618" s="22" t="s">
        <v>998</v>
      </c>
      <c r="F1618" s="22" t="s">
        <v>81</v>
      </c>
      <c r="G1618" s="22" t="s">
        <v>1748</v>
      </c>
      <c r="H1618" s="24" t="s">
        <v>59</v>
      </c>
      <c r="I1618" s="24" t="s">
        <v>59</v>
      </c>
      <c r="J1618" s="24" t="s">
        <v>60</v>
      </c>
      <c r="K1618" s="22" t="s">
        <v>97</v>
      </c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">
        <v>52.0</v>
      </c>
      <c r="B1619" s="35" t="str">
        <f t="array" ref="B1619">INDEX('Báo cáo 75 trang đích'!$B$2:$B$76,$A1619)</f>
        <v>https://techcombank.com/thong-tin/blog/ho-kinh-doanh-dong-thue-nhu-nao</v>
      </c>
      <c r="C1619" s="5" t="str">
        <f t="array" ref="C1619">INDEX('Báo cáo 75 trang đích'!$C$2:$C$76,$A1619)</f>
        <v>Merchant</v>
      </c>
      <c r="D1619" s="20" t="s">
        <v>116</v>
      </c>
      <c r="E1619" s="22" t="s">
        <v>322</v>
      </c>
      <c r="F1619" s="22" t="s">
        <v>81</v>
      </c>
      <c r="G1619" s="22" t="s">
        <v>1748</v>
      </c>
      <c r="H1619" s="24" t="s">
        <v>59</v>
      </c>
      <c r="I1619" s="24" t="s">
        <v>59</v>
      </c>
      <c r="J1619" s="24" t="s">
        <v>60</v>
      </c>
      <c r="K1619" s="22" t="s">
        <v>97</v>
      </c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">
        <v>52.0</v>
      </c>
      <c r="B1620" s="35" t="str">
        <f t="array" ref="B1620">INDEX('Báo cáo 75 trang đích'!$B$2:$B$76,$A1620)</f>
        <v>https://techcombank.com/thong-tin/blog/ho-kinh-doanh-dong-thue-nhu-nao</v>
      </c>
      <c r="C1620" s="5" t="str">
        <f t="array" ref="C1620">INDEX('Báo cáo 75 trang đích'!$C$2:$C$76,$A1620)</f>
        <v>Merchant</v>
      </c>
      <c r="D1620" s="20" t="s">
        <v>1395</v>
      </c>
      <c r="E1620" s="22" t="s">
        <v>992</v>
      </c>
      <c r="F1620" s="22" t="s">
        <v>81</v>
      </c>
      <c r="G1620" s="22" t="s">
        <v>1750</v>
      </c>
      <c r="H1620" s="24" t="s">
        <v>59</v>
      </c>
      <c r="I1620" s="24" t="s">
        <v>59</v>
      </c>
      <c r="J1620" s="24" t="s">
        <v>60</v>
      </c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">
        <v>52.0</v>
      </c>
      <c r="B1621" s="35" t="str">
        <f t="array" ref="B1621">INDEX('Báo cáo 75 trang đích'!$B$2:$B$76,$A1621)</f>
        <v>https://techcombank.com/thong-tin/blog/ho-kinh-doanh-dong-thue-nhu-nao</v>
      </c>
      <c r="C1621" s="5" t="str">
        <f t="array" ref="C1621">INDEX('Báo cáo 75 trang đích'!$C$2:$C$76,$A1621)</f>
        <v>Merchant</v>
      </c>
      <c r="D1621" s="20" t="s">
        <v>164</v>
      </c>
      <c r="E1621" s="22" t="s">
        <v>995</v>
      </c>
      <c r="F1621" s="22" t="s">
        <v>81</v>
      </c>
      <c r="G1621" s="22" t="s">
        <v>1748</v>
      </c>
      <c r="H1621" s="24" t="s">
        <v>59</v>
      </c>
      <c r="I1621" s="24" t="s">
        <v>59</v>
      </c>
      <c r="J1621" s="24" t="s">
        <v>60</v>
      </c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">
        <v>52.0</v>
      </c>
      <c r="B1622" s="35" t="str">
        <f t="array" ref="B1622">INDEX('Báo cáo 75 trang đích'!$B$2:$B$76,$A1622)</f>
        <v>https://techcombank.com/thong-tin/blog/ho-kinh-doanh-dong-thue-nhu-nao</v>
      </c>
      <c r="C1622" s="5" t="str">
        <f t="array" ref="C1622">INDEX('Báo cáo 75 trang đích'!$C$2:$C$76,$A1622)</f>
        <v>Merchant</v>
      </c>
      <c r="D1622" s="20" t="s">
        <v>216</v>
      </c>
      <c r="E1622" s="22" t="s">
        <v>998</v>
      </c>
      <c r="F1622" s="22" t="s">
        <v>81</v>
      </c>
      <c r="G1622" s="22" t="s">
        <v>1750</v>
      </c>
      <c r="H1622" s="24" t="s">
        <v>59</v>
      </c>
      <c r="I1622" s="24" t="s">
        <v>59</v>
      </c>
      <c r="J1622" s="24" t="s">
        <v>60</v>
      </c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">
        <v>52.0</v>
      </c>
      <c r="B1623" s="35" t="str">
        <f t="array" ref="B1623">INDEX('Báo cáo 75 trang đích'!$B$2:$B$76,$A1623)</f>
        <v>https://techcombank.com/thong-tin/blog/ho-kinh-doanh-dong-thue-nhu-nao</v>
      </c>
      <c r="C1623" s="5" t="str">
        <f t="array" ref="C1623">INDEX('Báo cáo 75 trang đích'!$C$2:$C$76,$A1623)</f>
        <v>Merchant</v>
      </c>
      <c r="D1623" s="20" t="s">
        <v>126</v>
      </c>
      <c r="E1623" s="22" t="s">
        <v>322</v>
      </c>
      <c r="F1623" s="22" t="s">
        <v>81</v>
      </c>
      <c r="G1623" s="22" t="s">
        <v>1748</v>
      </c>
      <c r="H1623" s="24" t="s">
        <v>59</v>
      </c>
      <c r="I1623" s="24" t="s">
        <v>59</v>
      </c>
      <c r="J1623" s="24" t="s">
        <v>60</v>
      </c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">
        <v>52.0</v>
      </c>
      <c r="B1624" s="35" t="str">
        <f t="array" ref="B1624">INDEX('Báo cáo 75 trang đích'!$B$2:$B$76,$A1624)</f>
        <v>https://techcombank.com/thong-tin/blog/ho-kinh-doanh-dong-thue-nhu-nao</v>
      </c>
      <c r="C1624" s="5" t="str">
        <f t="array" ref="C1624">INDEX('Báo cáo 75 trang đích'!$C$2:$C$76,$A1624)</f>
        <v>Merchant</v>
      </c>
      <c r="D1624" s="20" t="s">
        <v>80</v>
      </c>
      <c r="E1624" s="22" t="s">
        <v>992</v>
      </c>
      <c r="F1624" s="22" t="s">
        <v>81</v>
      </c>
      <c r="G1624" s="22" t="s">
        <v>1748</v>
      </c>
      <c r="H1624" s="24" t="s">
        <v>59</v>
      </c>
      <c r="I1624" s="24" t="s">
        <v>59</v>
      </c>
      <c r="J1624" s="24" t="s">
        <v>60</v>
      </c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">
        <v>52.0</v>
      </c>
      <c r="B1625" s="35" t="str">
        <f t="array" ref="B1625">INDEX('Báo cáo 75 trang đích'!$B$2:$B$76,$A1625)</f>
        <v>https://techcombank.com/thong-tin/blog/ho-kinh-doanh-dong-thue-nhu-nao</v>
      </c>
      <c r="C1625" s="5" t="str">
        <f t="array" ref="C1625">INDEX('Báo cáo 75 trang đích'!$C$2:$C$76,$A1625)</f>
        <v>Merchant</v>
      </c>
      <c r="D1625" s="20" t="s">
        <v>56</v>
      </c>
      <c r="E1625" s="22" t="s">
        <v>995</v>
      </c>
      <c r="F1625" s="22" t="s">
        <v>81</v>
      </c>
      <c r="G1625" s="22" t="s">
        <v>1748</v>
      </c>
      <c r="H1625" s="24" t="s">
        <v>59</v>
      </c>
      <c r="I1625" s="24" t="s">
        <v>59</v>
      </c>
      <c r="J1625" s="24" t="s">
        <v>60</v>
      </c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">
        <v>52.0</v>
      </c>
      <c r="B1626" s="35" t="str">
        <f t="array" ref="B1626">INDEX('Báo cáo 75 trang đích'!$B$2:$B$76,$A1626)</f>
        <v>https://techcombank.com/thong-tin/blog/ho-kinh-doanh-dong-thue-nhu-nao</v>
      </c>
      <c r="C1626" s="5" t="str">
        <f t="array" ref="C1626">INDEX('Báo cáo 75 trang đích'!$C$2:$C$76,$A1626)</f>
        <v>Merchant</v>
      </c>
      <c r="D1626" s="20" t="s">
        <v>848</v>
      </c>
      <c r="E1626" s="22" t="s">
        <v>998</v>
      </c>
      <c r="F1626" s="22" t="s">
        <v>81</v>
      </c>
      <c r="G1626" s="22" t="s">
        <v>1748</v>
      </c>
      <c r="H1626" s="24" t="s">
        <v>59</v>
      </c>
      <c r="I1626" s="24" t="s">
        <v>59</v>
      </c>
      <c r="J1626" s="24" t="s">
        <v>60</v>
      </c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">
        <v>52.0</v>
      </c>
      <c r="B1627" s="35" t="str">
        <f t="array" ref="B1627">INDEX('Báo cáo 75 trang đích'!$B$2:$B$76,$A1627)</f>
        <v>https://techcombank.com/thong-tin/blog/ho-kinh-doanh-dong-thue-nhu-nao</v>
      </c>
      <c r="C1627" s="5" t="str">
        <f t="array" ref="C1627">INDEX('Báo cáo 75 trang đích'!$C$2:$C$76,$A1627)</f>
        <v>Merchant</v>
      </c>
      <c r="D1627" s="20" t="s">
        <v>67</v>
      </c>
      <c r="E1627" s="22" t="s">
        <v>322</v>
      </c>
      <c r="F1627" s="22" t="s">
        <v>81</v>
      </c>
      <c r="G1627" s="22" t="s">
        <v>1748</v>
      </c>
      <c r="H1627" s="24" t="s">
        <v>59</v>
      </c>
      <c r="I1627" s="24" t="s">
        <v>59</v>
      </c>
      <c r="J1627" s="24" t="s">
        <v>60</v>
      </c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">
        <v>53.0</v>
      </c>
      <c r="B1628" s="35" t="str">
        <f t="array" ref="B1628">INDEX('Báo cáo 75 trang đích'!$B$2:$B$76,$A1628)</f>
        <v>https://techcombank.com/thong-tin/blog/mo-hinh-kinh-doanh-la-gi</v>
      </c>
      <c r="C1628" s="5" t="str">
        <f t="array" ref="C1628">INDEX('Báo cáo 75 trang đích'!$C$2:$C$76,$A1628)</f>
        <v>Merchant</v>
      </c>
      <c r="D1628" s="20" t="s">
        <v>1003</v>
      </c>
      <c r="E1628" s="22" t="s">
        <v>326</v>
      </c>
      <c r="F1628" s="22" t="s">
        <v>57</v>
      </c>
      <c r="G1628" s="22" t="s">
        <v>1771</v>
      </c>
      <c r="H1628" s="24" t="s">
        <v>59</v>
      </c>
      <c r="I1628" s="24" t="s">
        <v>59</v>
      </c>
      <c r="J1628" s="24" t="s">
        <v>60</v>
      </c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">
        <v>53.0</v>
      </c>
      <c r="B1629" s="35" t="str">
        <f t="array" ref="B1629">INDEX('Báo cáo 75 trang đích'!$B$2:$B$76,$A1629)</f>
        <v>https://techcombank.com/thong-tin/blog/mo-hinh-kinh-doanh-la-gi</v>
      </c>
      <c r="C1629" s="5" t="str">
        <f t="array" ref="C1629">INDEX('Báo cáo 75 trang đích'!$C$2:$C$76,$A1629)</f>
        <v>Merchant</v>
      </c>
      <c r="D1629" s="20" t="s">
        <v>1006</v>
      </c>
      <c r="E1629" s="22" t="s">
        <v>1008</v>
      </c>
      <c r="F1629" s="22" t="s">
        <v>57</v>
      </c>
      <c r="G1629" s="22" t="s">
        <v>1772</v>
      </c>
      <c r="H1629" s="24" t="s">
        <v>59</v>
      </c>
      <c r="I1629" s="24" t="s">
        <v>59</v>
      </c>
      <c r="J1629" s="24" t="s">
        <v>60</v>
      </c>
      <c r="K1629" s="22" t="s">
        <v>137</v>
      </c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">
        <v>53.0</v>
      </c>
      <c r="B1630" s="35" t="str">
        <f t="array" ref="B1630">INDEX('Báo cáo 75 trang đích'!$B$2:$B$76,$A1630)</f>
        <v>https://techcombank.com/thong-tin/blog/mo-hinh-kinh-doanh-la-gi</v>
      </c>
      <c r="C1630" s="5" t="str">
        <f t="array" ref="C1630">INDEX('Báo cáo 75 trang đích'!$C$2:$C$76,$A1630)</f>
        <v>Merchant</v>
      </c>
      <c r="D1630" s="20" t="s">
        <v>264</v>
      </c>
      <c r="E1630" s="22" t="s">
        <v>326</v>
      </c>
      <c r="F1630" s="22" t="s">
        <v>76</v>
      </c>
      <c r="G1630" s="22" t="s">
        <v>1773</v>
      </c>
      <c r="H1630" s="24" t="s">
        <v>59</v>
      </c>
      <c r="I1630" s="24" t="s">
        <v>59</v>
      </c>
      <c r="J1630" s="24" t="s">
        <v>60</v>
      </c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">
        <v>53.0</v>
      </c>
      <c r="B1631" s="35" t="str">
        <f t="array" ref="B1631">INDEX('Báo cáo 75 trang đích'!$B$2:$B$76,$A1631)</f>
        <v>https://techcombank.com/thong-tin/blog/mo-hinh-kinh-doanh-la-gi</v>
      </c>
      <c r="C1631" s="5" t="str">
        <f t="array" ref="C1631">INDEX('Báo cáo 75 trang đích'!$C$2:$C$76,$A1631)</f>
        <v>Merchant</v>
      </c>
      <c r="D1631" s="20" t="s">
        <v>1774</v>
      </c>
      <c r="E1631" s="22" t="s">
        <v>1008</v>
      </c>
      <c r="F1631" s="22" t="s">
        <v>76</v>
      </c>
      <c r="G1631" s="22" t="s">
        <v>1775</v>
      </c>
      <c r="H1631" s="24" t="s">
        <v>59</v>
      </c>
      <c r="I1631" s="24" t="s">
        <v>59</v>
      </c>
      <c r="J1631" s="24" t="s">
        <v>60</v>
      </c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">
        <v>53.0</v>
      </c>
      <c r="B1632" s="35" t="str">
        <f t="array" ref="B1632">INDEX('Báo cáo 75 trang đích'!$B$2:$B$76,$A1632)</f>
        <v>https://techcombank.com/thong-tin/blog/mo-hinh-kinh-doanh-la-gi</v>
      </c>
      <c r="C1632" s="5" t="str">
        <f t="array" ref="C1632">INDEX('Báo cáo 75 trang đích'!$C$2:$C$76,$A1632)</f>
        <v>Merchant</v>
      </c>
      <c r="D1632" s="20" t="s">
        <v>1776</v>
      </c>
      <c r="E1632" s="22" t="s">
        <v>326</v>
      </c>
      <c r="F1632" s="22" t="s">
        <v>76</v>
      </c>
      <c r="G1632" s="22" t="s">
        <v>1777</v>
      </c>
      <c r="H1632" s="24" t="s">
        <v>59</v>
      </c>
      <c r="I1632" s="24" t="s">
        <v>59</v>
      </c>
      <c r="J1632" s="24" t="s">
        <v>60</v>
      </c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">
        <v>53.0</v>
      </c>
      <c r="B1633" s="35" t="str">
        <f t="array" ref="B1633">INDEX('Báo cáo 75 trang đích'!$B$2:$B$76,$A1633)</f>
        <v>https://techcombank.com/thong-tin/blog/mo-hinh-kinh-doanh-la-gi</v>
      </c>
      <c r="C1633" s="5" t="str">
        <f t="array" ref="C1633">INDEX('Báo cáo 75 trang đích'!$C$2:$C$76,$A1633)</f>
        <v>Merchant</v>
      </c>
      <c r="D1633" s="20" t="s">
        <v>317</v>
      </c>
      <c r="E1633" s="22" t="s">
        <v>1008</v>
      </c>
      <c r="F1633" s="22" t="s">
        <v>81</v>
      </c>
      <c r="G1633" s="22" t="s">
        <v>1778</v>
      </c>
      <c r="H1633" s="24" t="s">
        <v>59</v>
      </c>
      <c r="I1633" s="24" t="s">
        <v>59</v>
      </c>
      <c r="J1633" s="24" t="s">
        <v>60</v>
      </c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">
        <v>53.0</v>
      </c>
      <c r="B1634" s="35" t="str">
        <f t="array" ref="B1634">INDEX('Báo cáo 75 trang đích'!$B$2:$B$76,$A1634)</f>
        <v>https://techcombank.com/thong-tin/blog/mo-hinh-kinh-doanh-la-gi</v>
      </c>
      <c r="C1634" s="5" t="str">
        <f t="array" ref="C1634">INDEX('Báo cáo 75 trang đích'!$C$2:$C$76,$A1634)</f>
        <v>Merchant</v>
      </c>
      <c r="D1634" s="20" t="s">
        <v>1754</v>
      </c>
      <c r="E1634" s="22" t="s">
        <v>326</v>
      </c>
      <c r="F1634" s="22" t="s">
        <v>81</v>
      </c>
      <c r="G1634" s="22" t="s">
        <v>1778</v>
      </c>
      <c r="H1634" s="24" t="s">
        <v>59</v>
      </c>
      <c r="I1634" s="24" t="s">
        <v>59</v>
      </c>
      <c r="J1634" s="24" t="s">
        <v>60</v>
      </c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">
        <v>53.0</v>
      </c>
      <c r="B1635" s="35" t="str">
        <f t="array" ref="B1635">INDEX('Báo cáo 75 trang đích'!$B$2:$B$76,$A1635)</f>
        <v>https://techcombank.com/thong-tin/blog/mo-hinh-kinh-doanh-la-gi</v>
      </c>
      <c r="C1635" s="5" t="str">
        <f t="array" ref="C1635">INDEX('Báo cáo 75 trang đích'!$C$2:$C$76,$A1635)</f>
        <v>Merchant</v>
      </c>
      <c r="D1635" s="20" t="s">
        <v>304</v>
      </c>
      <c r="E1635" s="22" t="s">
        <v>1008</v>
      </c>
      <c r="F1635" s="22" t="s">
        <v>81</v>
      </c>
      <c r="G1635" s="22" t="s">
        <v>1779</v>
      </c>
      <c r="H1635" s="24" t="s">
        <v>59</v>
      </c>
      <c r="I1635" s="24" t="s">
        <v>59</v>
      </c>
      <c r="J1635" s="24" t="s">
        <v>60</v>
      </c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">
        <v>53.0</v>
      </c>
      <c r="B1636" s="35" t="str">
        <f t="array" ref="B1636">INDEX('Báo cáo 75 trang đích'!$B$2:$B$76,$A1636)</f>
        <v>https://techcombank.com/thong-tin/blog/mo-hinh-kinh-doanh-la-gi</v>
      </c>
      <c r="C1636" s="5" t="str">
        <f t="array" ref="C1636">INDEX('Báo cáo 75 trang đích'!$C$2:$C$76,$A1636)</f>
        <v>Merchant</v>
      </c>
      <c r="D1636" s="20" t="s">
        <v>1780</v>
      </c>
      <c r="E1636" s="22" t="s">
        <v>326</v>
      </c>
      <c r="F1636" s="22" t="s">
        <v>81</v>
      </c>
      <c r="G1636" s="22" t="s">
        <v>1781</v>
      </c>
      <c r="H1636" s="24" t="s">
        <v>59</v>
      </c>
      <c r="I1636" s="24" t="s">
        <v>59</v>
      </c>
      <c r="J1636" s="24" t="s">
        <v>60</v>
      </c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">
        <v>53.0</v>
      </c>
      <c r="B1637" s="35" t="str">
        <f t="array" ref="B1637">INDEX('Báo cáo 75 trang đích'!$B$2:$B$76,$A1637)</f>
        <v>https://techcombank.com/thong-tin/blog/mo-hinh-kinh-doanh-la-gi</v>
      </c>
      <c r="C1637" s="5" t="str">
        <f t="array" ref="C1637">INDEX('Báo cáo 75 trang đích'!$C$2:$C$76,$A1637)</f>
        <v>Merchant</v>
      </c>
      <c r="D1637" s="20" t="s">
        <v>106</v>
      </c>
      <c r="E1637" s="22" t="s">
        <v>1008</v>
      </c>
      <c r="F1637" s="22" t="s">
        <v>81</v>
      </c>
      <c r="G1637" s="22" t="s">
        <v>1779</v>
      </c>
      <c r="H1637" s="24" t="s">
        <v>59</v>
      </c>
      <c r="I1637" s="24" t="s">
        <v>59</v>
      </c>
      <c r="J1637" s="24" t="s">
        <v>60</v>
      </c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">
        <v>53.0</v>
      </c>
      <c r="B1638" s="35" t="str">
        <f t="array" ref="B1638">INDEX('Báo cáo 75 trang đích'!$B$2:$B$76,$A1638)</f>
        <v>https://techcombank.com/thong-tin/blog/mo-hinh-kinh-doanh-la-gi</v>
      </c>
      <c r="C1638" s="5" t="str">
        <f t="array" ref="C1638">INDEX('Báo cáo 75 trang đích'!$C$2:$C$76,$A1638)</f>
        <v>Merchant</v>
      </c>
      <c r="D1638" s="20" t="s">
        <v>1782</v>
      </c>
      <c r="E1638" s="22" t="s">
        <v>326</v>
      </c>
      <c r="F1638" s="22" t="s">
        <v>81</v>
      </c>
      <c r="G1638" s="22" t="s">
        <v>1781</v>
      </c>
      <c r="H1638" s="24" t="s">
        <v>59</v>
      </c>
      <c r="I1638" s="24" t="s">
        <v>59</v>
      </c>
      <c r="J1638" s="24" t="s">
        <v>60</v>
      </c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">
        <v>53.0</v>
      </c>
      <c r="B1639" s="35" t="str">
        <f t="array" ref="B1639">INDEX('Báo cáo 75 trang đích'!$B$2:$B$76,$A1639)</f>
        <v>https://techcombank.com/thong-tin/blog/mo-hinh-kinh-doanh-la-gi</v>
      </c>
      <c r="C1639" s="5" t="str">
        <f t="array" ref="C1639">INDEX('Báo cáo 75 trang đích'!$C$2:$C$76,$A1639)</f>
        <v>Merchant</v>
      </c>
      <c r="D1639" s="20" t="s">
        <v>1034</v>
      </c>
      <c r="E1639" s="22" t="s">
        <v>1008</v>
      </c>
      <c r="F1639" s="22" t="s">
        <v>81</v>
      </c>
      <c r="G1639" s="22" t="s">
        <v>1779</v>
      </c>
      <c r="H1639" s="24" t="s">
        <v>59</v>
      </c>
      <c r="I1639" s="24" t="s">
        <v>59</v>
      </c>
      <c r="J1639" s="24" t="s">
        <v>60</v>
      </c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">
        <v>53.0</v>
      </c>
      <c r="B1640" s="35" t="str">
        <f t="array" ref="B1640">INDEX('Báo cáo 75 trang đích'!$B$2:$B$76,$A1640)</f>
        <v>https://techcombank.com/thong-tin/blog/mo-hinh-kinh-doanh-la-gi</v>
      </c>
      <c r="C1640" s="5" t="str">
        <f t="array" ref="C1640">INDEX('Báo cáo 75 trang đích'!$C$2:$C$76,$A1640)</f>
        <v>Merchant</v>
      </c>
      <c r="D1640" s="20" t="s">
        <v>1371</v>
      </c>
      <c r="E1640" s="22" t="s">
        <v>326</v>
      </c>
      <c r="F1640" s="22" t="s">
        <v>81</v>
      </c>
      <c r="G1640" s="22" t="s">
        <v>1779</v>
      </c>
      <c r="H1640" s="24" t="s">
        <v>59</v>
      </c>
      <c r="I1640" s="24" t="s">
        <v>59</v>
      </c>
      <c r="J1640" s="24" t="s">
        <v>60</v>
      </c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">
        <v>53.0</v>
      </c>
      <c r="B1641" s="35" t="str">
        <f t="array" ref="B1641">INDEX('Báo cáo 75 trang đích'!$B$2:$B$76,$A1641)</f>
        <v>https://techcombank.com/thong-tin/blog/mo-hinh-kinh-doanh-la-gi</v>
      </c>
      <c r="C1641" s="5" t="str">
        <f t="array" ref="C1641">INDEX('Báo cáo 75 trang đích'!$C$2:$C$76,$A1641)</f>
        <v>Merchant</v>
      </c>
      <c r="D1641" s="20" t="s">
        <v>1715</v>
      </c>
      <c r="E1641" s="22" t="s">
        <v>1008</v>
      </c>
      <c r="F1641" s="22" t="s">
        <v>81</v>
      </c>
      <c r="G1641" s="22" t="s">
        <v>1781</v>
      </c>
      <c r="H1641" s="24" t="s">
        <v>59</v>
      </c>
      <c r="I1641" s="24" t="s">
        <v>59</v>
      </c>
      <c r="J1641" s="24" t="s">
        <v>60</v>
      </c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">
        <v>53.0</v>
      </c>
      <c r="B1642" s="35" t="str">
        <f t="array" ref="B1642">INDEX('Báo cáo 75 trang đích'!$B$2:$B$76,$A1642)</f>
        <v>https://techcombank.com/thong-tin/blog/mo-hinh-kinh-doanh-la-gi</v>
      </c>
      <c r="C1642" s="5" t="str">
        <f t="array" ref="C1642">INDEX('Báo cáo 75 trang đích'!$C$2:$C$76,$A1642)</f>
        <v>Merchant</v>
      </c>
      <c r="D1642" s="20" t="s">
        <v>303</v>
      </c>
      <c r="E1642" s="22" t="s">
        <v>326</v>
      </c>
      <c r="F1642" s="22" t="s">
        <v>81</v>
      </c>
      <c r="G1642" s="22" t="s">
        <v>1778</v>
      </c>
      <c r="H1642" s="24" t="s">
        <v>59</v>
      </c>
      <c r="I1642" s="24" t="s">
        <v>59</v>
      </c>
      <c r="J1642" s="24" t="s">
        <v>60</v>
      </c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">
        <v>53.0</v>
      </c>
      <c r="B1643" s="35" t="str">
        <f t="array" ref="B1643">INDEX('Báo cáo 75 trang đích'!$B$2:$B$76,$A1643)</f>
        <v>https://techcombank.com/thong-tin/blog/mo-hinh-kinh-doanh-la-gi</v>
      </c>
      <c r="C1643" s="5" t="str">
        <f t="array" ref="C1643">INDEX('Báo cáo 75 trang đích'!$C$2:$C$76,$A1643)</f>
        <v>Merchant</v>
      </c>
      <c r="D1643" s="20" t="s">
        <v>1783</v>
      </c>
      <c r="E1643" s="22" t="s">
        <v>1008</v>
      </c>
      <c r="F1643" s="22" t="s">
        <v>81</v>
      </c>
      <c r="G1643" s="22" t="s">
        <v>1779</v>
      </c>
      <c r="H1643" s="24" t="s">
        <v>59</v>
      </c>
      <c r="I1643" s="24" t="s">
        <v>59</v>
      </c>
      <c r="J1643" s="24" t="s">
        <v>60</v>
      </c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">
        <v>53.0</v>
      </c>
      <c r="B1644" s="35" t="str">
        <f t="array" ref="B1644">INDEX('Báo cáo 75 trang đích'!$B$2:$B$76,$A1644)</f>
        <v>https://techcombank.com/thong-tin/blog/mo-hinh-kinh-doanh-la-gi</v>
      </c>
      <c r="C1644" s="5" t="str">
        <f t="array" ref="C1644">INDEX('Báo cáo 75 trang đích'!$C$2:$C$76,$A1644)</f>
        <v>Merchant</v>
      </c>
      <c r="D1644" s="20" t="s">
        <v>328</v>
      </c>
      <c r="E1644" s="22" t="s">
        <v>326</v>
      </c>
      <c r="F1644" s="22" t="s">
        <v>81</v>
      </c>
      <c r="G1644" s="22" t="s">
        <v>1778</v>
      </c>
      <c r="H1644" s="24" t="s">
        <v>59</v>
      </c>
      <c r="I1644" s="24" t="s">
        <v>59</v>
      </c>
      <c r="J1644" s="24" t="s">
        <v>60</v>
      </c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">
        <v>53.0</v>
      </c>
      <c r="B1645" s="35" t="str">
        <f t="array" ref="B1645">INDEX('Báo cáo 75 trang đích'!$B$2:$B$76,$A1645)</f>
        <v>https://techcombank.com/thong-tin/blog/mo-hinh-kinh-doanh-la-gi</v>
      </c>
      <c r="C1645" s="5" t="str">
        <f t="array" ref="C1645">INDEX('Báo cáo 75 trang đích'!$C$2:$C$76,$A1645)</f>
        <v>Merchant</v>
      </c>
      <c r="D1645" s="20" t="s">
        <v>1784</v>
      </c>
      <c r="E1645" s="22" t="s">
        <v>1008</v>
      </c>
      <c r="F1645" s="22" t="s">
        <v>81</v>
      </c>
      <c r="G1645" s="22" t="s">
        <v>1778</v>
      </c>
      <c r="H1645" s="24" t="s">
        <v>59</v>
      </c>
      <c r="I1645" s="24" t="s">
        <v>59</v>
      </c>
      <c r="J1645" s="24" t="s">
        <v>60</v>
      </c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">
        <v>53.0</v>
      </c>
      <c r="B1646" s="35" t="str">
        <f t="array" ref="B1646">INDEX('Báo cáo 75 trang đích'!$B$2:$B$76,$A1646)</f>
        <v>https://techcombank.com/thong-tin/blog/mo-hinh-kinh-doanh-la-gi</v>
      </c>
      <c r="C1646" s="5" t="str">
        <f t="array" ref="C1646">INDEX('Báo cáo 75 trang đích'!$C$2:$C$76,$A1646)</f>
        <v>Merchant</v>
      </c>
      <c r="D1646" s="20" t="s">
        <v>1407</v>
      </c>
      <c r="E1646" s="22" t="s">
        <v>326</v>
      </c>
      <c r="F1646" s="22" t="s">
        <v>81</v>
      </c>
      <c r="G1646" s="22" t="s">
        <v>1785</v>
      </c>
      <c r="H1646" s="24" t="s">
        <v>59</v>
      </c>
      <c r="I1646" s="24" t="s">
        <v>59</v>
      </c>
      <c r="J1646" s="24" t="s">
        <v>60</v>
      </c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">
        <v>54.0</v>
      </c>
      <c r="B1647" s="35" t="str">
        <f t="array" ref="B1647">INDEX('Báo cáo 75 trang đích'!$B$2:$B$76,$A1647)</f>
        <v>https://techcombank.com/thong-tin/blog/gui-ma-qr-ngan-hang</v>
      </c>
      <c r="C1647" s="5" t="str">
        <f t="array" ref="C1647">INDEX('Báo cáo 75 trang đích'!$C$2:$C$76,$A1647)</f>
        <v>Merchant</v>
      </c>
      <c r="D1647" s="20" t="s">
        <v>1012</v>
      </c>
      <c r="E1647" s="22" t="s">
        <v>330</v>
      </c>
      <c r="F1647" s="22" t="s">
        <v>57</v>
      </c>
      <c r="G1647" s="22" t="s">
        <v>1786</v>
      </c>
      <c r="H1647" s="24" t="s">
        <v>59</v>
      </c>
      <c r="I1647" s="24" t="s">
        <v>59</v>
      </c>
      <c r="J1647" s="24" t="s">
        <v>60</v>
      </c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">
        <v>54.0</v>
      </c>
      <c r="B1648" s="35" t="str">
        <f t="array" ref="B1648">INDEX('Báo cáo 75 trang đích'!$B$2:$B$76,$A1648)</f>
        <v>https://techcombank.com/thong-tin/blog/gui-ma-qr-ngan-hang</v>
      </c>
      <c r="C1648" s="5" t="str">
        <f t="array" ref="C1648">INDEX('Báo cáo 75 trang đích'!$C$2:$C$76,$A1648)</f>
        <v>Merchant</v>
      </c>
      <c r="D1648" s="20" t="s">
        <v>1015</v>
      </c>
      <c r="E1648" s="22" t="s">
        <v>1018</v>
      </c>
      <c r="F1648" s="22" t="s">
        <v>57</v>
      </c>
      <c r="G1648" s="22" t="s">
        <v>1787</v>
      </c>
      <c r="H1648" s="24" t="s">
        <v>59</v>
      </c>
      <c r="I1648" s="24" t="s">
        <v>59</v>
      </c>
      <c r="J1648" s="24" t="s">
        <v>60</v>
      </c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">
        <v>54.0</v>
      </c>
      <c r="B1649" s="35" t="str">
        <f t="array" ref="B1649">INDEX('Báo cáo 75 trang đích'!$B$2:$B$76,$A1649)</f>
        <v>https://techcombank.com/thong-tin/blog/gui-ma-qr-ngan-hang</v>
      </c>
      <c r="C1649" s="5" t="str">
        <f t="array" ref="C1649">INDEX('Báo cáo 75 trang đích'!$C$2:$C$76,$A1649)</f>
        <v>Merchant</v>
      </c>
      <c r="D1649" s="20" t="s">
        <v>1019</v>
      </c>
      <c r="E1649" s="22" t="s">
        <v>330</v>
      </c>
      <c r="F1649" s="22" t="s">
        <v>57</v>
      </c>
      <c r="G1649" s="22" t="s">
        <v>1788</v>
      </c>
      <c r="H1649" s="24" t="s">
        <v>59</v>
      </c>
      <c r="I1649" s="24" t="s">
        <v>59</v>
      </c>
      <c r="J1649" s="24" t="s">
        <v>60</v>
      </c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">
        <v>54.0</v>
      </c>
      <c r="B1650" s="35" t="str">
        <f t="array" ref="B1650">INDEX('Báo cáo 75 trang đích'!$B$2:$B$76,$A1650)</f>
        <v>https://techcombank.com/thong-tin/blog/gui-ma-qr-ngan-hang</v>
      </c>
      <c r="C1650" s="5" t="str">
        <f t="array" ref="C1650">INDEX('Báo cáo 75 trang đích'!$C$2:$C$76,$A1650)</f>
        <v>Merchant</v>
      </c>
      <c r="D1650" s="20" t="s">
        <v>1021</v>
      </c>
      <c r="E1650" s="22" t="s">
        <v>1018</v>
      </c>
      <c r="F1650" s="22" t="s">
        <v>57</v>
      </c>
      <c r="G1650" s="22" t="s">
        <v>1789</v>
      </c>
      <c r="H1650" s="24" t="s">
        <v>59</v>
      </c>
      <c r="I1650" s="24" t="s">
        <v>59</v>
      </c>
      <c r="J1650" s="24" t="s">
        <v>60</v>
      </c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">
        <v>54.0</v>
      </c>
      <c r="B1651" s="35" t="str">
        <f t="array" ref="B1651">INDEX('Báo cáo 75 trang đích'!$B$2:$B$76,$A1651)</f>
        <v>https://techcombank.com/thong-tin/blog/gui-ma-qr-ngan-hang</v>
      </c>
      <c r="C1651" s="5" t="str">
        <f t="array" ref="C1651">INDEX('Báo cáo 75 trang đích'!$C$2:$C$76,$A1651)</f>
        <v>Merchant</v>
      </c>
      <c r="D1651" s="20" t="s">
        <v>797</v>
      </c>
      <c r="E1651" s="22" t="s">
        <v>330</v>
      </c>
      <c r="F1651" s="22" t="s">
        <v>76</v>
      </c>
      <c r="G1651" s="22" t="s">
        <v>1790</v>
      </c>
      <c r="H1651" s="24" t="s">
        <v>59</v>
      </c>
      <c r="I1651" s="24" t="s">
        <v>59</v>
      </c>
      <c r="J1651" s="24" t="s">
        <v>60</v>
      </c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">
        <v>54.0</v>
      </c>
      <c r="B1652" s="35" t="str">
        <f t="array" ref="B1652">INDEX('Báo cáo 75 trang đích'!$B$2:$B$76,$A1652)</f>
        <v>https://techcombank.com/thong-tin/blog/gui-ma-qr-ngan-hang</v>
      </c>
      <c r="C1652" s="5" t="str">
        <f t="array" ref="C1652">INDEX('Báo cáo 75 trang đích'!$C$2:$C$76,$A1652)</f>
        <v>Merchant</v>
      </c>
      <c r="D1652" s="20" t="s">
        <v>1347</v>
      </c>
      <c r="E1652" s="22" t="s">
        <v>1018</v>
      </c>
      <c r="F1652" s="22" t="s">
        <v>81</v>
      </c>
      <c r="G1652" s="22" t="s">
        <v>1791</v>
      </c>
      <c r="H1652" s="24" t="s">
        <v>59</v>
      </c>
      <c r="I1652" s="24" t="s">
        <v>59</v>
      </c>
      <c r="J1652" s="24" t="s">
        <v>60</v>
      </c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">
        <v>54.0</v>
      </c>
      <c r="B1653" s="35" t="str">
        <f t="array" ref="B1653">INDEX('Báo cáo 75 trang đích'!$B$2:$B$76,$A1653)</f>
        <v>https://techcombank.com/thong-tin/blog/gui-ma-qr-ngan-hang</v>
      </c>
      <c r="C1653" s="5" t="str">
        <f t="array" ref="C1653">INDEX('Báo cáo 75 trang đích'!$C$2:$C$76,$A1653)</f>
        <v>Merchant</v>
      </c>
      <c r="D1653" s="20" t="s">
        <v>1349</v>
      </c>
      <c r="E1653" s="22" t="s">
        <v>330</v>
      </c>
      <c r="F1653" s="22" t="s">
        <v>81</v>
      </c>
      <c r="G1653" s="22" t="s">
        <v>1791</v>
      </c>
      <c r="H1653" s="24" t="s">
        <v>59</v>
      </c>
      <c r="I1653" s="24" t="s">
        <v>59</v>
      </c>
      <c r="J1653" s="24" t="s">
        <v>60</v>
      </c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">
        <v>54.0</v>
      </c>
      <c r="B1654" s="35" t="str">
        <f t="array" ref="B1654">INDEX('Báo cáo 75 trang đích'!$B$2:$B$76,$A1654)</f>
        <v>https://techcombank.com/thong-tin/blog/gui-ma-qr-ngan-hang</v>
      </c>
      <c r="C1654" s="5" t="str">
        <f t="array" ref="C1654">INDEX('Báo cáo 75 trang đích'!$C$2:$C$76,$A1654)</f>
        <v>Merchant</v>
      </c>
      <c r="D1654" s="20" t="s">
        <v>1350</v>
      </c>
      <c r="E1654" s="22" t="s">
        <v>1018</v>
      </c>
      <c r="F1654" s="22" t="s">
        <v>81</v>
      </c>
      <c r="G1654" s="22" t="s">
        <v>1791</v>
      </c>
      <c r="H1654" s="24" t="s">
        <v>59</v>
      </c>
      <c r="I1654" s="24" t="s">
        <v>59</v>
      </c>
      <c r="J1654" s="24" t="s">
        <v>60</v>
      </c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">
        <v>54.0</v>
      </c>
      <c r="B1655" s="35" t="str">
        <f t="array" ref="B1655">INDEX('Báo cáo 75 trang đích'!$B$2:$B$76,$A1655)</f>
        <v>https://techcombank.com/thong-tin/blog/gui-ma-qr-ngan-hang</v>
      </c>
      <c r="C1655" s="5" t="str">
        <f t="array" ref="C1655">INDEX('Báo cáo 75 trang đích'!$C$2:$C$76,$A1655)</f>
        <v>Merchant</v>
      </c>
      <c r="D1655" s="20" t="s">
        <v>1351</v>
      </c>
      <c r="E1655" s="22" t="s">
        <v>330</v>
      </c>
      <c r="F1655" s="22" t="s">
        <v>81</v>
      </c>
      <c r="G1655" s="22" t="s">
        <v>1791</v>
      </c>
      <c r="H1655" s="24" t="s">
        <v>59</v>
      </c>
      <c r="I1655" s="24" t="s">
        <v>59</v>
      </c>
      <c r="J1655" s="24" t="s">
        <v>60</v>
      </c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">
        <v>54.0</v>
      </c>
      <c r="B1656" s="35" t="str">
        <f t="array" ref="B1656">INDEX('Báo cáo 75 trang đích'!$B$2:$B$76,$A1656)</f>
        <v>https://techcombank.com/thong-tin/blog/gui-ma-qr-ngan-hang</v>
      </c>
      <c r="C1656" s="5" t="str">
        <f t="array" ref="C1656">INDEX('Báo cáo 75 trang đích'!$C$2:$C$76,$A1656)</f>
        <v>Merchant</v>
      </c>
      <c r="D1656" s="20" t="s">
        <v>1776</v>
      </c>
      <c r="E1656" s="22" t="s">
        <v>1018</v>
      </c>
      <c r="F1656" s="22" t="s">
        <v>81</v>
      </c>
      <c r="G1656" s="22" t="s">
        <v>1792</v>
      </c>
      <c r="H1656" s="24" t="s">
        <v>59</v>
      </c>
      <c r="I1656" s="24" t="s">
        <v>59</v>
      </c>
      <c r="J1656" s="24" t="s">
        <v>60</v>
      </c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">
        <v>54.0</v>
      </c>
      <c r="B1657" s="35" t="str">
        <f t="array" ref="B1657">INDEX('Báo cáo 75 trang đích'!$B$2:$B$76,$A1657)</f>
        <v>https://techcombank.com/thong-tin/blog/gui-ma-qr-ngan-hang</v>
      </c>
      <c r="C1657" s="5" t="str">
        <f t="array" ref="C1657">INDEX('Báo cáo 75 trang đích'!$C$2:$C$76,$A1657)</f>
        <v>Merchant</v>
      </c>
      <c r="D1657" s="20" t="s">
        <v>1354</v>
      </c>
      <c r="E1657" s="22" t="s">
        <v>330</v>
      </c>
      <c r="F1657" s="22" t="s">
        <v>81</v>
      </c>
      <c r="G1657" s="22" t="s">
        <v>1791</v>
      </c>
      <c r="H1657" s="24" t="s">
        <v>59</v>
      </c>
      <c r="I1657" s="24" t="s">
        <v>59</v>
      </c>
      <c r="J1657" s="24" t="s">
        <v>60</v>
      </c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">
        <v>54.0</v>
      </c>
      <c r="B1658" s="35" t="str">
        <f t="array" ref="B1658">INDEX('Báo cáo 75 trang đích'!$B$2:$B$76,$A1658)</f>
        <v>https://techcombank.com/thong-tin/blog/gui-ma-qr-ngan-hang</v>
      </c>
      <c r="C1658" s="5" t="str">
        <f t="array" ref="C1658">INDEX('Báo cáo 75 trang đích'!$C$2:$C$76,$A1658)</f>
        <v>Merchant</v>
      </c>
      <c r="D1658" s="20" t="s">
        <v>1355</v>
      </c>
      <c r="E1658" s="22" t="s">
        <v>1018</v>
      </c>
      <c r="F1658" s="22" t="s">
        <v>81</v>
      </c>
      <c r="G1658" s="22" t="s">
        <v>1791</v>
      </c>
      <c r="H1658" s="24" t="s">
        <v>59</v>
      </c>
      <c r="I1658" s="24" t="s">
        <v>59</v>
      </c>
      <c r="J1658" s="24" t="s">
        <v>60</v>
      </c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">
        <v>54.0</v>
      </c>
      <c r="B1659" s="35" t="str">
        <f t="array" ref="B1659">INDEX('Báo cáo 75 trang đích'!$B$2:$B$76,$A1659)</f>
        <v>https://techcombank.com/thong-tin/blog/gui-ma-qr-ngan-hang</v>
      </c>
      <c r="C1659" s="5" t="str">
        <f t="array" ref="C1659">INDEX('Báo cáo 75 trang đích'!$C$2:$C$76,$A1659)</f>
        <v>Merchant</v>
      </c>
      <c r="D1659" s="20" t="s">
        <v>1356</v>
      </c>
      <c r="E1659" s="22" t="s">
        <v>330</v>
      </c>
      <c r="F1659" s="22" t="s">
        <v>81</v>
      </c>
      <c r="G1659" s="22" t="s">
        <v>1791</v>
      </c>
      <c r="H1659" s="24" t="s">
        <v>59</v>
      </c>
      <c r="I1659" s="24" t="s">
        <v>59</v>
      </c>
      <c r="J1659" s="24" t="s">
        <v>60</v>
      </c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">
        <v>54.0</v>
      </c>
      <c r="B1660" s="35" t="str">
        <f t="array" ref="B1660">INDEX('Báo cáo 75 trang đích'!$B$2:$B$76,$A1660)</f>
        <v>https://techcombank.com/thong-tin/blog/gui-ma-qr-ngan-hang</v>
      </c>
      <c r="C1660" s="5" t="str">
        <f t="array" ref="C1660">INDEX('Báo cáo 75 trang đích'!$C$2:$C$76,$A1660)</f>
        <v>Merchant</v>
      </c>
      <c r="D1660" s="20" t="s">
        <v>1357</v>
      </c>
      <c r="E1660" s="22" t="s">
        <v>1018</v>
      </c>
      <c r="F1660" s="22" t="s">
        <v>81</v>
      </c>
      <c r="G1660" s="22" t="s">
        <v>1791</v>
      </c>
      <c r="H1660" s="24" t="s">
        <v>59</v>
      </c>
      <c r="I1660" s="24" t="s">
        <v>59</v>
      </c>
      <c r="J1660" s="24" t="s">
        <v>60</v>
      </c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">
        <v>54.0</v>
      </c>
      <c r="B1661" s="35" t="str">
        <f t="array" ref="B1661">INDEX('Báo cáo 75 trang đích'!$B$2:$B$76,$A1661)</f>
        <v>https://techcombank.com/thong-tin/blog/gui-ma-qr-ngan-hang</v>
      </c>
      <c r="C1661" s="5" t="str">
        <f t="array" ref="C1661">INDEX('Báo cáo 75 trang đích'!$C$2:$C$76,$A1661)</f>
        <v>Merchant</v>
      </c>
      <c r="D1661" s="20" t="s">
        <v>1358</v>
      </c>
      <c r="E1661" s="22" t="s">
        <v>330</v>
      </c>
      <c r="F1661" s="22" t="s">
        <v>81</v>
      </c>
      <c r="G1661" s="22" t="s">
        <v>1791</v>
      </c>
      <c r="H1661" s="24" t="s">
        <v>59</v>
      </c>
      <c r="I1661" s="24" t="s">
        <v>59</v>
      </c>
      <c r="J1661" s="24" t="s">
        <v>60</v>
      </c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">
        <v>54.0</v>
      </c>
      <c r="B1662" s="35" t="str">
        <f t="array" ref="B1662">INDEX('Báo cáo 75 trang đích'!$B$2:$B$76,$A1662)</f>
        <v>https://techcombank.com/thong-tin/blog/gui-ma-qr-ngan-hang</v>
      </c>
      <c r="C1662" s="5" t="str">
        <f t="array" ref="C1662">INDEX('Báo cáo 75 trang đích'!$C$2:$C$76,$A1662)</f>
        <v>Merchant</v>
      </c>
      <c r="D1662" s="20" t="s">
        <v>814</v>
      </c>
      <c r="E1662" s="22" t="s">
        <v>1018</v>
      </c>
      <c r="F1662" s="22" t="s">
        <v>81</v>
      </c>
      <c r="G1662" s="22" t="s">
        <v>1791</v>
      </c>
      <c r="H1662" s="24" t="s">
        <v>59</v>
      </c>
      <c r="I1662" s="24" t="s">
        <v>59</v>
      </c>
      <c r="J1662" s="24" t="s">
        <v>60</v>
      </c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">
        <v>54.0</v>
      </c>
      <c r="B1663" s="35" t="str">
        <f t="array" ref="B1663">INDEX('Báo cáo 75 trang đích'!$B$2:$B$76,$A1663)</f>
        <v>https://techcombank.com/thong-tin/blog/gui-ma-qr-ngan-hang</v>
      </c>
      <c r="C1663" s="5" t="str">
        <f t="array" ref="C1663">INDEX('Báo cáo 75 trang đích'!$C$2:$C$76,$A1663)</f>
        <v>Merchant</v>
      </c>
      <c r="D1663" s="20" t="s">
        <v>1359</v>
      </c>
      <c r="E1663" s="22" t="s">
        <v>330</v>
      </c>
      <c r="F1663" s="22" t="s">
        <v>81</v>
      </c>
      <c r="G1663" s="22" t="s">
        <v>1791</v>
      </c>
      <c r="H1663" s="24" t="s">
        <v>59</v>
      </c>
      <c r="I1663" s="24" t="s">
        <v>59</v>
      </c>
      <c r="J1663" s="24" t="s">
        <v>60</v>
      </c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">
        <v>54.0</v>
      </c>
      <c r="B1664" s="35" t="str">
        <f t="array" ref="B1664">INDEX('Báo cáo 75 trang đích'!$B$2:$B$76,$A1664)</f>
        <v>https://techcombank.com/thong-tin/blog/gui-ma-qr-ngan-hang</v>
      </c>
      <c r="C1664" s="5" t="str">
        <f t="array" ref="C1664">INDEX('Báo cáo 75 trang đích'!$C$2:$C$76,$A1664)</f>
        <v>Merchant</v>
      </c>
      <c r="D1664" s="20" t="s">
        <v>688</v>
      </c>
      <c r="E1664" s="22" t="s">
        <v>1018</v>
      </c>
      <c r="F1664" s="22" t="s">
        <v>81</v>
      </c>
      <c r="G1664" s="22" t="s">
        <v>1791</v>
      </c>
      <c r="H1664" s="24" t="s">
        <v>59</v>
      </c>
      <c r="I1664" s="24" t="s">
        <v>59</v>
      </c>
      <c r="J1664" s="24" t="s">
        <v>60</v>
      </c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">
        <v>54.0</v>
      </c>
      <c r="B1665" s="35" t="str">
        <f t="array" ref="B1665">INDEX('Báo cáo 75 trang đích'!$B$2:$B$76,$A1665)</f>
        <v>https://techcombank.com/thong-tin/blog/gui-ma-qr-ngan-hang</v>
      </c>
      <c r="C1665" s="5" t="str">
        <f t="array" ref="C1665">INDEX('Báo cáo 75 trang đích'!$C$2:$C$76,$A1665)</f>
        <v>Merchant</v>
      </c>
      <c r="D1665" s="20" t="s">
        <v>1360</v>
      </c>
      <c r="E1665" s="22" t="s">
        <v>330</v>
      </c>
      <c r="F1665" s="22" t="s">
        <v>81</v>
      </c>
      <c r="G1665" s="22" t="s">
        <v>1791</v>
      </c>
      <c r="H1665" s="24" t="s">
        <v>59</v>
      </c>
      <c r="I1665" s="24" t="s">
        <v>59</v>
      </c>
      <c r="J1665" s="24" t="s">
        <v>60</v>
      </c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">
        <v>54.0</v>
      </c>
      <c r="B1666" s="35" t="str">
        <f t="array" ref="B1666">INDEX('Báo cáo 75 trang đích'!$B$2:$B$76,$A1666)</f>
        <v>https://techcombank.com/thong-tin/blog/gui-ma-qr-ngan-hang</v>
      </c>
      <c r="C1666" s="5" t="str">
        <f t="array" ref="C1666">INDEX('Báo cáo 75 trang đích'!$C$2:$C$76,$A1666)</f>
        <v>Merchant</v>
      </c>
      <c r="D1666" s="20" t="s">
        <v>1361</v>
      </c>
      <c r="E1666" s="22" t="s">
        <v>1018</v>
      </c>
      <c r="F1666" s="22" t="s">
        <v>81</v>
      </c>
      <c r="G1666" s="22" t="s">
        <v>1791</v>
      </c>
      <c r="H1666" s="24" t="s">
        <v>59</v>
      </c>
      <c r="I1666" s="24" t="s">
        <v>59</v>
      </c>
      <c r="J1666" s="24" t="s">
        <v>60</v>
      </c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">
        <v>54.0</v>
      </c>
      <c r="B1667" s="35" t="str">
        <f t="array" ref="B1667">INDEX('Báo cáo 75 trang đích'!$B$2:$B$76,$A1667)</f>
        <v>https://techcombank.com/thong-tin/blog/gui-ma-qr-ngan-hang</v>
      </c>
      <c r="C1667" s="5" t="str">
        <f t="array" ref="C1667">INDEX('Báo cáo 75 trang đích'!$C$2:$C$76,$A1667)</f>
        <v>Merchant</v>
      </c>
      <c r="D1667" s="20" t="s">
        <v>166</v>
      </c>
      <c r="E1667" s="22" t="s">
        <v>330</v>
      </c>
      <c r="F1667" s="22" t="s">
        <v>81</v>
      </c>
      <c r="G1667" s="22" t="s">
        <v>1791</v>
      </c>
      <c r="H1667" s="24" t="s">
        <v>59</v>
      </c>
      <c r="I1667" s="24" t="s">
        <v>59</v>
      </c>
      <c r="J1667" s="24" t="s">
        <v>60</v>
      </c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">
        <v>54.0</v>
      </c>
      <c r="B1668" s="35" t="str">
        <f t="array" ref="B1668">INDEX('Báo cáo 75 trang đích'!$B$2:$B$76,$A1668)</f>
        <v>https://techcombank.com/thong-tin/blog/gui-ma-qr-ngan-hang</v>
      </c>
      <c r="C1668" s="5" t="str">
        <f t="array" ref="C1668">INDEX('Báo cáo 75 trang đích'!$C$2:$C$76,$A1668)</f>
        <v>Merchant</v>
      </c>
      <c r="D1668" s="20" t="s">
        <v>849</v>
      </c>
      <c r="E1668" s="22" t="s">
        <v>1018</v>
      </c>
      <c r="F1668" s="22" t="s">
        <v>81</v>
      </c>
      <c r="G1668" s="22" t="s">
        <v>1791</v>
      </c>
      <c r="H1668" s="24" t="s">
        <v>59</v>
      </c>
      <c r="I1668" s="24" t="s">
        <v>59</v>
      </c>
      <c r="J1668" s="24" t="s">
        <v>60</v>
      </c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">
        <v>54.0</v>
      </c>
      <c r="B1669" s="35" t="str">
        <f t="array" ref="B1669">INDEX('Báo cáo 75 trang đích'!$B$2:$B$76,$A1669)</f>
        <v>https://techcombank.com/thong-tin/blog/gui-ma-qr-ngan-hang</v>
      </c>
      <c r="C1669" s="5" t="str">
        <f t="array" ref="C1669">INDEX('Báo cáo 75 trang đích'!$C$2:$C$76,$A1669)</f>
        <v>Merchant</v>
      </c>
      <c r="D1669" s="20" t="s">
        <v>690</v>
      </c>
      <c r="E1669" s="22" t="s">
        <v>330</v>
      </c>
      <c r="F1669" s="22" t="s">
        <v>81</v>
      </c>
      <c r="G1669" s="22" t="s">
        <v>1791</v>
      </c>
      <c r="H1669" s="24" t="s">
        <v>59</v>
      </c>
      <c r="I1669" s="24" t="s">
        <v>59</v>
      </c>
      <c r="J1669" s="24" t="s">
        <v>60</v>
      </c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">
        <v>54.0</v>
      </c>
      <c r="B1670" s="35" t="str">
        <f t="array" ref="B1670">INDEX('Báo cáo 75 trang đích'!$B$2:$B$76,$A1670)</f>
        <v>https://techcombank.com/thong-tin/blog/gui-ma-qr-ngan-hang</v>
      </c>
      <c r="C1670" s="5" t="str">
        <f t="array" ref="C1670">INDEX('Báo cáo 75 trang đích'!$C$2:$C$76,$A1670)</f>
        <v>Merchant</v>
      </c>
      <c r="D1670" s="20" t="s">
        <v>493</v>
      </c>
      <c r="E1670" s="22" t="s">
        <v>1018</v>
      </c>
      <c r="F1670" s="22" t="s">
        <v>81</v>
      </c>
      <c r="G1670" s="22" t="s">
        <v>1791</v>
      </c>
      <c r="H1670" s="24" t="s">
        <v>59</v>
      </c>
      <c r="I1670" s="24" t="s">
        <v>59</v>
      </c>
      <c r="J1670" s="24" t="s">
        <v>60</v>
      </c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">
        <v>54.0</v>
      </c>
      <c r="B1671" s="35" t="str">
        <f t="array" ref="B1671">INDEX('Báo cáo 75 trang đích'!$B$2:$B$76,$A1671)</f>
        <v>https://techcombank.com/thong-tin/blog/gui-ma-qr-ngan-hang</v>
      </c>
      <c r="C1671" s="5" t="str">
        <f t="array" ref="C1671">INDEX('Báo cáo 75 trang đích'!$C$2:$C$76,$A1671)</f>
        <v>Merchant</v>
      </c>
      <c r="D1671" s="20" t="s">
        <v>878</v>
      </c>
      <c r="E1671" s="22" t="s">
        <v>330</v>
      </c>
      <c r="F1671" s="22" t="s">
        <v>81</v>
      </c>
      <c r="G1671" s="22" t="s">
        <v>1791</v>
      </c>
      <c r="H1671" s="24" t="s">
        <v>59</v>
      </c>
      <c r="I1671" s="24" t="s">
        <v>59</v>
      </c>
      <c r="J1671" s="24" t="s">
        <v>60</v>
      </c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">
        <v>54.0</v>
      </c>
      <c r="B1672" s="35" t="str">
        <f t="array" ref="B1672">INDEX('Báo cáo 75 trang đích'!$B$2:$B$76,$A1672)</f>
        <v>https://techcombank.com/thong-tin/blog/gui-ma-qr-ngan-hang</v>
      </c>
      <c r="C1672" s="5" t="str">
        <f t="array" ref="C1672">INDEX('Báo cáo 75 trang đích'!$C$2:$C$76,$A1672)</f>
        <v>Merchant</v>
      </c>
      <c r="D1672" s="20" t="s">
        <v>924</v>
      </c>
      <c r="E1672" s="22" t="s">
        <v>1018</v>
      </c>
      <c r="F1672" s="22" t="s">
        <v>81</v>
      </c>
      <c r="G1672" s="22" t="s">
        <v>1792</v>
      </c>
      <c r="H1672" s="24" t="s">
        <v>59</v>
      </c>
      <c r="I1672" s="24" t="s">
        <v>59</v>
      </c>
      <c r="J1672" s="24" t="s">
        <v>60</v>
      </c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">
        <v>55.0</v>
      </c>
      <c r="B1673" s="35" t="str">
        <f t="array" ref="B1673">INDEX('Báo cáo 75 trang đích'!$B$2:$B$76,$A1673)</f>
        <v>https://techcombank.com/thong-tin/blog/mo-tai-khoan-ho-kinh-doanh</v>
      </c>
      <c r="C1673" s="5" t="str">
        <f t="array" ref="C1673">INDEX('Báo cáo 75 trang đích'!$C$2:$C$76,$A1673)</f>
        <v>Merchant</v>
      </c>
      <c r="D1673" s="20" t="s">
        <v>216</v>
      </c>
      <c r="E1673" s="22" t="s">
        <v>332</v>
      </c>
      <c r="F1673" s="22" t="s">
        <v>57</v>
      </c>
      <c r="G1673" s="22" t="s">
        <v>1793</v>
      </c>
      <c r="H1673" s="24" t="s">
        <v>59</v>
      </c>
      <c r="I1673" s="24" t="s">
        <v>59</v>
      </c>
      <c r="J1673" s="24" t="s">
        <v>60</v>
      </c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">
        <v>55.0</v>
      </c>
      <c r="B1674" s="35" t="str">
        <f t="array" ref="B1674">INDEX('Báo cáo 75 trang đích'!$B$2:$B$76,$A1674)</f>
        <v>https://techcombank.com/thong-tin/blog/mo-tai-khoan-ho-kinh-doanh</v>
      </c>
      <c r="C1674" s="5" t="str">
        <f t="array" ref="C1674">INDEX('Báo cáo 75 trang đích'!$C$2:$C$76,$A1674)</f>
        <v>Merchant</v>
      </c>
      <c r="D1674" s="20" t="s">
        <v>1025</v>
      </c>
      <c r="E1674" s="22" t="s">
        <v>1027</v>
      </c>
      <c r="F1674" s="22" t="s">
        <v>57</v>
      </c>
      <c r="G1674" s="22" t="s">
        <v>1794</v>
      </c>
      <c r="H1674" s="24" t="s">
        <v>59</v>
      </c>
      <c r="I1674" s="24" t="s">
        <v>59</v>
      </c>
      <c r="J1674" s="24" t="s">
        <v>60</v>
      </c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">
        <v>55.0</v>
      </c>
      <c r="B1675" s="35" t="str">
        <f t="array" ref="B1675">INDEX('Báo cáo 75 trang đích'!$B$2:$B$76,$A1675)</f>
        <v>https://techcombank.com/thong-tin/blog/mo-tai-khoan-ho-kinh-doanh</v>
      </c>
      <c r="C1675" s="5" t="str">
        <f t="array" ref="C1675">INDEX('Báo cáo 75 trang đích'!$C$2:$C$76,$A1675)</f>
        <v>Merchant</v>
      </c>
      <c r="D1675" s="20" t="s">
        <v>510</v>
      </c>
      <c r="E1675" s="22" t="s">
        <v>1030</v>
      </c>
      <c r="F1675" s="22" t="s">
        <v>57</v>
      </c>
      <c r="G1675" s="22" t="s">
        <v>1795</v>
      </c>
      <c r="H1675" s="24" t="s">
        <v>59</v>
      </c>
      <c r="I1675" s="24" t="s">
        <v>59</v>
      </c>
      <c r="J1675" s="24" t="s">
        <v>60</v>
      </c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">
        <v>55.0</v>
      </c>
      <c r="B1676" s="35" t="str">
        <f t="array" ref="B1676">INDEX('Báo cáo 75 trang đích'!$B$2:$B$76,$A1676)</f>
        <v>https://techcombank.com/thong-tin/blog/mo-tai-khoan-ho-kinh-doanh</v>
      </c>
      <c r="C1676" s="5" t="str">
        <f t="array" ref="C1676">INDEX('Báo cáo 75 trang đích'!$C$2:$C$76,$A1676)</f>
        <v>Merchant</v>
      </c>
      <c r="D1676" s="20" t="s">
        <v>1031</v>
      </c>
      <c r="E1676" s="22" t="s">
        <v>332</v>
      </c>
      <c r="F1676" s="22" t="s">
        <v>76</v>
      </c>
      <c r="G1676" s="22" t="s">
        <v>1796</v>
      </c>
      <c r="H1676" s="24" t="s">
        <v>59</v>
      </c>
      <c r="I1676" s="24" t="s">
        <v>59</v>
      </c>
      <c r="J1676" s="24" t="s">
        <v>60</v>
      </c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">
        <v>55.0</v>
      </c>
      <c r="B1677" s="35" t="str">
        <f t="array" ref="B1677">INDEX('Báo cáo 75 trang đích'!$B$2:$B$76,$A1677)</f>
        <v>https://techcombank.com/thong-tin/blog/mo-tai-khoan-ho-kinh-doanh</v>
      </c>
      <c r="C1677" s="5" t="str">
        <f t="array" ref="C1677">INDEX('Báo cáo 75 trang đích'!$C$2:$C$76,$A1677)</f>
        <v>Merchant</v>
      </c>
      <c r="D1677" s="20" t="s">
        <v>1034</v>
      </c>
      <c r="E1677" s="22" t="s">
        <v>1027</v>
      </c>
      <c r="F1677" s="22" t="s">
        <v>76</v>
      </c>
      <c r="G1677" s="22" t="s">
        <v>1797</v>
      </c>
      <c r="H1677" s="24" t="s">
        <v>59</v>
      </c>
      <c r="I1677" s="24" t="s">
        <v>59</v>
      </c>
      <c r="J1677" s="24" t="s">
        <v>60</v>
      </c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">
        <v>55.0</v>
      </c>
      <c r="B1678" s="35" t="str">
        <f t="array" ref="B1678">INDEX('Báo cáo 75 trang đích'!$B$2:$B$76,$A1678)</f>
        <v>https://techcombank.com/thong-tin/blog/mo-tai-khoan-ho-kinh-doanh</v>
      </c>
      <c r="C1678" s="5" t="str">
        <f t="array" ref="C1678">INDEX('Báo cáo 75 trang đích'!$C$2:$C$76,$A1678)</f>
        <v>Merchant</v>
      </c>
      <c r="D1678" s="20" t="s">
        <v>986</v>
      </c>
      <c r="E1678" s="22" t="s">
        <v>1030</v>
      </c>
      <c r="F1678" s="22" t="s">
        <v>81</v>
      </c>
      <c r="G1678" s="22" t="s">
        <v>1750</v>
      </c>
      <c r="H1678" s="24" t="s">
        <v>59</v>
      </c>
      <c r="I1678" s="24" t="s">
        <v>59</v>
      </c>
      <c r="J1678" s="24" t="s">
        <v>60</v>
      </c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">
        <v>55.0</v>
      </c>
      <c r="B1679" s="35" t="str">
        <f t="array" ref="B1679">INDEX('Báo cáo 75 trang đích'!$B$2:$B$76,$A1679)</f>
        <v>https://techcombank.com/thong-tin/blog/mo-tai-khoan-ho-kinh-doanh</v>
      </c>
      <c r="C1679" s="5" t="str">
        <f t="array" ref="C1679">INDEX('Báo cáo 75 trang đích'!$C$2:$C$76,$A1679)</f>
        <v>Merchant</v>
      </c>
      <c r="D1679" s="20" t="s">
        <v>1000</v>
      </c>
      <c r="E1679" s="22" t="s">
        <v>332</v>
      </c>
      <c r="F1679" s="22" t="s">
        <v>81</v>
      </c>
      <c r="G1679" s="22" t="s">
        <v>1750</v>
      </c>
      <c r="H1679" s="24" t="s">
        <v>59</v>
      </c>
      <c r="I1679" s="24" t="s">
        <v>59</v>
      </c>
      <c r="J1679" s="24" t="s">
        <v>60</v>
      </c>
      <c r="K1679" s="22" t="s">
        <v>97</v>
      </c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">
        <v>55.0</v>
      </c>
      <c r="B1680" s="35" t="str">
        <f t="array" ref="B1680">INDEX('Báo cáo 75 trang đích'!$B$2:$B$76,$A1680)</f>
        <v>https://techcombank.com/thong-tin/blog/mo-tai-khoan-ho-kinh-doanh</v>
      </c>
      <c r="C1680" s="5" t="str">
        <f t="array" ref="C1680">INDEX('Báo cáo 75 trang đích'!$C$2:$C$76,$A1680)</f>
        <v>Merchant</v>
      </c>
      <c r="D1680" s="20" t="s">
        <v>1012</v>
      </c>
      <c r="E1680" s="22" t="s">
        <v>1027</v>
      </c>
      <c r="F1680" s="22" t="s">
        <v>81</v>
      </c>
      <c r="G1680" s="22" t="s">
        <v>1750</v>
      </c>
      <c r="H1680" s="24" t="s">
        <v>59</v>
      </c>
      <c r="I1680" s="24" t="s">
        <v>59</v>
      </c>
      <c r="J1680" s="24" t="s">
        <v>60</v>
      </c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">
        <v>55.0</v>
      </c>
      <c r="B1681" s="35" t="str">
        <f t="array" ref="B1681">INDEX('Báo cáo 75 trang đích'!$B$2:$B$76,$A1681)</f>
        <v>https://techcombank.com/thong-tin/blog/mo-tai-khoan-ho-kinh-doanh</v>
      </c>
      <c r="C1681" s="5" t="str">
        <f t="array" ref="C1681">INDEX('Báo cáo 75 trang đích'!$C$2:$C$76,$A1681)</f>
        <v>Merchant</v>
      </c>
      <c r="D1681" s="20" t="s">
        <v>247</v>
      </c>
      <c r="E1681" s="22" t="s">
        <v>1030</v>
      </c>
      <c r="F1681" s="22" t="s">
        <v>81</v>
      </c>
      <c r="G1681" s="22" t="s">
        <v>1750</v>
      </c>
      <c r="H1681" s="24" t="s">
        <v>59</v>
      </c>
      <c r="I1681" s="24" t="s">
        <v>59</v>
      </c>
      <c r="J1681" s="24" t="s">
        <v>60</v>
      </c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">
        <v>55.0</v>
      </c>
      <c r="B1682" s="35" t="str">
        <f t="array" ref="B1682">INDEX('Báo cáo 75 trang đích'!$B$2:$B$76,$A1682)</f>
        <v>https://techcombank.com/thong-tin/blog/mo-tai-khoan-ho-kinh-doanh</v>
      </c>
      <c r="C1682" s="5" t="str">
        <f t="array" ref="C1682">INDEX('Báo cáo 75 trang đích'!$C$2:$C$76,$A1682)</f>
        <v>Merchant</v>
      </c>
      <c r="D1682" s="20" t="s">
        <v>1751</v>
      </c>
      <c r="E1682" s="22" t="s">
        <v>332</v>
      </c>
      <c r="F1682" s="22" t="s">
        <v>81</v>
      </c>
      <c r="G1682" s="22" t="s">
        <v>1750</v>
      </c>
      <c r="H1682" s="24" t="s">
        <v>59</v>
      </c>
      <c r="I1682" s="24" t="s">
        <v>59</v>
      </c>
      <c r="J1682" s="24" t="s">
        <v>60</v>
      </c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">
        <v>55.0</v>
      </c>
      <c r="B1683" s="35" t="str">
        <f t="array" ref="B1683">INDEX('Báo cáo 75 trang đích'!$B$2:$B$76,$A1683)</f>
        <v>https://techcombank.com/thong-tin/blog/mo-tai-khoan-ho-kinh-doanh</v>
      </c>
      <c r="C1683" s="5" t="str">
        <f t="array" ref="C1683">INDEX('Báo cáo 75 trang đích'!$C$2:$C$76,$A1683)</f>
        <v>Merchant</v>
      </c>
      <c r="D1683" s="20" t="s">
        <v>1752</v>
      </c>
      <c r="E1683" s="22" t="s">
        <v>1027</v>
      </c>
      <c r="F1683" s="22" t="s">
        <v>81</v>
      </c>
      <c r="G1683" s="22" t="s">
        <v>1750</v>
      </c>
      <c r="H1683" s="24" t="s">
        <v>59</v>
      </c>
      <c r="I1683" s="24" t="s">
        <v>59</v>
      </c>
      <c r="J1683" s="24" t="s">
        <v>60</v>
      </c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">
        <v>55.0</v>
      </c>
      <c r="B1684" s="35" t="str">
        <f t="array" ref="B1684">INDEX('Báo cáo 75 trang đích'!$B$2:$B$76,$A1684)</f>
        <v>https://techcombank.com/thong-tin/blog/mo-tai-khoan-ho-kinh-doanh</v>
      </c>
      <c r="C1684" s="5" t="str">
        <f t="array" ref="C1684">INDEX('Báo cáo 75 trang đích'!$C$2:$C$76,$A1684)</f>
        <v>Merchant</v>
      </c>
      <c r="D1684" s="20" t="s">
        <v>1753</v>
      </c>
      <c r="E1684" s="22" t="s">
        <v>1030</v>
      </c>
      <c r="F1684" s="22" t="s">
        <v>81</v>
      </c>
      <c r="G1684" s="22" t="s">
        <v>1750</v>
      </c>
      <c r="H1684" s="24" t="s">
        <v>59</v>
      </c>
      <c r="I1684" s="24" t="s">
        <v>59</v>
      </c>
      <c r="J1684" s="24" t="s">
        <v>60</v>
      </c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">
        <v>55.0</v>
      </c>
      <c r="B1685" s="35" t="str">
        <f t="array" ref="B1685">INDEX('Báo cáo 75 trang đích'!$B$2:$B$76,$A1685)</f>
        <v>https://techcombank.com/thong-tin/blog/mo-tai-khoan-ho-kinh-doanh</v>
      </c>
      <c r="C1685" s="5" t="str">
        <f t="array" ref="C1685">INDEX('Báo cáo 75 trang đích'!$C$2:$C$76,$A1685)</f>
        <v>Merchant</v>
      </c>
      <c r="D1685" s="20" t="s">
        <v>1755</v>
      </c>
      <c r="E1685" s="22" t="s">
        <v>332</v>
      </c>
      <c r="F1685" s="22" t="s">
        <v>81</v>
      </c>
      <c r="G1685" s="22" t="s">
        <v>1750</v>
      </c>
      <c r="H1685" s="24" t="s">
        <v>59</v>
      </c>
      <c r="I1685" s="24" t="s">
        <v>59</v>
      </c>
      <c r="J1685" s="24" t="s">
        <v>60</v>
      </c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">
        <v>55.0</v>
      </c>
      <c r="B1686" s="35" t="str">
        <f t="array" ref="B1686">INDEX('Báo cáo 75 trang đích'!$B$2:$B$76,$A1686)</f>
        <v>https://techcombank.com/thong-tin/blog/mo-tai-khoan-ho-kinh-doanh</v>
      </c>
      <c r="C1686" s="5" t="str">
        <f t="array" ref="C1686">INDEX('Báo cáo 75 trang đích'!$C$2:$C$76,$A1686)</f>
        <v>Merchant</v>
      </c>
      <c r="D1686" s="20" t="s">
        <v>1435</v>
      </c>
      <c r="E1686" s="22" t="s">
        <v>1027</v>
      </c>
      <c r="F1686" s="22" t="s">
        <v>81</v>
      </c>
      <c r="G1686" s="22" t="s">
        <v>1750</v>
      </c>
      <c r="H1686" s="24" t="s">
        <v>59</v>
      </c>
      <c r="I1686" s="24" t="s">
        <v>59</v>
      </c>
      <c r="J1686" s="24" t="s">
        <v>60</v>
      </c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">
        <v>55.0</v>
      </c>
      <c r="B1687" s="35" t="str">
        <f t="array" ref="B1687">INDEX('Báo cáo 75 trang đích'!$B$2:$B$76,$A1687)</f>
        <v>https://techcombank.com/thong-tin/blog/mo-tai-khoan-ho-kinh-doanh</v>
      </c>
      <c r="C1687" s="5" t="str">
        <f t="array" ref="C1687">INDEX('Báo cáo 75 trang đích'!$C$2:$C$76,$A1687)</f>
        <v>Merchant</v>
      </c>
      <c r="D1687" s="20" t="s">
        <v>1756</v>
      </c>
      <c r="E1687" s="22" t="s">
        <v>1030</v>
      </c>
      <c r="F1687" s="22" t="s">
        <v>81</v>
      </c>
      <c r="G1687" s="22" t="s">
        <v>1750</v>
      </c>
      <c r="H1687" s="24" t="s">
        <v>59</v>
      </c>
      <c r="I1687" s="24" t="s">
        <v>59</v>
      </c>
      <c r="J1687" s="24" t="s">
        <v>60</v>
      </c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">
        <v>55.0</v>
      </c>
      <c r="B1688" s="35" t="str">
        <f t="array" ref="B1688">INDEX('Báo cáo 75 trang đích'!$B$2:$B$76,$A1688)</f>
        <v>https://techcombank.com/thong-tin/blog/mo-tai-khoan-ho-kinh-doanh</v>
      </c>
      <c r="C1688" s="5" t="str">
        <f t="array" ref="C1688">INDEX('Báo cáo 75 trang đích'!$C$2:$C$76,$A1688)</f>
        <v>Merchant</v>
      </c>
      <c r="D1688" s="20" t="s">
        <v>1758</v>
      </c>
      <c r="E1688" s="22" t="s">
        <v>332</v>
      </c>
      <c r="F1688" s="22" t="s">
        <v>81</v>
      </c>
      <c r="G1688" s="22" t="s">
        <v>1750</v>
      </c>
      <c r="H1688" s="24" t="s">
        <v>59</v>
      </c>
      <c r="I1688" s="24" t="s">
        <v>59</v>
      </c>
      <c r="J1688" s="24" t="s">
        <v>60</v>
      </c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">
        <v>55.0</v>
      </c>
      <c r="B1689" s="35" t="str">
        <f t="array" ref="B1689">INDEX('Báo cáo 75 trang đích'!$B$2:$B$76,$A1689)</f>
        <v>https://techcombank.com/thong-tin/blog/mo-tai-khoan-ho-kinh-doanh</v>
      </c>
      <c r="C1689" s="5" t="str">
        <f t="array" ref="C1689">INDEX('Báo cáo 75 trang đích'!$C$2:$C$76,$A1689)</f>
        <v>Merchant</v>
      </c>
      <c r="D1689" s="20" t="s">
        <v>102</v>
      </c>
      <c r="E1689" s="22" t="s">
        <v>1027</v>
      </c>
      <c r="F1689" s="22" t="s">
        <v>81</v>
      </c>
      <c r="G1689" s="22" t="s">
        <v>1750</v>
      </c>
      <c r="H1689" s="24" t="s">
        <v>59</v>
      </c>
      <c r="I1689" s="24" t="s">
        <v>59</v>
      </c>
      <c r="J1689" s="24" t="s">
        <v>60</v>
      </c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">
        <v>55.0</v>
      </c>
      <c r="B1690" s="35" t="str">
        <f t="array" ref="B1690">INDEX('Báo cáo 75 trang đích'!$B$2:$B$76,$A1690)</f>
        <v>https://techcombank.com/thong-tin/blog/mo-tai-khoan-ho-kinh-doanh</v>
      </c>
      <c r="C1690" s="5" t="str">
        <f t="array" ref="C1690">INDEX('Báo cáo 75 trang đích'!$C$2:$C$76,$A1690)</f>
        <v>Merchant</v>
      </c>
      <c r="D1690" s="20" t="s">
        <v>86</v>
      </c>
      <c r="E1690" s="22" t="s">
        <v>1030</v>
      </c>
      <c r="F1690" s="22" t="s">
        <v>81</v>
      </c>
      <c r="G1690" s="22" t="s">
        <v>1750</v>
      </c>
      <c r="H1690" s="24" t="s">
        <v>59</v>
      </c>
      <c r="I1690" s="24" t="s">
        <v>59</v>
      </c>
      <c r="J1690" s="24" t="s">
        <v>60</v>
      </c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">
        <v>55.0</v>
      </c>
      <c r="B1691" s="35" t="str">
        <f t="array" ref="B1691">INDEX('Báo cáo 75 trang đích'!$B$2:$B$76,$A1691)</f>
        <v>https://techcombank.com/thong-tin/blog/mo-tai-khoan-ho-kinh-doanh</v>
      </c>
      <c r="C1691" s="5" t="str">
        <f t="array" ref="C1691">INDEX('Báo cáo 75 trang đích'!$C$2:$C$76,$A1691)</f>
        <v>Merchant</v>
      </c>
      <c r="D1691" s="20" t="s">
        <v>1671</v>
      </c>
      <c r="E1691" s="22" t="s">
        <v>332</v>
      </c>
      <c r="F1691" s="22" t="s">
        <v>81</v>
      </c>
      <c r="G1691" s="22" t="s">
        <v>1750</v>
      </c>
      <c r="H1691" s="24" t="s">
        <v>59</v>
      </c>
      <c r="I1691" s="24" t="s">
        <v>59</v>
      </c>
      <c r="J1691" s="24" t="s">
        <v>60</v>
      </c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">
        <v>55.0</v>
      </c>
      <c r="B1692" s="35" t="str">
        <f t="array" ref="B1692">INDEX('Báo cáo 75 trang đích'!$B$2:$B$76,$A1692)</f>
        <v>https://techcombank.com/thong-tin/blog/mo-tai-khoan-ho-kinh-doanh</v>
      </c>
      <c r="C1692" s="5" t="str">
        <f t="array" ref="C1692">INDEX('Báo cáo 75 trang đích'!$C$2:$C$76,$A1692)</f>
        <v>Merchant</v>
      </c>
      <c r="D1692" s="20" t="s">
        <v>105</v>
      </c>
      <c r="E1692" s="22" t="s">
        <v>1027</v>
      </c>
      <c r="F1692" s="22" t="s">
        <v>81</v>
      </c>
      <c r="G1692" s="22" t="s">
        <v>1750</v>
      </c>
      <c r="H1692" s="24" t="s">
        <v>59</v>
      </c>
      <c r="I1692" s="24" t="s">
        <v>59</v>
      </c>
      <c r="J1692" s="24" t="s">
        <v>60</v>
      </c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">
        <v>55.0</v>
      </c>
      <c r="B1693" s="35" t="str">
        <f t="array" ref="B1693">INDEX('Báo cáo 75 trang đích'!$B$2:$B$76,$A1693)</f>
        <v>https://techcombank.com/thong-tin/blog/mo-tai-khoan-ho-kinh-doanh</v>
      </c>
      <c r="C1693" s="5" t="str">
        <f t="array" ref="C1693">INDEX('Báo cáo 75 trang đích'!$C$2:$C$76,$A1693)</f>
        <v>Merchant</v>
      </c>
      <c r="D1693" s="20" t="s">
        <v>106</v>
      </c>
      <c r="E1693" s="22" t="s">
        <v>1030</v>
      </c>
      <c r="F1693" s="22" t="s">
        <v>81</v>
      </c>
      <c r="G1693" s="22" t="s">
        <v>1750</v>
      </c>
      <c r="H1693" s="24" t="s">
        <v>59</v>
      </c>
      <c r="I1693" s="24" t="s">
        <v>59</v>
      </c>
      <c r="J1693" s="24" t="s">
        <v>60</v>
      </c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">
        <v>55.0</v>
      </c>
      <c r="B1694" s="35" t="str">
        <f t="array" ref="B1694">INDEX('Báo cáo 75 trang đích'!$B$2:$B$76,$A1694)</f>
        <v>https://techcombank.com/thong-tin/blog/mo-tai-khoan-ho-kinh-doanh</v>
      </c>
      <c r="C1694" s="5" t="str">
        <f t="array" ref="C1694">INDEX('Báo cáo 75 trang đích'!$C$2:$C$76,$A1694)</f>
        <v>Merchant</v>
      </c>
      <c r="D1694" s="20" t="s">
        <v>1759</v>
      </c>
      <c r="E1694" s="22" t="s">
        <v>332</v>
      </c>
      <c r="F1694" s="22" t="s">
        <v>81</v>
      </c>
      <c r="G1694" s="22" t="s">
        <v>1750</v>
      </c>
      <c r="H1694" s="24" t="s">
        <v>59</v>
      </c>
      <c r="I1694" s="24" t="s">
        <v>59</v>
      </c>
      <c r="J1694" s="24" t="s">
        <v>60</v>
      </c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">
        <v>55.0</v>
      </c>
      <c r="B1695" s="35" t="str">
        <f t="array" ref="B1695">INDEX('Báo cáo 75 trang đích'!$B$2:$B$76,$A1695)</f>
        <v>https://techcombank.com/thong-tin/blog/mo-tai-khoan-ho-kinh-doanh</v>
      </c>
      <c r="C1695" s="5" t="str">
        <f t="array" ref="C1695">INDEX('Báo cáo 75 trang đích'!$C$2:$C$76,$A1695)</f>
        <v>Merchant</v>
      </c>
      <c r="D1695" s="20" t="s">
        <v>1760</v>
      </c>
      <c r="E1695" s="22" t="s">
        <v>1027</v>
      </c>
      <c r="F1695" s="22" t="s">
        <v>81</v>
      </c>
      <c r="G1695" s="22" t="s">
        <v>1750</v>
      </c>
      <c r="H1695" s="24" t="s">
        <v>59</v>
      </c>
      <c r="I1695" s="24" t="s">
        <v>59</v>
      </c>
      <c r="J1695" s="24" t="s">
        <v>60</v>
      </c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">
        <v>55.0</v>
      </c>
      <c r="B1696" s="35" t="str">
        <f t="array" ref="B1696">INDEX('Báo cáo 75 trang đích'!$B$2:$B$76,$A1696)</f>
        <v>https://techcombank.com/thong-tin/blog/mo-tai-khoan-ho-kinh-doanh</v>
      </c>
      <c r="C1696" s="5" t="str">
        <f t="array" ref="C1696">INDEX('Báo cáo 75 trang đích'!$C$2:$C$76,$A1696)</f>
        <v>Merchant</v>
      </c>
      <c r="D1696" s="20" t="s">
        <v>239</v>
      </c>
      <c r="E1696" s="22" t="s">
        <v>1030</v>
      </c>
      <c r="F1696" s="22" t="s">
        <v>81</v>
      </c>
      <c r="G1696" s="22" t="s">
        <v>1750</v>
      </c>
      <c r="H1696" s="24" t="s">
        <v>59</v>
      </c>
      <c r="I1696" s="24" t="s">
        <v>59</v>
      </c>
      <c r="J1696" s="24" t="s">
        <v>60</v>
      </c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">
        <v>55.0</v>
      </c>
      <c r="B1697" s="35" t="str">
        <f t="array" ref="B1697">INDEX('Báo cáo 75 trang đích'!$B$2:$B$76,$A1697)</f>
        <v>https://techcombank.com/thong-tin/blog/mo-tai-khoan-ho-kinh-doanh</v>
      </c>
      <c r="C1697" s="5" t="str">
        <f t="array" ref="C1697">INDEX('Báo cáo 75 trang đích'!$C$2:$C$76,$A1697)</f>
        <v>Merchant</v>
      </c>
      <c r="D1697" s="20" t="s">
        <v>1761</v>
      </c>
      <c r="E1697" s="22" t="s">
        <v>332</v>
      </c>
      <c r="F1697" s="22" t="s">
        <v>81</v>
      </c>
      <c r="G1697" s="22" t="s">
        <v>1750</v>
      </c>
      <c r="H1697" s="24" t="s">
        <v>59</v>
      </c>
      <c r="I1697" s="24" t="s">
        <v>59</v>
      </c>
      <c r="J1697" s="24" t="s">
        <v>60</v>
      </c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">
        <v>55.0</v>
      </c>
      <c r="B1698" s="35" t="str">
        <f t="array" ref="B1698">INDEX('Báo cáo 75 trang đích'!$B$2:$B$76,$A1698)</f>
        <v>https://techcombank.com/thong-tin/blog/mo-tai-khoan-ho-kinh-doanh</v>
      </c>
      <c r="C1698" s="5" t="str">
        <f t="array" ref="C1698">INDEX('Báo cáo 75 trang đích'!$C$2:$C$76,$A1698)</f>
        <v>Merchant</v>
      </c>
      <c r="D1698" s="20" t="s">
        <v>1762</v>
      </c>
      <c r="E1698" s="22" t="s">
        <v>1027</v>
      </c>
      <c r="F1698" s="22" t="s">
        <v>81</v>
      </c>
      <c r="G1698" s="22" t="s">
        <v>1750</v>
      </c>
      <c r="H1698" s="24" t="s">
        <v>59</v>
      </c>
      <c r="I1698" s="24" t="s">
        <v>59</v>
      </c>
      <c r="J1698" s="24" t="s">
        <v>60</v>
      </c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">
        <v>55.0</v>
      </c>
      <c r="B1699" s="35" t="str">
        <f t="array" ref="B1699">INDEX('Báo cáo 75 trang đích'!$B$2:$B$76,$A1699)</f>
        <v>https://techcombank.com/thong-tin/blog/mo-tai-khoan-ho-kinh-doanh</v>
      </c>
      <c r="C1699" s="5" t="str">
        <f t="array" ref="C1699">INDEX('Báo cáo 75 trang đích'!$C$2:$C$76,$A1699)</f>
        <v>Merchant</v>
      </c>
      <c r="D1699" s="20" t="s">
        <v>250</v>
      </c>
      <c r="E1699" s="22" t="s">
        <v>1030</v>
      </c>
      <c r="F1699" s="22" t="s">
        <v>81</v>
      </c>
      <c r="G1699" s="22" t="s">
        <v>1750</v>
      </c>
      <c r="H1699" s="24" t="s">
        <v>59</v>
      </c>
      <c r="I1699" s="24" t="s">
        <v>59</v>
      </c>
      <c r="J1699" s="24" t="s">
        <v>60</v>
      </c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">
        <v>55.0</v>
      </c>
      <c r="B1700" s="35" t="str">
        <f t="array" ref="B1700">INDEX('Báo cáo 75 trang đích'!$B$2:$B$76,$A1700)</f>
        <v>https://techcombank.com/thong-tin/blog/mo-tai-khoan-ho-kinh-doanh</v>
      </c>
      <c r="C1700" s="5" t="str">
        <f t="array" ref="C1700">INDEX('Báo cáo 75 trang đích'!$C$2:$C$76,$A1700)</f>
        <v>Merchant</v>
      </c>
      <c r="D1700" s="20" t="s">
        <v>1383</v>
      </c>
      <c r="E1700" s="22" t="s">
        <v>332</v>
      </c>
      <c r="F1700" s="22" t="s">
        <v>81</v>
      </c>
      <c r="G1700" s="22" t="s">
        <v>1750</v>
      </c>
      <c r="H1700" s="24" t="s">
        <v>59</v>
      </c>
      <c r="I1700" s="24" t="s">
        <v>59</v>
      </c>
      <c r="J1700" s="24" t="s">
        <v>60</v>
      </c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">
        <v>55.0</v>
      </c>
      <c r="B1701" s="35" t="str">
        <f t="array" ref="B1701">INDEX('Báo cáo 75 trang đích'!$B$2:$B$76,$A1701)</f>
        <v>https://techcombank.com/thong-tin/blog/mo-tai-khoan-ho-kinh-doanh</v>
      </c>
      <c r="C1701" s="5" t="str">
        <f t="array" ref="C1701">INDEX('Báo cáo 75 trang đích'!$C$2:$C$76,$A1701)</f>
        <v>Merchant</v>
      </c>
      <c r="D1701" s="20" t="s">
        <v>1763</v>
      </c>
      <c r="E1701" s="22" t="s">
        <v>1027</v>
      </c>
      <c r="F1701" s="22" t="s">
        <v>81</v>
      </c>
      <c r="G1701" s="22" t="s">
        <v>1750</v>
      </c>
      <c r="H1701" s="24" t="s">
        <v>59</v>
      </c>
      <c r="I1701" s="24" t="s">
        <v>59</v>
      </c>
      <c r="J1701" s="24" t="s">
        <v>60</v>
      </c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">
        <v>55.0</v>
      </c>
      <c r="B1702" s="35" t="str">
        <f t="array" ref="B1702">INDEX('Báo cáo 75 trang đích'!$B$2:$B$76,$A1702)</f>
        <v>https://techcombank.com/thong-tin/blog/mo-tai-khoan-ho-kinh-doanh</v>
      </c>
      <c r="C1702" s="5" t="str">
        <f t="array" ref="C1702">INDEX('Báo cáo 75 trang đích'!$C$2:$C$76,$A1702)</f>
        <v>Merchant</v>
      </c>
      <c r="D1702" s="20" t="s">
        <v>1371</v>
      </c>
      <c r="E1702" s="22" t="s">
        <v>1030</v>
      </c>
      <c r="F1702" s="22" t="s">
        <v>81</v>
      </c>
      <c r="G1702" s="22" t="s">
        <v>1750</v>
      </c>
      <c r="H1702" s="24" t="s">
        <v>59</v>
      </c>
      <c r="I1702" s="24" t="s">
        <v>59</v>
      </c>
      <c r="J1702" s="24" t="s">
        <v>60</v>
      </c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">
        <v>55.0</v>
      </c>
      <c r="B1703" s="35" t="str">
        <f t="array" ref="B1703">INDEX('Báo cáo 75 trang đích'!$B$2:$B$76,$A1703)</f>
        <v>https://techcombank.com/thong-tin/blog/mo-tai-khoan-ho-kinh-doanh</v>
      </c>
      <c r="C1703" s="5" t="str">
        <f t="array" ref="C1703">INDEX('Báo cáo 75 trang đích'!$C$2:$C$76,$A1703)</f>
        <v>Merchant</v>
      </c>
      <c r="D1703" s="20" t="s">
        <v>1764</v>
      </c>
      <c r="E1703" s="22" t="s">
        <v>332</v>
      </c>
      <c r="F1703" s="22" t="s">
        <v>81</v>
      </c>
      <c r="G1703" s="22" t="s">
        <v>1750</v>
      </c>
      <c r="H1703" s="24" t="s">
        <v>59</v>
      </c>
      <c r="I1703" s="24" t="s">
        <v>59</v>
      </c>
      <c r="J1703" s="24" t="s">
        <v>60</v>
      </c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">
        <v>55.0</v>
      </c>
      <c r="B1704" s="35" t="str">
        <f t="array" ref="B1704">INDEX('Báo cáo 75 trang đích'!$B$2:$B$76,$A1704)</f>
        <v>https://techcombank.com/thong-tin/blog/mo-tai-khoan-ho-kinh-doanh</v>
      </c>
      <c r="C1704" s="5" t="str">
        <f t="array" ref="C1704">INDEX('Báo cáo 75 trang đích'!$C$2:$C$76,$A1704)</f>
        <v>Merchant</v>
      </c>
      <c r="D1704" s="20" t="s">
        <v>1534</v>
      </c>
      <c r="E1704" s="22" t="s">
        <v>1027</v>
      </c>
      <c r="F1704" s="22" t="s">
        <v>81</v>
      </c>
      <c r="G1704" s="22" t="s">
        <v>1750</v>
      </c>
      <c r="H1704" s="24" t="s">
        <v>59</v>
      </c>
      <c r="I1704" s="24" t="s">
        <v>59</v>
      </c>
      <c r="J1704" s="24" t="s">
        <v>60</v>
      </c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">
        <v>55.0</v>
      </c>
      <c r="B1705" s="35" t="str">
        <f t="array" ref="B1705">INDEX('Báo cáo 75 trang đích'!$B$2:$B$76,$A1705)</f>
        <v>https://techcombank.com/thong-tin/blog/mo-tai-khoan-ho-kinh-doanh</v>
      </c>
      <c r="C1705" s="5" t="str">
        <f t="array" ref="C1705">INDEX('Báo cáo 75 trang đích'!$C$2:$C$76,$A1705)</f>
        <v>Merchant</v>
      </c>
      <c r="D1705" s="20" t="s">
        <v>323</v>
      </c>
      <c r="E1705" s="22" t="s">
        <v>1030</v>
      </c>
      <c r="F1705" s="22" t="s">
        <v>81</v>
      </c>
      <c r="G1705" s="22" t="s">
        <v>1750</v>
      </c>
      <c r="H1705" s="24" t="s">
        <v>59</v>
      </c>
      <c r="I1705" s="24" t="s">
        <v>59</v>
      </c>
      <c r="J1705" s="24" t="s">
        <v>60</v>
      </c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">
        <v>55.0</v>
      </c>
      <c r="B1706" s="35" t="str">
        <f t="array" ref="B1706">INDEX('Báo cáo 75 trang đích'!$B$2:$B$76,$A1706)</f>
        <v>https://techcombank.com/thong-tin/blog/mo-tai-khoan-ho-kinh-doanh</v>
      </c>
      <c r="C1706" s="5" t="str">
        <f t="array" ref="C1706">INDEX('Báo cáo 75 trang đích'!$C$2:$C$76,$A1706)</f>
        <v>Merchant</v>
      </c>
      <c r="D1706" s="20" t="s">
        <v>252</v>
      </c>
      <c r="E1706" s="22" t="s">
        <v>332</v>
      </c>
      <c r="F1706" s="22" t="s">
        <v>81</v>
      </c>
      <c r="G1706" s="22" t="s">
        <v>1750</v>
      </c>
      <c r="H1706" s="24" t="s">
        <v>59</v>
      </c>
      <c r="I1706" s="24" t="s">
        <v>59</v>
      </c>
      <c r="J1706" s="24" t="s">
        <v>60</v>
      </c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">
        <v>55.0</v>
      </c>
      <c r="B1707" s="35" t="str">
        <f t="array" ref="B1707">INDEX('Báo cáo 75 trang đích'!$B$2:$B$76,$A1707)</f>
        <v>https://techcombank.com/thong-tin/blog/mo-tai-khoan-ho-kinh-doanh</v>
      </c>
      <c r="C1707" s="5" t="str">
        <f t="array" ref="C1707">INDEX('Báo cáo 75 trang đích'!$C$2:$C$76,$A1707)</f>
        <v>Merchant</v>
      </c>
      <c r="D1707" s="20" t="s">
        <v>1766</v>
      </c>
      <c r="E1707" s="22" t="s">
        <v>1027</v>
      </c>
      <c r="F1707" s="22" t="s">
        <v>81</v>
      </c>
      <c r="G1707" s="22" t="s">
        <v>1750</v>
      </c>
      <c r="H1707" s="24" t="s">
        <v>59</v>
      </c>
      <c r="I1707" s="24" t="s">
        <v>59</v>
      </c>
      <c r="J1707" s="24" t="s">
        <v>60</v>
      </c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">
        <v>55.0</v>
      </c>
      <c r="B1708" s="35" t="str">
        <f t="array" ref="B1708">INDEX('Báo cáo 75 trang đích'!$B$2:$B$76,$A1708)</f>
        <v>https://techcombank.com/thong-tin/blog/mo-tai-khoan-ho-kinh-doanh</v>
      </c>
      <c r="C1708" s="5" t="str">
        <f t="array" ref="C1708">INDEX('Báo cáo 75 trang đích'!$C$2:$C$76,$A1708)</f>
        <v>Merchant</v>
      </c>
      <c r="D1708" s="20" t="s">
        <v>114</v>
      </c>
      <c r="E1708" s="22" t="s">
        <v>1030</v>
      </c>
      <c r="F1708" s="22" t="s">
        <v>81</v>
      </c>
      <c r="G1708" s="22" t="s">
        <v>1750</v>
      </c>
      <c r="H1708" s="24" t="s">
        <v>59</v>
      </c>
      <c r="I1708" s="24" t="s">
        <v>59</v>
      </c>
      <c r="J1708" s="24" t="s">
        <v>60</v>
      </c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">
        <v>55.0</v>
      </c>
      <c r="B1709" s="35" t="str">
        <f t="array" ref="B1709">INDEX('Báo cáo 75 trang đích'!$B$2:$B$76,$A1709)</f>
        <v>https://techcombank.com/thong-tin/blog/mo-tai-khoan-ho-kinh-doanh</v>
      </c>
      <c r="C1709" s="5" t="str">
        <f t="array" ref="C1709">INDEX('Báo cáo 75 trang đích'!$C$2:$C$76,$A1709)</f>
        <v>Merchant</v>
      </c>
      <c r="D1709" s="20" t="s">
        <v>1674</v>
      </c>
      <c r="E1709" s="22" t="s">
        <v>332</v>
      </c>
      <c r="F1709" s="22" t="s">
        <v>81</v>
      </c>
      <c r="G1709" s="22" t="s">
        <v>1750</v>
      </c>
      <c r="H1709" s="24" t="s">
        <v>59</v>
      </c>
      <c r="I1709" s="24" t="s">
        <v>59</v>
      </c>
      <c r="J1709" s="24" t="s">
        <v>60</v>
      </c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">
        <v>55.0</v>
      </c>
      <c r="B1710" s="35" t="str">
        <f t="array" ref="B1710">INDEX('Báo cáo 75 trang đích'!$B$2:$B$76,$A1710)</f>
        <v>https://techcombank.com/thong-tin/blog/mo-tai-khoan-ho-kinh-doanh</v>
      </c>
      <c r="C1710" s="5" t="str">
        <f t="array" ref="C1710">INDEX('Báo cáo 75 trang đích'!$C$2:$C$76,$A1710)</f>
        <v>Merchant</v>
      </c>
      <c r="D1710" s="20" t="s">
        <v>115</v>
      </c>
      <c r="E1710" s="22" t="s">
        <v>1027</v>
      </c>
      <c r="F1710" s="22" t="s">
        <v>81</v>
      </c>
      <c r="G1710" s="22" t="s">
        <v>1750</v>
      </c>
      <c r="H1710" s="24" t="s">
        <v>59</v>
      </c>
      <c r="I1710" s="24" t="s">
        <v>59</v>
      </c>
      <c r="J1710" s="24" t="s">
        <v>60</v>
      </c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">
        <v>55.0</v>
      </c>
      <c r="B1711" s="35" t="str">
        <f t="array" ref="B1711">INDEX('Báo cáo 75 trang đích'!$B$2:$B$76,$A1711)</f>
        <v>https://techcombank.com/thong-tin/blog/mo-tai-khoan-ho-kinh-doanh</v>
      </c>
      <c r="C1711" s="5" t="str">
        <f t="array" ref="C1711">INDEX('Báo cáo 75 trang đích'!$C$2:$C$76,$A1711)</f>
        <v>Merchant</v>
      </c>
      <c r="D1711" s="20" t="s">
        <v>258</v>
      </c>
      <c r="E1711" s="22" t="s">
        <v>1030</v>
      </c>
      <c r="F1711" s="22" t="s">
        <v>81</v>
      </c>
      <c r="G1711" s="22" t="s">
        <v>1750</v>
      </c>
      <c r="H1711" s="24" t="s">
        <v>59</v>
      </c>
      <c r="I1711" s="24" t="s">
        <v>59</v>
      </c>
      <c r="J1711" s="24" t="s">
        <v>60</v>
      </c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">
        <v>55.0</v>
      </c>
      <c r="B1712" s="35" t="str">
        <f t="array" ref="B1712">INDEX('Báo cáo 75 trang đích'!$B$2:$B$76,$A1712)</f>
        <v>https://techcombank.com/thong-tin/blog/mo-tai-khoan-ho-kinh-doanh</v>
      </c>
      <c r="C1712" s="5" t="str">
        <f t="array" ref="C1712">INDEX('Báo cáo 75 trang đích'!$C$2:$C$76,$A1712)</f>
        <v>Merchant</v>
      </c>
      <c r="D1712" s="20" t="s">
        <v>989</v>
      </c>
      <c r="E1712" s="22" t="s">
        <v>332</v>
      </c>
      <c r="F1712" s="22" t="s">
        <v>81</v>
      </c>
      <c r="G1712" s="22" t="s">
        <v>1750</v>
      </c>
      <c r="H1712" s="24" t="s">
        <v>59</v>
      </c>
      <c r="I1712" s="24" t="s">
        <v>59</v>
      </c>
      <c r="J1712" s="24" t="s">
        <v>60</v>
      </c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">
        <v>55.0</v>
      </c>
      <c r="B1713" s="35" t="str">
        <f t="array" ref="B1713">INDEX('Báo cáo 75 trang đích'!$B$2:$B$76,$A1713)</f>
        <v>https://techcombank.com/thong-tin/blog/mo-tai-khoan-ho-kinh-doanh</v>
      </c>
      <c r="C1713" s="5" t="str">
        <f t="array" ref="C1713">INDEX('Báo cáo 75 trang đích'!$C$2:$C$76,$A1713)</f>
        <v>Merchant</v>
      </c>
      <c r="D1713" s="20" t="s">
        <v>153</v>
      </c>
      <c r="E1713" s="22" t="s">
        <v>1027</v>
      </c>
      <c r="F1713" s="22" t="s">
        <v>81</v>
      </c>
      <c r="G1713" s="22" t="s">
        <v>1750</v>
      </c>
      <c r="H1713" s="24" t="s">
        <v>59</v>
      </c>
      <c r="I1713" s="24" t="s">
        <v>59</v>
      </c>
      <c r="J1713" s="24" t="s">
        <v>60</v>
      </c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">
        <v>55.0</v>
      </c>
      <c r="B1714" s="35" t="str">
        <f t="array" ref="B1714">INDEX('Báo cáo 75 trang đích'!$B$2:$B$76,$A1714)</f>
        <v>https://techcombank.com/thong-tin/blog/mo-tai-khoan-ho-kinh-doanh</v>
      </c>
      <c r="C1714" s="5" t="str">
        <f t="array" ref="C1714">INDEX('Báo cáo 75 trang đích'!$C$2:$C$76,$A1714)</f>
        <v>Merchant</v>
      </c>
      <c r="D1714" s="20" t="s">
        <v>1767</v>
      </c>
      <c r="E1714" s="22" t="s">
        <v>1030</v>
      </c>
      <c r="F1714" s="22" t="s">
        <v>81</v>
      </c>
      <c r="G1714" s="22" t="s">
        <v>1750</v>
      </c>
      <c r="H1714" s="24" t="s">
        <v>59</v>
      </c>
      <c r="I1714" s="24" t="s">
        <v>59</v>
      </c>
      <c r="J1714" s="24" t="s">
        <v>60</v>
      </c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">
        <v>55.0</v>
      </c>
      <c r="B1715" s="35" t="str">
        <f t="array" ref="B1715">INDEX('Báo cáo 75 trang đích'!$B$2:$B$76,$A1715)</f>
        <v>https://techcombank.com/thong-tin/blog/mo-tai-khoan-ho-kinh-doanh</v>
      </c>
      <c r="C1715" s="5" t="str">
        <f t="array" ref="C1715">INDEX('Báo cáo 75 trang đích'!$C$2:$C$76,$A1715)</f>
        <v>Merchant</v>
      </c>
      <c r="D1715" s="20" t="s">
        <v>264</v>
      </c>
      <c r="E1715" s="22" t="s">
        <v>332</v>
      </c>
      <c r="F1715" s="22" t="s">
        <v>81</v>
      </c>
      <c r="G1715" s="22" t="s">
        <v>1750</v>
      </c>
      <c r="H1715" s="24" t="s">
        <v>59</v>
      </c>
      <c r="I1715" s="24" t="s">
        <v>59</v>
      </c>
      <c r="J1715" s="24" t="s">
        <v>60</v>
      </c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">
        <v>55.0</v>
      </c>
      <c r="B1716" s="35" t="str">
        <f t="array" ref="B1716">INDEX('Báo cáo 75 trang đích'!$B$2:$B$76,$A1716)</f>
        <v>https://techcombank.com/thong-tin/blog/mo-tai-khoan-ho-kinh-doanh</v>
      </c>
      <c r="C1716" s="5" t="str">
        <f t="array" ref="C1716">INDEX('Báo cáo 75 trang đích'!$C$2:$C$76,$A1716)</f>
        <v>Merchant</v>
      </c>
      <c r="D1716" s="20" t="s">
        <v>307</v>
      </c>
      <c r="E1716" s="22" t="s">
        <v>1027</v>
      </c>
      <c r="F1716" s="22" t="s">
        <v>81</v>
      </c>
      <c r="G1716" s="22" t="s">
        <v>1750</v>
      </c>
      <c r="H1716" s="24" t="s">
        <v>59</v>
      </c>
      <c r="I1716" s="24" t="s">
        <v>59</v>
      </c>
      <c r="J1716" s="24" t="s">
        <v>60</v>
      </c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">
        <v>55.0</v>
      </c>
      <c r="B1717" s="35" t="str">
        <f t="array" ref="B1717">INDEX('Báo cáo 75 trang đích'!$B$2:$B$76,$A1717)</f>
        <v>https://techcombank.com/thong-tin/blog/mo-tai-khoan-ho-kinh-doanh</v>
      </c>
      <c r="C1717" s="5" t="str">
        <f t="array" ref="C1717">INDEX('Báo cáo 75 trang đích'!$C$2:$C$76,$A1717)</f>
        <v>Merchant</v>
      </c>
      <c r="D1717" s="20" t="s">
        <v>197</v>
      </c>
      <c r="E1717" s="22" t="s">
        <v>1030</v>
      </c>
      <c r="F1717" s="22" t="s">
        <v>81</v>
      </c>
      <c r="G1717" s="22" t="s">
        <v>1750</v>
      </c>
      <c r="H1717" s="24" t="s">
        <v>59</v>
      </c>
      <c r="I1717" s="24" t="s">
        <v>59</v>
      </c>
      <c r="J1717" s="24" t="s">
        <v>60</v>
      </c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">
        <v>55.0</v>
      </c>
      <c r="B1718" s="35" t="str">
        <f t="array" ref="B1718">INDEX('Báo cáo 75 trang đích'!$B$2:$B$76,$A1718)</f>
        <v>https://techcombank.com/thong-tin/blog/mo-tai-khoan-ho-kinh-doanh</v>
      </c>
      <c r="C1718" s="5" t="str">
        <f t="array" ref="C1718">INDEX('Báo cáo 75 trang đích'!$C$2:$C$76,$A1718)</f>
        <v>Merchant</v>
      </c>
      <c r="D1718" s="20" t="s">
        <v>266</v>
      </c>
      <c r="E1718" s="22" t="s">
        <v>332</v>
      </c>
      <c r="F1718" s="22" t="s">
        <v>81</v>
      </c>
      <c r="G1718" s="22" t="s">
        <v>1750</v>
      </c>
      <c r="H1718" s="24" t="s">
        <v>59</v>
      </c>
      <c r="I1718" s="24" t="s">
        <v>59</v>
      </c>
      <c r="J1718" s="24" t="s">
        <v>60</v>
      </c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">
        <v>55.0</v>
      </c>
      <c r="B1719" s="35" t="str">
        <f t="array" ref="B1719">INDEX('Báo cáo 75 trang đích'!$B$2:$B$76,$A1719)</f>
        <v>https://techcombank.com/thong-tin/blog/mo-tai-khoan-ho-kinh-doanh</v>
      </c>
      <c r="C1719" s="5" t="str">
        <f t="array" ref="C1719">INDEX('Báo cáo 75 trang đích'!$C$2:$C$76,$A1719)</f>
        <v>Merchant</v>
      </c>
      <c r="D1719" s="20" t="s">
        <v>1768</v>
      </c>
      <c r="E1719" s="22" t="s">
        <v>1027</v>
      </c>
      <c r="F1719" s="22" t="s">
        <v>81</v>
      </c>
      <c r="G1719" s="22" t="s">
        <v>1750</v>
      </c>
      <c r="H1719" s="24" t="s">
        <v>59</v>
      </c>
      <c r="I1719" s="24" t="s">
        <v>59</v>
      </c>
      <c r="J1719" s="24" t="s">
        <v>60</v>
      </c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">
        <v>55.0</v>
      </c>
      <c r="B1720" s="35" t="str">
        <f t="array" ref="B1720">INDEX('Báo cáo 75 trang đích'!$B$2:$B$76,$A1720)</f>
        <v>https://techcombank.com/thong-tin/blog/mo-tai-khoan-ho-kinh-doanh</v>
      </c>
      <c r="C1720" s="5" t="str">
        <f t="array" ref="C1720">INDEX('Báo cáo 75 trang đích'!$C$2:$C$76,$A1720)</f>
        <v>Merchant</v>
      </c>
      <c r="D1720" s="20" t="s">
        <v>1769</v>
      </c>
      <c r="E1720" s="22" t="s">
        <v>1030</v>
      </c>
      <c r="F1720" s="22" t="s">
        <v>81</v>
      </c>
      <c r="G1720" s="22" t="s">
        <v>1750</v>
      </c>
      <c r="H1720" s="24" t="s">
        <v>59</v>
      </c>
      <c r="I1720" s="24" t="s">
        <v>59</v>
      </c>
      <c r="J1720" s="24" t="s">
        <v>60</v>
      </c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">
        <v>55.0</v>
      </c>
      <c r="B1721" s="35" t="str">
        <f t="array" ref="B1721">INDEX('Báo cáo 75 trang đích'!$B$2:$B$76,$A1721)</f>
        <v>https://techcombank.com/thong-tin/blog/mo-tai-khoan-ho-kinh-doanh</v>
      </c>
      <c r="C1721" s="5" t="str">
        <f t="array" ref="C1721">INDEX('Báo cáo 75 trang đích'!$C$2:$C$76,$A1721)</f>
        <v>Merchant</v>
      </c>
      <c r="D1721" s="20" t="s">
        <v>614</v>
      </c>
      <c r="E1721" s="22" t="s">
        <v>332</v>
      </c>
      <c r="F1721" s="22" t="s">
        <v>81</v>
      </c>
      <c r="G1721" s="22" t="s">
        <v>1750</v>
      </c>
      <c r="H1721" s="24" t="s">
        <v>59</v>
      </c>
      <c r="I1721" s="24" t="s">
        <v>59</v>
      </c>
      <c r="J1721" s="24" t="s">
        <v>60</v>
      </c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">
        <v>55.0</v>
      </c>
      <c r="B1722" s="35" t="str">
        <f t="array" ref="B1722">INDEX('Báo cáo 75 trang đích'!$B$2:$B$76,$A1722)</f>
        <v>https://techcombank.com/thong-tin/blog/mo-tai-khoan-ho-kinh-doanh</v>
      </c>
      <c r="C1722" s="5" t="str">
        <f t="array" ref="C1722">INDEX('Báo cáo 75 trang đích'!$C$2:$C$76,$A1722)</f>
        <v>Merchant</v>
      </c>
      <c r="D1722" s="20" t="s">
        <v>1770</v>
      </c>
      <c r="E1722" s="22" t="s">
        <v>1027</v>
      </c>
      <c r="F1722" s="22" t="s">
        <v>81</v>
      </c>
      <c r="G1722" s="22" t="s">
        <v>1750</v>
      </c>
      <c r="H1722" s="24" t="s">
        <v>59</v>
      </c>
      <c r="I1722" s="24" t="s">
        <v>59</v>
      </c>
      <c r="J1722" s="24" t="s">
        <v>60</v>
      </c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">
        <v>55.0</v>
      </c>
      <c r="B1723" s="35" t="str">
        <f t="array" ref="B1723">INDEX('Báo cáo 75 trang đích'!$B$2:$B$76,$A1723)</f>
        <v>https://techcombank.com/thong-tin/blog/mo-tai-khoan-ho-kinh-doanh</v>
      </c>
      <c r="C1723" s="5" t="str">
        <f t="array" ref="C1723">INDEX('Báo cáo 75 trang đích'!$C$2:$C$76,$A1723)</f>
        <v>Merchant</v>
      </c>
      <c r="D1723" s="20" t="s">
        <v>268</v>
      </c>
      <c r="E1723" s="22" t="s">
        <v>1030</v>
      </c>
      <c r="F1723" s="22" t="s">
        <v>81</v>
      </c>
      <c r="G1723" s="22" t="s">
        <v>1750</v>
      </c>
      <c r="H1723" s="24" t="s">
        <v>59</v>
      </c>
      <c r="I1723" s="24" t="s">
        <v>59</v>
      </c>
      <c r="J1723" s="24" t="s">
        <v>60</v>
      </c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">
        <v>55.0</v>
      </c>
      <c r="B1724" s="35" t="str">
        <f t="array" ref="B1724">INDEX('Báo cáo 75 trang đích'!$B$2:$B$76,$A1724)</f>
        <v>https://techcombank.com/thong-tin/blog/mo-tai-khoan-ho-kinh-doanh</v>
      </c>
      <c r="C1724" s="5" t="str">
        <f t="array" ref="C1724">INDEX('Báo cáo 75 trang đích'!$C$2:$C$76,$A1724)</f>
        <v>Merchant</v>
      </c>
      <c r="D1724" s="20" t="s">
        <v>1395</v>
      </c>
      <c r="E1724" s="22" t="s">
        <v>332</v>
      </c>
      <c r="F1724" s="22" t="s">
        <v>81</v>
      </c>
      <c r="G1724" s="22" t="s">
        <v>1750</v>
      </c>
      <c r="H1724" s="24" t="s">
        <v>59</v>
      </c>
      <c r="I1724" s="24" t="s">
        <v>59</v>
      </c>
      <c r="J1724" s="24" t="s">
        <v>60</v>
      </c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">
        <v>56.0</v>
      </c>
      <c r="B1725" s="35" t="str">
        <f t="array" ref="B1725">INDEX('Báo cáo 75 trang đích'!$B$2:$B$76,$A1725)</f>
        <v>https://techcombank.com/thong-tin/blog/cach-tinh-thue-ho-kinh-doanh-nho-le</v>
      </c>
      <c r="C1725" s="5" t="str">
        <f t="array" ref="C1725">INDEX('Báo cáo 75 trang đích'!$C$2:$C$76,$A1725)</f>
        <v>Merchant</v>
      </c>
      <c r="D1725" s="20" t="s">
        <v>114</v>
      </c>
      <c r="E1725" s="22" t="s">
        <v>335</v>
      </c>
      <c r="F1725" s="22" t="s">
        <v>57</v>
      </c>
      <c r="G1725" s="22" t="s">
        <v>1798</v>
      </c>
      <c r="H1725" s="24" t="s">
        <v>59</v>
      </c>
      <c r="I1725" s="24" t="s">
        <v>59</v>
      </c>
      <c r="J1725" s="24" t="s">
        <v>60</v>
      </c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">
        <v>56.0</v>
      </c>
      <c r="B1726" s="35" t="str">
        <f t="array" ref="B1726">INDEX('Báo cáo 75 trang đích'!$B$2:$B$76,$A1726)</f>
        <v>https://techcombank.com/thong-tin/blog/cach-tinh-thue-ho-kinh-doanh-nho-le</v>
      </c>
      <c r="C1726" s="5" t="str">
        <f t="array" ref="C1726">INDEX('Báo cáo 75 trang đích'!$C$2:$C$76,$A1726)</f>
        <v>Merchant</v>
      </c>
      <c r="D1726" s="20" t="s">
        <v>106</v>
      </c>
      <c r="E1726" s="22" t="s">
        <v>1039</v>
      </c>
      <c r="F1726" s="22" t="s">
        <v>57</v>
      </c>
      <c r="G1726" s="22" t="s">
        <v>1799</v>
      </c>
      <c r="H1726" s="24" t="s">
        <v>59</v>
      </c>
      <c r="I1726" s="24" t="s">
        <v>59</v>
      </c>
      <c r="J1726" s="24" t="s">
        <v>60</v>
      </c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">
        <v>56.0</v>
      </c>
      <c r="B1727" s="35" t="str">
        <f t="array" ref="B1727">INDEX('Báo cáo 75 trang đích'!$B$2:$B$76,$A1727)</f>
        <v>https://techcombank.com/thong-tin/blog/cach-tinh-thue-ho-kinh-doanh-nho-le</v>
      </c>
      <c r="C1727" s="5" t="str">
        <f t="array" ref="C1727">INDEX('Báo cáo 75 trang đích'!$C$2:$C$76,$A1727)</f>
        <v>Merchant</v>
      </c>
      <c r="D1727" s="20" t="s">
        <v>115</v>
      </c>
      <c r="E1727" s="22" t="s">
        <v>335</v>
      </c>
      <c r="F1727" s="22" t="s">
        <v>57</v>
      </c>
      <c r="G1727" s="22" t="s">
        <v>1800</v>
      </c>
      <c r="H1727" s="24" t="s">
        <v>59</v>
      </c>
      <c r="I1727" s="24" t="s">
        <v>59</v>
      </c>
      <c r="J1727" s="24" t="s">
        <v>60</v>
      </c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">
        <v>56.0</v>
      </c>
      <c r="B1728" s="35" t="str">
        <f t="array" ref="B1728">INDEX('Báo cáo 75 trang đích'!$B$2:$B$76,$A1728)</f>
        <v>https://techcombank.com/thong-tin/blog/cach-tinh-thue-ho-kinh-doanh-nho-le</v>
      </c>
      <c r="C1728" s="5" t="str">
        <f t="array" ref="C1728">INDEX('Báo cáo 75 trang đích'!$C$2:$C$76,$A1728)</f>
        <v>Merchant</v>
      </c>
      <c r="D1728" s="20" t="s">
        <v>323</v>
      </c>
      <c r="E1728" s="22" t="s">
        <v>1039</v>
      </c>
      <c r="F1728" s="22" t="s">
        <v>76</v>
      </c>
      <c r="G1728" s="22" t="s">
        <v>1801</v>
      </c>
      <c r="H1728" s="24" t="s">
        <v>59</v>
      </c>
      <c r="I1728" s="24" t="s">
        <v>59</v>
      </c>
      <c r="J1728" s="24" t="s">
        <v>60</v>
      </c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">
        <v>56.0</v>
      </c>
      <c r="B1729" s="35" t="str">
        <f t="array" ref="B1729">INDEX('Báo cáo 75 trang đích'!$B$2:$B$76,$A1729)</f>
        <v>https://techcombank.com/thong-tin/blog/cach-tinh-thue-ho-kinh-doanh-nho-le</v>
      </c>
      <c r="C1729" s="5" t="str">
        <f t="array" ref="C1729">INDEX('Báo cáo 75 trang đích'!$C$2:$C$76,$A1729)</f>
        <v>Merchant</v>
      </c>
      <c r="D1729" s="20" t="s">
        <v>1031</v>
      </c>
      <c r="E1729" s="22" t="s">
        <v>335</v>
      </c>
      <c r="F1729" s="22" t="s">
        <v>76</v>
      </c>
      <c r="G1729" s="22" t="s">
        <v>1802</v>
      </c>
      <c r="H1729" s="24" t="s">
        <v>59</v>
      </c>
      <c r="I1729" s="24" t="s">
        <v>59</v>
      </c>
      <c r="J1729" s="24" t="s">
        <v>60</v>
      </c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">
        <v>56.0</v>
      </c>
      <c r="B1730" s="35" t="str">
        <f t="array" ref="B1730">INDEX('Báo cáo 75 trang đích'!$B$2:$B$76,$A1730)</f>
        <v>https://techcombank.com/thong-tin/blog/cach-tinh-thue-ho-kinh-doanh-nho-le</v>
      </c>
      <c r="C1730" s="5" t="str">
        <f t="array" ref="C1730">INDEX('Báo cáo 75 trang đích'!$C$2:$C$76,$A1730)</f>
        <v>Merchant</v>
      </c>
      <c r="D1730" s="20" t="s">
        <v>986</v>
      </c>
      <c r="E1730" s="22" t="s">
        <v>1039</v>
      </c>
      <c r="F1730" s="22" t="s">
        <v>81</v>
      </c>
      <c r="G1730" s="22" t="s">
        <v>1750</v>
      </c>
      <c r="H1730" s="24" t="s">
        <v>59</v>
      </c>
      <c r="I1730" s="24" t="s">
        <v>59</v>
      </c>
      <c r="J1730" s="24" t="s">
        <v>60</v>
      </c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">
        <v>56.0</v>
      </c>
      <c r="B1731" s="35" t="str">
        <f t="array" ref="B1731">INDEX('Báo cáo 75 trang đích'!$B$2:$B$76,$A1731)</f>
        <v>https://techcombank.com/thong-tin/blog/cach-tinh-thue-ho-kinh-doanh-nho-le</v>
      </c>
      <c r="C1731" s="5" t="str">
        <f t="array" ref="C1731">INDEX('Báo cáo 75 trang đích'!$C$2:$C$76,$A1731)</f>
        <v>Merchant</v>
      </c>
      <c r="D1731" s="20" t="s">
        <v>1025</v>
      </c>
      <c r="E1731" s="22" t="s">
        <v>335</v>
      </c>
      <c r="F1731" s="22" t="s">
        <v>81</v>
      </c>
      <c r="G1731" s="22" t="s">
        <v>1750</v>
      </c>
      <c r="H1731" s="24" t="s">
        <v>59</v>
      </c>
      <c r="I1731" s="24" t="s">
        <v>59</v>
      </c>
      <c r="J1731" s="24" t="s">
        <v>60</v>
      </c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">
        <v>56.0</v>
      </c>
      <c r="B1732" s="35" t="str">
        <f t="array" ref="B1732">INDEX('Báo cáo 75 trang đích'!$B$2:$B$76,$A1732)</f>
        <v>https://techcombank.com/thong-tin/blog/cach-tinh-thue-ho-kinh-doanh-nho-le</v>
      </c>
      <c r="C1732" s="5" t="str">
        <f t="array" ref="C1732">INDEX('Báo cáo 75 trang đích'!$C$2:$C$76,$A1732)</f>
        <v>Merchant</v>
      </c>
      <c r="D1732" s="20" t="s">
        <v>1000</v>
      </c>
      <c r="E1732" s="22" t="s">
        <v>1039</v>
      </c>
      <c r="F1732" s="22" t="s">
        <v>81</v>
      </c>
      <c r="G1732" s="22" t="s">
        <v>1750</v>
      </c>
      <c r="H1732" s="24" t="s">
        <v>59</v>
      </c>
      <c r="I1732" s="24" t="s">
        <v>59</v>
      </c>
      <c r="J1732" s="24" t="s">
        <v>60</v>
      </c>
      <c r="K1732" s="22" t="s">
        <v>97</v>
      </c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">
        <v>56.0</v>
      </c>
      <c r="B1733" s="35" t="str">
        <f t="array" ref="B1733">INDEX('Báo cáo 75 trang đích'!$B$2:$B$76,$A1733)</f>
        <v>https://techcombank.com/thong-tin/blog/cach-tinh-thue-ho-kinh-doanh-nho-le</v>
      </c>
      <c r="C1733" s="5" t="str">
        <f t="array" ref="C1733">INDEX('Báo cáo 75 trang đích'!$C$2:$C$76,$A1733)</f>
        <v>Merchant</v>
      </c>
      <c r="D1733" s="20" t="s">
        <v>1012</v>
      </c>
      <c r="E1733" s="22" t="s">
        <v>335</v>
      </c>
      <c r="F1733" s="22" t="s">
        <v>81</v>
      </c>
      <c r="G1733" s="22" t="s">
        <v>1750</v>
      </c>
      <c r="H1733" s="24" t="s">
        <v>59</v>
      </c>
      <c r="I1733" s="24" t="s">
        <v>59</v>
      </c>
      <c r="J1733" s="24" t="s">
        <v>60</v>
      </c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">
        <v>56.0</v>
      </c>
      <c r="B1734" s="35" t="str">
        <f t="array" ref="B1734">INDEX('Báo cáo 75 trang đích'!$B$2:$B$76,$A1734)</f>
        <v>https://techcombank.com/thong-tin/blog/cach-tinh-thue-ho-kinh-doanh-nho-le</v>
      </c>
      <c r="C1734" s="5" t="str">
        <f t="array" ref="C1734">INDEX('Báo cáo 75 trang đích'!$C$2:$C$76,$A1734)</f>
        <v>Merchant</v>
      </c>
      <c r="D1734" s="20" t="s">
        <v>1751</v>
      </c>
      <c r="E1734" s="22" t="s">
        <v>1039</v>
      </c>
      <c r="F1734" s="22" t="s">
        <v>81</v>
      </c>
      <c r="G1734" s="22" t="s">
        <v>1750</v>
      </c>
      <c r="H1734" s="24" t="s">
        <v>59</v>
      </c>
      <c r="I1734" s="24" t="s">
        <v>59</v>
      </c>
      <c r="J1734" s="24" t="s">
        <v>60</v>
      </c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">
        <v>56.0</v>
      </c>
      <c r="B1735" s="35" t="str">
        <f t="array" ref="B1735">INDEX('Báo cáo 75 trang đích'!$B$2:$B$76,$A1735)</f>
        <v>https://techcombank.com/thong-tin/blog/cach-tinh-thue-ho-kinh-doanh-nho-le</v>
      </c>
      <c r="C1735" s="5" t="str">
        <f t="array" ref="C1735">INDEX('Báo cáo 75 trang đích'!$C$2:$C$76,$A1735)</f>
        <v>Merchant</v>
      </c>
      <c r="D1735" s="20" t="s">
        <v>1752</v>
      </c>
      <c r="E1735" s="22" t="s">
        <v>335</v>
      </c>
      <c r="F1735" s="22" t="s">
        <v>81</v>
      </c>
      <c r="G1735" s="22" t="s">
        <v>1750</v>
      </c>
      <c r="H1735" s="24" t="s">
        <v>59</v>
      </c>
      <c r="I1735" s="24" t="s">
        <v>59</v>
      </c>
      <c r="J1735" s="24" t="s">
        <v>60</v>
      </c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">
        <v>56.0</v>
      </c>
      <c r="B1736" s="35" t="str">
        <f t="array" ref="B1736">INDEX('Báo cáo 75 trang đích'!$B$2:$B$76,$A1736)</f>
        <v>https://techcombank.com/thong-tin/blog/cach-tinh-thue-ho-kinh-doanh-nho-le</v>
      </c>
      <c r="C1736" s="5" t="str">
        <f t="array" ref="C1736">INDEX('Báo cáo 75 trang đích'!$C$2:$C$76,$A1736)</f>
        <v>Merchant</v>
      </c>
      <c r="D1736" s="20" t="s">
        <v>1753</v>
      </c>
      <c r="E1736" s="22" t="s">
        <v>1039</v>
      </c>
      <c r="F1736" s="22" t="s">
        <v>81</v>
      </c>
      <c r="G1736" s="22" t="s">
        <v>1750</v>
      </c>
      <c r="H1736" s="24" t="s">
        <v>59</v>
      </c>
      <c r="I1736" s="24" t="s">
        <v>59</v>
      </c>
      <c r="J1736" s="24" t="s">
        <v>60</v>
      </c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">
        <v>56.0</v>
      </c>
      <c r="B1737" s="35" t="str">
        <f t="array" ref="B1737">INDEX('Báo cáo 75 trang đích'!$B$2:$B$76,$A1737)</f>
        <v>https://techcombank.com/thong-tin/blog/cach-tinh-thue-ho-kinh-doanh-nho-le</v>
      </c>
      <c r="C1737" s="5" t="str">
        <f t="array" ref="C1737">INDEX('Báo cáo 75 trang đích'!$C$2:$C$76,$A1737)</f>
        <v>Merchant</v>
      </c>
      <c r="D1737" s="20" t="s">
        <v>1755</v>
      </c>
      <c r="E1737" s="22" t="s">
        <v>335</v>
      </c>
      <c r="F1737" s="22" t="s">
        <v>81</v>
      </c>
      <c r="G1737" s="22" t="s">
        <v>1750</v>
      </c>
      <c r="H1737" s="24" t="s">
        <v>59</v>
      </c>
      <c r="I1737" s="24" t="s">
        <v>59</v>
      </c>
      <c r="J1737" s="24" t="s">
        <v>60</v>
      </c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">
        <v>56.0</v>
      </c>
      <c r="B1738" s="35" t="str">
        <f t="array" ref="B1738">INDEX('Báo cáo 75 trang đích'!$B$2:$B$76,$A1738)</f>
        <v>https://techcombank.com/thong-tin/blog/cach-tinh-thue-ho-kinh-doanh-nho-le</v>
      </c>
      <c r="C1738" s="5" t="str">
        <f t="array" ref="C1738">INDEX('Báo cáo 75 trang đích'!$C$2:$C$76,$A1738)</f>
        <v>Merchant</v>
      </c>
      <c r="D1738" s="20" t="s">
        <v>1435</v>
      </c>
      <c r="E1738" s="22" t="s">
        <v>1039</v>
      </c>
      <c r="F1738" s="22" t="s">
        <v>81</v>
      </c>
      <c r="G1738" s="22" t="s">
        <v>1750</v>
      </c>
      <c r="H1738" s="24" t="s">
        <v>59</v>
      </c>
      <c r="I1738" s="24" t="s">
        <v>59</v>
      </c>
      <c r="J1738" s="24" t="s">
        <v>60</v>
      </c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">
        <v>56.0</v>
      </c>
      <c r="B1739" s="35" t="str">
        <f t="array" ref="B1739">INDEX('Báo cáo 75 trang đích'!$B$2:$B$76,$A1739)</f>
        <v>https://techcombank.com/thong-tin/blog/cach-tinh-thue-ho-kinh-doanh-nho-le</v>
      </c>
      <c r="C1739" s="5" t="str">
        <f t="array" ref="C1739">INDEX('Báo cáo 75 trang đích'!$C$2:$C$76,$A1739)</f>
        <v>Merchant</v>
      </c>
      <c r="D1739" s="20" t="s">
        <v>304</v>
      </c>
      <c r="E1739" s="22" t="s">
        <v>335</v>
      </c>
      <c r="F1739" s="22" t="s">
        <v>81</v>
      </c>
      <c r="G1739" s="22" t="s">
        <v>1750</v>
      </c>
      <c r="H1739" s="24" t="s">
        <v>59</v>
      </c>
      <c r="I1739" s="24" t="s">
        <v>59</v>
      </c>
      <c r="J1739" s="24" t="s">
        <v>60</v>
      </c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">
        <v>56.0</v>
      </c>
      <c r="B1740" s="35" t="str">
        <f t="array" ref="B1740">INDEX('Báo cáo 75 trang đích'!$B$2:$B$76,$A1740)</f>
        <v>https://techcombank.com/thong-tin/blog/cach-tinh-thue-ho-kinh-doanh-nho-le</v>
      </c>
      <c r="C1740" s="5" t="str">
        <f t="array" ref="C1740">INDEX('Báo cáo 75 trang đích'!$C$2:$C$76,$A1740)</f>
        <v>Merchant</v>
      </c>
      <c r="D1740" s="20" t="s">
        <v>1756</v>
      </c>
      <c r="E1740" s="22" t="s">
        <v>1039</v>
      </c>
      <c r="F1740" s="22" t="s">
        <v>81</v>
      </c>
      <c r="G1740" s="22" t="s">
        <v>1750</v>
      </c>
      <c r="H1740" s="24" t="s">
        <v>59</v>
      </c>
      <c r="I1740" s="24" t="s">
        <v>59</v>
      </c>
      <c r="J1740" s="24" t="s">
        <v>60</v>
      </c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">
        <v>56.0</v>
      </c>
      <c r="B1741" s="35" t="str">
        <f t="array" ref="B1741">INDEX('Báo cáo 75 trang đích'!$B$2:$B$76,$A1741)</f>
        <v>https://techcombank.com/thong-tin/blog/cach-tinh-thue-ho-kinh-doanh-nho-le</v>
      </c>
      <c r="C1741" s="5" t="str">
        <f t="array" ref="C1741">INDEX('Báo cáo 75 trang đích'!$C$2:$C$76,$A1741)</f>
        <v>Merchant</v>
      </c>
      <c r="D1741" s="20" t="s">
        <v>1758</v>
      </c>
      <c r="E1741" s="22" t="s">
        <v>335</v>
      </c>
      <c r="F1741" s="22" t="s">
        <v>81</v>
      </c>
      <c r="G1741" s="22" t="s">
        <v>1750</v>
      </c>
      <c r="H1741" s="24" t="s">
        <v>59</v>
      </c>
      <c r="I1741" s="24" t="s">
        <v>59</v>
      </c>
      <c r="J1741" s="24" t="s">
        <v>60</v>
      </c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">
        <v>56.0</v>
      </c>
      <c r="B1742" s="35" t="str">
        <f t="array" ref="B1742">INDEX('Báo cáo 75 trang đích'!$B$2:$B$76,$A1742)</f>
        <v>https://techcombank.com/thong-tin/blog/cach-tinh-thue-ho-kinh-doanh-nho-le</v>
      </c>
      <c r="C1742" s="5" t="str">
        <f t="array" ref="C1742">INDEX('Báo cáo 75 trang đích'!$C$2:$C$76,$A1742)</f>
        <v>Merchant</v>
      </c>
      <c r="D1742" s="20" t="s">
        <v>102</v>
      </c>
      <c r="E1742" s="22" t="s">
        <v>1039</v>
      </c>
      <c r="F1742" s="22" t="s">
        <v>81</v>
      </c>
      <c r="G1742" s="22" t="s">
        <v>1750</v>
      </c>
      <c r="H1742" s="24" t="s">
        <v>59</v>
      </c>
      <c r="I1742" s="24" t="s">
        <v>59</v>
      </c>
      <c r="J1742" s="24" t="s">
        <v>60</v>
      </c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">
        <v>56.0</v>
      </c>
      <c r="B1743" s="35" t="str">
        <f t="array" ref="B1743">INDEX('Báo cáo 75 trang đích'!$B$2:$B$76,$A1743)</f>
        <v>https://techcombank.com/thong-tin/blog/cach-tinh-thue-ho-kinh-doanh-nho-le</v>
      </c>
      <c r="C1743" s="5" t="str">
        <f t="array" ref="C1743">INDEX('Báo cáo 75 trang đích'!$C$2:$C$76,$A1743)</f>
        <v>Merchant</v>
      </c>
      <c r="D1743" s="20" t="s">
        <v>86</v>
      </c>
      <c r="E1743" s="22" t="s">
        <v>335</v>
      </c>
      <c r="F1743" s="22" t="s">
        <v>81</v>
      </c>
      <c r="G1743" s="22" t="s">
        <v>1750</v>
      </c>
      <c r="H1743" s="24" t="s">
        <v>59</v>
      </c>
      <c r="I1743" s="24" t="s">
        <v>59</v>
      </c>
      <c r="J1743" s="24" t="s">
        <v>60</v>
      </c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">
        <v>56.0</v>
      </c>
      <c r="B1744" s="35" t="str">
        <f t="array" ref="B1744">INDEX('Báo cáo 75 trang đích'!$B$2:$B$76,$A1744)</f>
        <v>https://techcombank.com/thong-tin/blog/cach-tinh-thue-ho-kinh-doanh-nho-le</v>
      </c>
      <c r="C1744" s="5" t="str">
        <f t="array" ref="C1744">INDEX('Báo cáo 75 trang đích'!$C$2:$C$76,$A1744)</f>
        <v>Merchant</v>
      </c>
      <c r="D1744" s="20" t="s">
        <v>1671</v>
      </c>
      <c r="E1744" s="22" t="s">
        <v>1039</v>
      </c>
      <c r="F1744" s="22" t="s">
        <v>81</v>
      </c>
      <c r="G1744" s="22" t="s">
        <v>1750</v>
      </c>
      <c r="H1744" s="24" t="s">
        <v>59</v>
      </c>
      <c r="I1744" s="24" t="s">
        <v>59</v>
      </c>
      <c r="J1744" s="24" t="s">
        <v>60</v>
      </c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">
        <v>56.0</v>
      </c>
      <c r="B1745" s="35" t="str">
        <f t="array" ref="B1745">INDEX('Báo cáo 75 trang đích'!$B$2:$B$76,$A1745)</f>
        <v>https://techcombank.com/thong-tin/blog/cach-tinh-thue-ho-kinh-doanh-nho-le</v>
      </c>
      <c r="C1745" s="5" t="str">
        <f t="array" ref="C1745">INDEX('Báo cáo 75 trang đích'!$C$2:$C$76,$A1745)</f>
        <v>Merchant</v>
      </c>
      <c r="D1745" s="20" t="s">
        <v>105</v>
      </c>
      <c r="E1745" s="22" t="s">
        <v>335</v>
      </c>
      <c r="F1745" s="22" t="s">
        <v>81</v>
      </c>
      <c r="G1745" s="22" t="s">
        <v>1750</v>
      </c>
      <c r="H1745" s="24" t="s">
        <v>59</v>
      </c>
      <c r="I1745" s="24" t="s">
        <v>59</v>
      </c>
      <c r="J1745" s="24" t="s">
        <v>60</v>
      </c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">
        <v>56.0</v>
      </c>
      <c r="B1746" s="35" t="str">
        <f t="array" ref="B1746">INDEX('Báo cáo 75 trang đích'!$B$2:$B$76,$A1746)</f>
        <v>https://techcombank.com/thong-tin/blog/cach-tinh-thue-ho-kinh-doanh-nho-le</v>
      </c>
      <c r="C1746" s="5" t="str">
        <f t="array" ref="C1746">INDEX('Báo cáo 75 trang đích'!$C$2:$C$76,$A1746)</f>
        <v>Merchant</v>
      </c>
      <c r="D1746" s="20" t="s">
        <v>1759</v>
      </c>
      <c r="E1746" s="22" t="s">
        <v>1039</v>
      </c>
      <c r="F1746" s="22" t="s">
        <v>81</v>
      </c>
      <c r="G1746" s="22" t="s">
        <v>1750</v>
      </c>
      <c r="H1746" s="24" t="s">
        <v>59</v>
      </c>
      <c r="I1746" s="24" t="s">
        <v>59</v>
      </c>
      <c r="J1746" s="24" t="s">
        <v>60</v>
      </c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">
        <v>56.0</v>
      </c>
      <c r="B1747" s="35" t="str">
        <f t="array" ref="B1747">INDEX('Báo cáo 75 trang đích'!$B$2:$B$76,$A1747)</f>
        <v>https://techcombank.com/thong-tin/blog/cach-tinh-thue-ho-kinh-doanh-nho-le</v>
      </c>
      <c r="C1747" s="5" t="str">
        <f t="array" ref="C1747">INDEX('Báo cáo 75 trang đích'!$C$2:$C$76,$A1747)</f>
        <v>Merchant</v>
      </c>
      <c r="D1747" s="20" t="s">
        <v>1760</v>
      </c>
      <c r="E1747" s="22" t="s">
        <v>335</v>
      </c>
      <c r="F1747" s="22" t="s">
        <v>81</v>
      </c>
      <c r="G1747" s="22" t="s">
        <v>1750</v>
      </c>
      <c r="H1747" s="24" t="s">
        <v>59</v>
      </c>
      <c r="I1747" s="24" t="s">
        <v>59</v>
      </c>
      <c r="J1747" s="24" t="s">
        <v>60</v>
      </c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">
        <v>56.0</v>
      </c>
      <c r="B1748" s="35" t="str">
        <f t="array" ref="B1748">INDEX('Báo cáo 75 trang đích'!$B$2:$B$76,$A1748)</f>
        <v>https://techcombank.com/thong-tin/blog/cach-tinh-thue-ho-kinh-doanh-nho-le</v>
      </c>
      <c r="C1748" s="5" t="str">
        <f t="array" ref="C1748">INDEX('Báo cáo 75 trang đích'!$C$2:$C$76,$A1748)</f>
        <v>Merchant</v>
      </c>
      <c r="D1748" s="20" t="s">
        <v>239</v>
      </c>
      <c r="E1748" s="22" t="s">
        <v>1039</v>
      </c>
      <c r="F1748" s="22" t="s">
        <v>81</v>
      </c>
      <c r="G1748" s="22" t="s">
        <v>1750</v>
      </c>
      <c r="H1748" s="24" t="s">
        <v>59</v>
      </c>
      <c r="I1748" s="24" t="s">
        <v>59</v>
      </c>
      <c r="J1748" s="24" t="s">
        <v>60</v>
      </c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">
        <v>56.0</v>
      </c>
      <c r="B1749" s="35" t="str">
        <f t="array" ref="B1749">INDEX('Báo cáo 75 trang đích'!$B$2:$B$76,$A1749)</f>
        <v>https://techcombank.com/thong-tin/blog/cach-tinh-thue-ho-kinh-doanh-nho-le</v>
      </c>
      <c r="C1749" s="5" t="str">
        <f t="array" ref="C1749">INDEX('Báo cáo 75 trang đích'!$C$2:$C$76,$A1749)</f>
        <v>Merchant</v>
      </c>
      <c r="D1749" s="20" t="s">
        <v>1761</v>
      </c>
      <c r="E1749" s="22" t="s">
        <v>335</v>
      </c>
      <c r="F1749" s="22" t="s">
        <v>81</v>
      </c>
      <c r="G1749" s="22" t="s">
        <v>1750</v>
      </c>
      <c r="H1749" s="24" t="s">
        <v>59</v>
      </c>
      <c r="I1749" s="24" t="s">
        <v>59</v>
      </c>
      <c r="J1749" s="24" t="s">
        <v>60</v>
      </c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">
        <v>56.0</v>
      </c>
      <c r="B1750" s="35" t="str">
        <f t="array" ref="B1750">INDEX('Báo cáo 75 trang đích'!$B$2:$B$76,$A1750)</f>
        <v>https://techcombank.com/thong-tin/blog/cach-tinh-thue-ho-kinh-doanh-nho-le</v>
      </c>
      <c r="C1750" s="5" t="str">
        <f t="array" ref="C1750">INDEX('Báo cáo 75 trang đích'!$C$2:$C$76,$A1750)</f>
        <v>Merchant</v>
      </c>
      <c r="D1750" s="20" t="s">
        <v>1762</v>
      </c>
      <c r="E1750" s="22" t="s">
        <v>1039</v>
      </c>
      <c r="F1750" s="22" t="s">
        <v>81</v>
      </c>
      <c r="G1750" s="22" t="s">
        <v>1750</v>
      </c>
      <c r="H1750" s="24" t="s">
        <v>59</v>
      </c>
      <c r="I1750" s="24" t="s">
        <v>59</v>
      </c>
      <c r="J1750" s="24" t="s">
        <v>60</v>
      </c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">
        <v>56.0</v>
      </c>
      <c r="B1751" s="35" t="str">
        <f t="array" ref="B1751">INDEX('Báo cáo 75 trang đích'!$B$2:$B$76,$A1751)</f>
        <v>https://techcombank.com/thong-tin/blog/cach-tinh-thue-ho-kinh-doanh-nho-le</v>
      </c>
      <c r="C1751" s="5" t="str">
        <f t="array" ref="C1751">INDEX('Báo cáo 75 trang đích'!$C$2:$C$76,$A1751)</f>
        <v>Merchant</v>
      </c>
      <c r="D1751" s="20" t="s">
        <v>1034</v>
      </c>
      <c r="E1751" s="22" t="s">
        <v>335</v>
      </c>
      <c r="F1751" s="22" t="s">
        <v>81</v>
      </c>
      <c r="G1751" s="22" t="s">
        <v>1750</v>
      </c>
      <c r="H1751" s="24" t="s">
        <v>59</v>
      </c>
      <c r="I1751" s="24" t="s">
        <v>59</v>
      </c>
      <c r="J1751" s="24" t="s">
        <v>60</v>
      </c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">
        <v>56.0</v>
      </c>
      <c r="B1752" s="35" t="str">
        <f t="array" ref="B1752">INDEX('Báo cáo 75 trang đích'!$B$2:$B$76,$A1752)</f>
        <v>https://techcombank.com/thong-tin/blog/cach-tinh-thue-ho-kinh-doanh-nho-le</v>
      </c>
      <c r="C1752" s="5" t="str">
        <f t="array" ref="C1752">INDEX('Báo cáo 75 trang đích'!$C$2:$C$76,$A1752)</f>
        <v>Merchant</v>
      </c>
      <c r="D1752" s="20" t="s">
        <v>250</v>
      </c>
      <c r="E1752" s="22" t="s">
        <v>1039</v>
      </c>
      <c r="F1752" s="22" t="s">
        <v>81</v>
      </c>
      <c r="G1752" s="22" t="s">
        <v>1750</v>
      </c>
      <c r="H1752" s="24" t="s">
        <v>59</v>
      </c>
      <c r="I1752" s="24" t="s">
        <v>59</v>
      </c>
      <c r="J1752" s="24" t="s">
        <v>60</v>
      </c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">
        <v>56.0</v>
      </c>
      <c r="B1753" s="35" t="str">
        <f t="array" ref="B1753">INDEX('Báo cáo 75 trang đích'!$B$2:$B$76,$A1753)</f>
        <v>https://techcombank.com/thong-tin/blog/cach-tinh-thue-ho-kinh-doanh-nho-le</v>
      </c>
      <c r="C1753" s="5" t="str">
        <f t="array" ref="C1753">INDEX('Báo cáo 75 trang đích'!$C$2:$C$76,$A1753)</f>
        <v>Merchant</v>
      </c>
      <c r="D1753" s="20" t="s">
        <v>1383</v>
      </c>
      <c r="E1753" s="22" t="s">
        <v>335</v>
      </c>
      <c r="F1753" s="22" t="s">
        <v>81</v>
      </c>
      <c r="G1753" s="22" t="s">
        <v>1750</v>
      </c>
      <c r="H1753" s="24" t="s">
        <v>59</v>
      </c>
      <c r="I1753" s="24" t="s">
        <v>59</v>
      </c>
      <c r="J1753" s="24" t="s">
        <v>60</v>
      </c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">
        <v>56.0</v>
      </c>
      <c r="B1754" s="35" t="str">
        <f t="array" ref="B1754">INDEX('Báo cáo 75 trang đích'!$B$2:$B$76,$A1754)</f>
        <v>https://techcombank.com/thong-tin/blog/cach-tinh-thue-ho-kinh-doanh-nho-le</v>
      </c>
      <c r="C1754" s="5" t="str">
        <f t="array" ref="C1754">INDEX('Báo cáo 75 trang đích'!$C$2:$C$76,$A1754)</f>
        <v>Merchant</v>
      </c>
      <c r="D1754" s="20" t="s">
        <v>1763</v>
      </c>
      <c r="E1754" s="22" t="s">
        <v>1039</v>
      </c>
      <c r="F1754" s="22" t="s">
        <v>81</v>
      </c>
      <c r="G1754" s="22" t="s">
        <v>1750</v>
      </c>
      <c r="H1754" s="24" t="s">
        <v>59</v>
      </c>
      <c r="I1754" s="24" t="s">
        <v>59</v>
      </c>
      <c r="J1754" s="24" t="s">
        <v>60</v>
      </c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">
        <v>56.0</v>
      </c>
      <c r="B1755" s="35" t="str">
        <f t="array" ref="B1755">INDEX('Báo cáo 75 trang đích'!$B$2:$B$76,$A1755)</f>
        <v>https://techcombank.com/thong-tin/blog/cach-tinh-thue-ho-kinh-doanh-nho-le</v>
      </c>
      <c r="C1755" s="5" t="str">
        <f t="array" ref="C1755">INDEX('Báo cáo 75 trang đích'!$C$2:$C$76,$A1755)</f>
        <v>Merchant</v>
      </c>
      <c r="D1755" s="20" t="s">
        <v>1371</v>
      </c>
      <c r="E1755" s="22" t="s">
        <v>335</v>
      </c>
      <c r="F1755" s="22" t="s">
        <v>81</v>
      </c>
      <c r="G1755" s="22" t="s">
        <v>1750</v>
      </c>
      <c r="H1755" s="24" t="s">
        <v>59</v>
      </c>
      <c r="I1755" s="24" t="s">
        <v>59</v>
      </c>
      <c r="J1755" s="24" t="s">
        <v>60</v>
      </c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">
        <v>56.0</v>
      </c>
      <c r="B1756" s="35" t="str">
        <f t="array" ref="B1756">INDEX('Báo cáo 75 trang đích'!$B$2:$B$76,$A1756)</f>
        <v>https://techcombank.com/thong-tin/blog/cach-tinh-thue-ho-kinh-doanh-nho-le</v>
      </c>
      <c r="C1756" s="5" t="str">
        <f t="array" ref="C1756">INDEX('Báo cáo 75 trang đích'!$C$2:$C$76,$A1756)</f>
        <v>Merchant</v>
      </c>
      <c r="D1756" s="20" t="s">
        <v>1764</v>
      </c>
      <c r="E1756" s="22" t="s">
        <v>1039</v>
      </c>
      <c r="F1756" s="22" t="s">
        <v>81</v>
      </c>
      <c r="G1756" s="22" t="s">
        <v>1803</v>
      </c>
      <c r="H1756" s="24" t="s">
        <v>59</v>
      </c>
      <c r="I1756" s="24" t="s">
        <v>59</v>
      </c>
      <c r="J1756" s="24" t="s">
        <v>60</v>
      </c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">
        <v>56.0</v>
      </c>
      <c r="B1757" s="35" t="str">
        <f t="array" ref="B1757">INDEX('Báo cáo 75 trang đích'!$B$2:$B$76,$A1757)</f>
        <v>https://techcombank.com/thong-tin/blog/cach-tinh-thue-ho-kinh-doanh-nho-le</v>
      </c>
      <c r="C1757" s="5" t="str">
        <f t="array" ref="C1757">INDEX('Báo cáo 75 trang đích'!$C$2:$C$76,$A1757)</f>
        <v>Merchant</v>
      </c>
      <c r="D1757" s="20" t="s">
        <v>1534</v>
      </c>
      <c r="E1757" s="22" t="s">
        <v>335</v>
      </c>
      <c r="F1757" s="22" t="s">
        <v>81</v>
      </c>
      <c r="G1757" s="22" t="s">
        <v>1750</v>
      </c>
      <c r="H1757" s="24" t="s">
        <v>59</v>
      </c>
      <c r="I1757" s="24" t="s">
        <v>59</v>
      </c>
      <c r="J1757" s="24" t="s">
        <v>60</v>
      </c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">
        <v>56.0</v>
      </c>
      <c r="B1758" s="35" t="str">
        <f t="array" ref="B1758">INDEX('Báo cáo 75 trang đích'!$B$2:$B$76,$A1758)</f>
        <v>https://techcombank.com/thong-tin/blog/cach-tinh-thue-ho-kinh-doanh-nho-le</v>
      </c>
      <c r="C1758" s="5" t="str">
        <f t="array" ref="C1758">INDEX('Báo cáo 75 trang đích'!$C$2:$C$76,$A1758)</f>
        <v>Merchant</v>
      </c>
      <c r="D1758" s="20" t="s">
        <v>252</v>
      </c>
      <c r="E1758" s="22" t="s">
        <v>1039</v>
      </c>
      <c r="F1758" s="22" t="s">
        <v>81</v>
      </c>
      <c r="G1758" s="22" t="s">
        <v>1750</v>
      </c>
      <c r="H1758" s="24" t="s">
        <v>59</v>
      </c>
      <c r="I1758" s="24" t="s">
        <v>59</v>
      </c>
      <c r="J1758" s="24" t="s">
        <v>60</v>
      </c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">
        <v>56.0</v>
      </c>
      <c r="B1759" s="35" t="str">
        <f t="array" ref="B1759">INDEX('Báo cáo 75 trang đích'!$B$2:$B$76,$A1759)</f>
        <v>https://techcombank.com/thong-tin/blog/cach-tinh-thue-ho-kinh-doanh-nho-le</v>
      </c>
      <c r="C1759" s="5" t="str">
        <f t="array" ref="C1759">INDEX('Báo cáo 75 trang đích'!$C$2:$C$76,$A1759)</f>
        <v>Merchant</v>
      </c>
      <c r="D1759" s="20" t="s">
        <v>1766</v>
      </c>
      <c r="E1759" s="22" t="s">
        <v>335</v>
      </c>
      <c r="F1759" s="22" t="s">
        <v>81</v>
      </c>
      <c r="G1759" s="22" t="s">
        <v>1750</v>
      </c>
      <c r="H1759" s="24" t="s">
        <v>59</v>
      </c>
      <c r="I1759" s="24" t="s">
        <v>59</v>
      </c>
      <c r="J1759" s="24" t="s">
        <v>60</v>
      </c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">
        <v>56.0</v>
      </c>
      <c r="B1760" s="35" t="str">
        <f t="array" ref="B1760">INDEX('Báo cáo 75 trang đích'!$B$2:$B$76,$A1760)</f>
        <v>https://techcombank.com/thong-tin/blog/cach-tinh-thue-ho-kinh-doanh-nho-le</v>
      </c>
      <c r="C1760" s="5" t="str">
        <f t="array" ref="C1760">INDEX('Báo cáo 75 trang đích'!$C$2:$C$76,$A1760)</f>
        <v>Merchant</v>
      </c>
      <c r="D1760" s="20" t="s">
        <v>1674</v>
      </c>
      <c r="E1760" s="22" t="s">
        <v>1039</v>
      </c>
      <c r="F1760" s="22" t="s">
        <v>81</v>
      </c>
      <c r="G1760" s="22" t="s">
        <v>1750</v>
      </c>
      <c r="H1760" s="24" t="s">
        <v>59</v>
      </c>
      <c r="I1760" s="24" t="s">
        <v>59</v>
      </c>
      <c r="J1760" s="24" t="s">
        <v>60</v>
      </c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">
        <v>56.0</v>
      </c>
      <c r="B1761" s="35" t="str">
        <f t="array" ref="B1761">INDEX('Báo cáo 75 trang đích'!$B$2:$B$76,$A1761)</f>
        <v>https://techcombank.com/thong-tin/blog/cach-tinh-thue-ho-kinh-doanh-nho-le</v>
      </c>
      <c r="C1761" s="5" t="str">
        <f t="array" ref="C1761">INDEX('Báo cáo 75 trang đích'!$C$2:$C$76,$A1761)</f>
        <v>Merchant</v>
      </c>
      <c r="D1761" s="20" t="s">
        <v>510</v>
      </c>
      <c r="E1761" s="22" t="s">
        <v>335</v>
      </c>
      <c r="F1761" s="22" t="s">
        <v>81</v>
      </c>
      <c r="G1761" s="22" t="s">
        <v>1750</v>
      </c>
      <c r="H1761" s="24" t="s">
        <v>59</v>
      </c>
      <c r="I1761" s="24" t="s">
        <v>59</v>
      </c>
      <c r="J1761" s="24" t="s">
        <v>60</v>
      </c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">
        <v>56.0</v>
      </c>
      <c r="B1762" s="35" t="str">
        <f t="array" ref="B1762">INDEX('Báo cáo 75 trang đích'!$B$2:$B$76,$A1762)</f>
        <v>https://techcombank.com/thong-tin/blog/cach-tinh-thue-ho-kinh-doanh-nho-le</v>
      </c>
      <c r="C1762" s="5" t="str">
        <f t="array" ref="C1762">INDEX('Báo cáo 75 trang đích'!$C$2:$C$76,$A1762)</f>
        <v>Merchant</v>
      </c>
      <c r="D1762" s="20" t="s">
        <v>258</v>
      </c>
      <c r="E1762" s="22" t="s">
        <v>1039</v>
      </c>
      <c r="F1762" s="22" t="s">
        <v>81</v>
      </c>
      <c r="G1762" s="22" t="s">
        <v>1750</v>
      </c>
      <c r="H1762" s="24" t="s">
        <v>59</v>
      </c>
      <c r="I1762" s="24" t="s">
        <v>59</v>
      </c>
      <c r="J1762" s="24" t="s">
        <v>60</v>
      </c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">
        <v>56.0</v>
      </c>
      <c r="B1763" s="35" t="str">
        <f t="array" ref="B1763">INDEX('Báo cáo 75 trang đích'!$B$2:$B$76,$A1763)</f>
        <v>https://techcombank.com/thong-tin/blog/cach-tinh-thue-ho-kinh-doanh-nho-le</v>
      </c>
      <c r="C1763" s="5" t="str">
        <f t="array" ref="C1763">INDEX('Báo cáo 75 trang đích'!$C$2:$C$76,$A1763)</f>
        <v>Merchant</v>
      </c>
      <c r="D1763" s="20" t="s">
        <v>989</v>
      </c>
      <c r="E1763" s="22" t="s">
        <v>335</v>
      </c>
      <c r="F1763" s="22" t="s">
        <v>81</v>
      </c>
      <c r="G1763" s="22" t="s">
        <v>1803</v>
      </c>
      <c r="H1763" s="24" t="s">
        <v>59</v>
      </c>
      <c r="I1763" s="24" t="s">
        <v>59</v>
      </c>
      <c r="J1763" s="24" t="s">
        <v>60</v>
      </c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">
        <v>56.0</v>
      </c>
      <c r="B1764" s="35" t="str">
        <f t="array" ref="B1764">INDEX('Báo cáo 75 trang đích'!$B$2:$B$76,$A1764)</f>
        <v>https://techcombank.com/thong-tin/blog/cach-tinh-thue-ho-kinh-doanh-nho-le</v>
      </c>
      <c r="C1764" s="5" t="str">
        <f t="array" ref="C1764">INDEX('Báo cáo 75 trang đích'!$C$2:$C$76,$A1764)</f>
        <v>Merchant</v>
      </c>
      <c r="D1764" s="20" t="s">
        <v>153</v>
      </c>
      <c r="E1764" s="22" t="s">
        <v>1039</v>
      </c>
      <c r="F1764" s="22" t="s">
        <v>81</v>
      </c>
      <c r="G1764" s="22" t="s">
        <v>1804</v>
      </c>
      <c r="H1764" s="24" t="s">
        <v>59</v>
      </c>
      <c r="I1764" s="24" t="s">
        <v>59</v>
      </c>
      <c r="J1764" s="24" t="s">
        <v>60</v>
      </c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">
        <v>56.0</v>
      </c>
      <c r="B1765" s="35" t="str">
        <f t="array" ref="B1765">INDEX('Báo cáo 75 trang đích'!$B$2:$B$76,$A1765)</f>
        <v>https://techcombank.com/thong-tin/blog/cach-tinh-thue-ho-kinh-doanh-nho-le</v>
      </c>
      <c r="C1765" s="5" t="str">
        <f t="array" ref="C1765">INDEX('Báo cáo 75 trang đích'!$C$2:$C$76,$A1765)</f>
        <v>Merchant</v>
      </c>
      <c r="D1765" s="20" t="s">
        <v>1767</v>
      </c>
      <c r="E1765" s="22" t="s">
        <v>335</v>
      </c>
      <c r="F1765" s="22" t="s">
        <v>81</v>
      </c>
      <c r="G1765" s="22" t="s">
        <v>1750</v>
      </c>
      <c r="H1765" s="24" t="s">
        <v>59</v>
      </c>
      <c r="I1765" s="24" t="s">
        <v>59</v>
      </c>
      <c r="J1765" s="24" t="s">
        <v>60</v>
      </c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">
        <v>56.0</v>
      </c>
      <c r="B1766" s="35" t="str">
        <f t="array" ref="B1766">INDEX('Báo cáo 75 trang đích'!$B$2:$B$76,$A1766)</f>
        <v>https://techcombank.com/thong-tin/blog/cach-tinh-thue-ho-kinh-doanh-nho-le</v>
      </c>
      <c r="C1766" s="5" t="str">
        <f t="array" ref="C1766">INDEX('Báo cáo 75 trang đích'!$C$2:$C$76,$A1766)</f>
        <v>Merchant</v>
      </c>
      <c r="D1766" s="20" t="s">
        <v>264</v>
      </c>
      <c r="E1766" s="22" t="s">
        <v>1039</v>
      </c>
      <c r="F1766" s="22" t="s">
        <v>81</v>
      </c>
      <c r="G1766" s="22" t="s">
        <v>1750</v>
      </c>
      <c r="H1766" s="24" t="s">
        <v>59</v>
      </c>
      <c r="I1766" s="24" t="s">
        <v>59</v>
      </c>
      <c r="J1766" s="24" t="s">
        <v>60</v>
      </c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">
        <v>56.0</v>
      </c>
      <c r="B1767" s="35" t="str">
        <f t="array" ref="B1767">INDEX('Báo cáo 75 trang đích'!$B$2:$B$76,$A1767)</f>
        <v>https://techcombank.com/thong-tin/blog/cach-tinh-thue-ho-kinh-doanh-nho-le</v>
      </c>
      <c r="C1767" s="5" t="str">
        <f t="array" ref="C1767">INDEX('Báo cáo 75 trang đích'!$C$2:$C$76,$A1767)</f>
        <v>Merchant</v>
      </c>
      <c r="D1767" s="20" t="s">
        <v>307</v>
      </c>
      <c r="E1767" s="22" t="s">
        <v>335</v>
      </c>
      <c r="F1767" s="22" t="s">
        <v>81</v>
      </c>
      <c r="G1767" s="22" t="s">
        <v>1750</v>
      </c>
      <c r="H1767" s="24" t="s">
        <v>59</v>
      </c>
      <c r="I1767" s="24" t="s">
        <v>59</v>
      </c>
      <c r="J1767" s="24" t="s">
        <v>60</v>
      </c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">
        <v>56.0</v>
      </c>
      <c r="B1768" s="35" t="str">
        <f t="array" ref="B1768">INDEX('Báo cáo 75 trang đích'!$B$2:$B$76,$A1768)</f>
        <v>https://techcombank.com/thong-tin/blog/cach-tinh-thue-ho-kinh-doanh-nho-le</v>
      </c>
      <c r="C1768" s="5" t="str">
        <f t="array" ref="C1768">INDEX('Báo cáo 75 trang đích'!$C$2:$C$76,$A1768)</f>
        <v>Merchant</v>
      </c>
      <c r="D1768" s="20" t="s">
        <v>197</v>
      </c>
      <c r="E1768" s="22" t="s">
        <v>1039</v>
      </c>
      <c r="F1768" s="22" t="s">
        <v>81</v>
      </c>
      <c r="G1768" s="22" t="s">
        <v>1750</v>
      </c>
      <c r="H1768" s="24" t="s">
        <v>59</v>
      </c>
      <c r="I1768" s="24" t="s">
        <v>59</v>
      </c>
      <c r="J1768" s="24" t="s">
        <v>60</v>
      </c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">
        <v>56.0</v>
      </c>
      <c r="B1769" s="35" t="str">
        <f t="array" ref="B1769">INDEX('Báo cáo 75 trang đích'!$B$2:$B$76,$A1769)</f>
        <v>https://techcombank.com/thong-tin/blog/cach-tinh-thue-ho-kinh-doanh-nho-le</v>
      </c>
      <c r="C1769" s="5" t="str">
        <f t="array" ref="C1769">INDEX('Báo cáo 75 trang đích'!$C$2:$C$76,$A1769)</f>
        <v>Merchant</v>
      </c>
      <c r="D1769" s="20" t="s">
        <v>266</v>
      </c>
      <c r="E1769" s="22" t="s">
        <v>335</v>
      </c>
      <c r="F1769" s="22" t="s">
        <v>81</v>
      </c>
      <c r="G1769" s="22" t="s">
        <v>1750</v>
      </c>
      <c r="H1769" s="24" t="s">
        <v>59</v>
      </c>
      <c r="I1769" s="24" t="s">
        <v>59</v>
      </c>
      <c r="J1769" s="24" t="s">
        <v>60</v>
      </c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">
        <v>56.0</v>
      </c>
      <c r="B1770" s="35" t="str">
        <f t="array" ref="B1770">INDEX('Báo cáo 75 trang đích'!$B$2:$B$76,$A1770)</f>
        <v>https://techcombank.com/thong-tin/blog/cach-tinh-thue-ho-kinh-doanh-nho-le</v>
      </c>
      <c r="C1770" s="5" t="str">
        <f t="array" ref="C1770">INDEX('Báo cáo 75 trang đích'!$C$2:$C$76,$A1770)</f>
        <v>Merchant</v>
      </c>
      <c r="D1770" s="20" t="s">
        <v>118</v>
      </c>
      <c r="E1770" s="22" t="s">
        <v>1039</v>
      </c>
      <c r="F1770" s="22" t="s">
        <v>81</v>
      </c>
      <c r="G1770" s="22" t="s">
        <v>155</v>
      </c>
      <c r="H1770" s="24" t="s">
        <v>59</v>
      </c>
      <c r="I1770" s="24" t="s">
        <v>59</v>
      </c>
      <c r="J1770" s="24" t="s">
        <v>60</v>
      </c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">
        <v>56.0</v>
      </c>
      <c r="B1771" s="35" t="str">
        <f t="array" ref="B1771">INDEX('Báo cáo 75 trang đích'!$B$2:$B$76,$A1771)</f>
        <v>https://techcombank.com/thong-tin/blog/cach-tinh-thue-ho-kinh-doanh-nho-le</v>
      </c>
      <c r="C1771" s="5" t="str">
        <f t="array" ref="C1771">INDEX('Báo cáo 75 trang đích'!$C$2:$C$76,$A1771)</f>
        <v>Merchant</v>
      </c>
      <c r="D1771" s="20" t="s">
        <v>1768</v>
      </c>
      <c r="E1771" s="22" t="s">
        <v>335</v>
      </c>
      <c r="F1771" s="22" t="s">
        <v>81</v>
      </c>
      <c r="G1771" s="22" t="s">
        <v>1750</v>
      </c>
      <c r="H1771" s="24" t="s">
        <v>59</v>
      </c>
      <c r="I1771" s="24" t="s">
        <v>59</v>
      </c>
      <c r="J1771" s="24" t="s">
        <v>60</v>
      </c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">
        <v>56.0</v>
      </c>
      <c r="B1772" s="35" t="str">
        <f t="array" ref="B1772">INDEX('Báo cáo 75 trang đích'!$B$2:$B$76,$A1772)</f>
        <v>https://techcombank.com/thong-tin/blog/cach-tinh-thue-ho-kinh-doanh-nho-le</v>
      </c>
      <c r="C1772" s="5" t="str">
        <f t="array" ref="C1772">INDEX('Báo cáo 75 trang đích'!$C$2:$C$76,$A1772)</f>
        <v>Merchant</v>
      </c>
      <c r="D1772" s="20" t="s">
        <v>1769</v>
      </c>
      <c r="E1772" s="22" t="s">
        <v>1039</v>
      </c>
      <c r="F1772" s="22" t="s">
        <v>81</v>
      </c>
      <c r="G1772" s="22" t="s">
        <v>1750</v>
      </c>
      <c r="H1772" s="24" t="s">
        <v>59</v>
      </c>
      <c r="I1772" s="24" t="s">
        <v>59</v>
      </c>
      <c r="J1772" s="24" t="s">
        <v>60</v>
      </c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">
        <v>56.0</v>
      </c>
      <c r="B1773" s="35" t="str">
        <f t="array" ref="B1773">INDEX('Báo cáo 75 trang đích'!$B$2:$B$76,$A1773)</f>
        <v>https://techcombank.com/thong-tin/blog/cach-tinh-thue-ho-kinh-doanh-nho-le</v>
      </c>
      <c r="C1773" s="5" t="str">
        <f t="array" ref="C1773">INDEX('Báo cáo 75 trang đích'!$C$2:$C$76,$A1773)</f>
        <v>Merchant</v>
      </c>
      <c r="D1773" s="20" t="s">
        <v>614</v>
      </c>
      <c r="E1773" s="22" t="s">
        <v>335</v>
      </c>
      <c r="F1773" s="22" t="s">
        <v>81</v>
      </c>
      <c r="G1773" s="22" t="s">
        <v>1750</v>
      </c>
      <c r="H1773" s="24" t="s">
        <v>59</v>
      </c>
      <c r="I1773" s="24" t="s">
        <v>59</v>
      </c>
      <c r="J1773" s="24" t="s">
        <v>60</v>
      </c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">
        <v>56.0</v>
      </c>
      <c r="B1774" s="35" t="str">
        <f t="array" ref="B1774">INDEX('Báo cáo 75 trang đích'!$B$2:$B$76,$A1774)</f>
        <v>https://techcombank.com/thong-tin/blog/cach-tinh-thue-ho-kinh-doanh-nho-le</v>
      </c>
      <c r="C1774" s="5" t="str">
        <f t="array" ref="C1774">INDEX('Báo cáo 75 trang đích'!$C$2:$C$76,$A1774)</f>
        <v>Merchant</v>
      </c>
      <c r="D1774" s="20" t="s">
        <v>1770</v>
      </c>
      <c r="E1774" s="22" t="s">
        <v>1039</v>
      </c>
      <c r="F1774" s="22" t="s">
        <v>81</v>
      </c>
      <c r="G1774" s="22" t="s">
        <v>1750</v>
      </c>
      <c r="H1774" s="24" t="s">
        <v>59</v>
      </c>
      <c r="I1774" s="24" t="s">
        <v>59</v>
      </c>
      <c r="J1774" s="24" t="s">
        <v>60</v>
      </c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">
        <v>56.0</v>
      </c>
      <c r="B1775" s="35" t="str">
        <f t="array" ref="B1775">INDEX('Báo cáo 75 trang đích'!$B$2:$B$76,$A1775)</f>
        <v>https://techcombank.com/thong-tin/blog/cach-tinh-thue-ho-kinh-doanh-nho-le</v>
      </c>
      <c r="C1775" s="5" t="str">
        <f t="array" ref="C1775">INDEX('Báo cáo 75 trang đích'!$C$2:$C$76,$A1775)</f>
        <v>Merchant</v>
      </c>
      <c r="D1775" s="20" t="s">
        <v>268</v>
      </c>
      <c r="E1775" s="22" t="s">
        <v>335</v>
      </c>
      <c r="F1775" s="22" t="s">
        <v>81</v>
      </c>
      <c r="G1775" s="22" t="s">
        <v>1750</v>
      </c>
      <c r="H1775" s="24" t="s">
        <v>59</v>
      </c>
      <c r="I1775" s="24" t="s">
        <v>59</v>
      </c>
      <c r="J1775" s="24" t="s">
        <v>60</v>
      </c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">
        <v>56.0</v>
      </c>
      <c r="B1776" s="35" t="str">
        <f t="array" ref="B1776">INDEX('Báo cáo 75 trang đích'!$B$2:$B$76,$A1776)</f>
        <v>https://techcombank.com/thong-tin/blog/cach-tinh-thue-ho-kinh-doanh-nho-le</v>
      </c>
      <c r="C1776" s="5" t="str">
        <f t="array" ref="C1776">INDEX('Báo cáo 75 trang đích'!$C$2:$C$76,$A1776)</f>
        <v>Merchant</v>
      </c>
      <c r="D1776" s="20" t="s">
        <v>1395</v>
      </c>
      <c r="E1776" s="22" t="s">
        <v>1039</v>
      </c>
      <c r="F1776" s="22" t="s">
        <v>81</v>
      </c>
      <c r="G1776" s="22" t="s">
        <v>1750</v>
      </c>
      <c r="H1776" s="24" t="s">
        <v>59</v>
      </c>
      <c r="I1776" s="24" t="s">
        <v>59</v>
      </c>
      <c r="J1776" s="24" t="s">
        <v>60</v>
      </c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">
        <v>56.0</v>
      </c>
      <c r="B1777" s="35" t="str">
        <f t="array" ref="B1777">INDEX('Báo cáo 75 trang đích'!$B$2:$B$76,$A1777)</f>
        <v>https://techcombank.com/thong-tin/blog/cach-tinh-thue-ho-kinh-doanh-nho-le</v>
      </c>
      <c r="C1777" s="5" t="str">
        <f t="array" ref="C1777">INDEX('Báo cáo 75 trang đích'!$C$2:$C$76,$A1777)</f>
        <v>Merchant</v>
      </c>
      <c r="D1777" s="20" t="s">
        <v>216</v>
      </c>
      <c r="E1777" s="22" t="s">
        <v>335</v>
      </c>
      <c r="F1777" s="22" t="s">
        <v>81</v>
      </c>
      <c r="G1777" s="22" t="s">
        <v>1750</v>
      </c>
      <c r="H1777" s="24" t="s">
        <v>59</v>
      </c>
      <c r="I1777" s="24" t="s">
        <v>59</v>
      </c>
      <c r="J1777" s="24" t="s">
        <v>60</v>
      </c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">
        <v>57.0</v>
      </c>
      <c r="B1778" s="35" t="str">
        <f t="array" ref="B1778">INDEX('Báo cáo 75 trang đích'!$B$2:$B$76,$A1778)</f>
        <v>https://techcombank.com/thong-tin/blog/cach-tinh-lai-vay-ngan-hang</v>
      </c>
      <c r="C1778" s="5" t="str">
        <f t="array" ref="C1778">INDEX('Báo cáo 75 trang đích'!$C$2:$C$76,$A1778)</f>
        <v>Secured Lending</v>
      </c>
      <c r="D1778" s="20" t="s">
        <v>1044</v>
      </c>
      <c r="E1778" s="22" t="s">
        <v>340</v>
      </c>
      <c r="F1778" s="22" t="s">
        <v>57</v>
      </c>
      <c r="G1778" s="22" t="s">
        <v>1805</v>
      </c>
      <c r="H1778" s="24" t="s">
        <v>59</v>
      </c>
      <c r="I1778" s="24" t="s">
        <v>59</v>
      </c>
      <c r="J1778" s="24" t="s">
        <v>60</v>
      </c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">
        <v>57.0</v>
      </c>
      <c r="B1779" s="35" t="str">
        <f t="array" ref="B1779">INDEX('Báo cáo 75 trang đích'!$B$2:$B$76,$A1779)</f>
        <v>https://techcombank.com/thong-tin/blog/cach-tinh-lai-vay-ngan-hang</v>
      </c>
      <c r="C1779" s="5" t="str">
        <f t="array" ref="C1779">INDEX('Báo cáo 75 trang đích'!$C$2:$C$76,$A1779)</f>
        <v>Secured Lending</v>
      </c>
      <c r="D1779" s="20" t="s">
        <v>1046</v>
      </c>
      <c r="E1779" s="22" t="s">
        <v>1048</v>
      </c>
      <c r="F1779" s="22" t="s">
        <v>57</v>
      </c>
      <c r="G1779" s="22" t="s">
        <v>1806</v>
      </c>
      <c r="H1779" s="24" t="s">
        <v>59</v>
      </c>
      <c r="I1779" s="24" t="s">
        <v>59</v>
      </c>
      <c r="J1779" s="24" t="s">
        <v>60</v>
      </c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">
        <v>57.0</v>
      </c>
      <c r="B1780" s="35" t="str">
        <f t="array" ref="B1780">INDEX('Báo cáo 75 trang đích'!$B$2:$B$76,$A1780)</f>
        <v>https://techcombank.com/thong-tin/blog/cach-tinh-lai-vay-ngan-hang</v>
      </c>
      <c r="C1780" s="5" t="str">
        <f t="array" ref="C1780">INDEX('Báo cáo 75 trang đích'!$C$2:$C$76,$A1780)</f>
        <v>Secured Lending</v>
      </c>
      <c r="D1780" s="20" t="s">
        <v>1049</v>
      </c>
      <c r="E1780" s="22" t="s">
        <v>1052</v>
      </c>
      <c r="F1780" s="22" t="s">
        <v>57</v>
      </c>
      <c r="G1780" s="22" t="s">
        <v>1807</v>
      </c>
      <c r="H1780" s="24" t="s">
        <v>59</v>
      </c>
      <c r="I1780" s="24" t="s">
        <v>59</v>
      </c>
      <c r="J1780" s="24" t="s">
        <v>60</v>
      </c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">
        <v>57.0</v>
      </c>
      <c r="B1781" s="35" t="str">
        <f t="array" ref="B1781">INDEX('Báo cáo 75 trang đích'!$B$2:$B$76,$A1781)</f>
        <v>https://techcombank.com/thong-tin/blog/cach-tinh-lai-vay-ngan-hang</v>
      </c>
      <c r="C1781" s="5" t="str">
        <f t="array" ref="C1781">INDEX('Báo cáo 75 trang đích'!$C$2:$C$76,$A1781)</f>
        <v>Secured Lending</v>
      </c>
      <c r="D1781" s="20" t="s">
        <v>1053</v>
      </c>
      <c r="E1781" s="22" t="s">
        <v>1056</v>
      </c>
      <c r="F1781" s="22" t="s">
        <v>57</v>
      </c>
      <c r="G1781" s="22" t="s">
        <v>1808</v>
      </c>
      <c r="H1781" s="24" t="s">
        <v>59</v>
      </c>
      <c r="I1781" s="24" t="s">
        <v>59</v>
      </c>
      <c r="J1781" s="24" t="s">
        <v>60</v>
      </c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">
        <v>57.0</v>
      </c>
      <c r="B1782" s="35" t="str">
        <f t="array" ref="B1782">INDEX('Báo cáo 75 trang đích'!$B$2:$B$76,$A1782)</f>
        <v>https://techcombank.com/thong-tin/blog/cach-tinh-lai-vay-ngan-hang</v>
      </c>
      <c r="C1782" s="5" t="str">
        <f t="array" ref="C1782">INDEX('Báo cáo 75 trang đích'!$C$2:$C$76,$A1782)</f>
        <v>Secured Lending</v>
      </c>
      <c r="D1782" s="20" t="s">
        <v>1057</v>
      </c>
      <c r="E1782" s="22" t="s">
        <v>340</v>
      </c>
      <c r="F1782" s="22" t="s">
        <v>76</v>
      </c>
      <c r="G1782" s="22" t="s">
        <v>1809</v>
      </c>
      <c r="H1782" s="24" t="s">
        <v>59</v>
      </c>
      <c r="I1782" s="24" t="s">
        <v>59</v>
      </c>
      <c r="J1782" s="24" t="s">
        <v>60</v>
      </c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">
        <v>57.0</v>
      </c>
      <c r="B1783" s="35" t="str">
        <f t="array" ref="B1783">INDEX('Báo cáo 75 trang đích'!$B$2:$B$76,$A1783)</f>
        <v>https://techcombank.com/thong-tin/blog/cach-tinh-lai-vay-ngan-hang</v>
      </c>
      <c r="C1783" s="5" t="str">
        <f t="array" ref="C1783">INDEX('Báo cáo 75 trang đích'!$C$2:$C$76,$A1783)</f>
        <v>Secured Lending</v>
      </c>
      <c r="D1783" s="20" t="s">
        <v>1753</v>
      </c>
      <c r="E1783" s="22" t="s">
        <v>1048</v>
      </c>
      <c r="F1783" s="22" t="s">
        <v>81</v>
      </c>
      <c r="G1783" s="22" t="s">
        <v>1810</v>
      </c>
      <c r="H1783" s="24" t="s">
        <v>59</v>
      </c>
      <c r="I1783" s="24" t="s">
        <v>59</v>
      </c>
      <c r="J1783" s="24" t="s">
        <v>60</v>
      </c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">
        <v>57.0</v>
      </c>
      <c r="B1784" s="35" t="str">
        <f t="array" ref="B1784">INDEX('Báo cáo 75 trang đích'!$B$2:$B$76,$A1784)</f>
        <v>https://techcombank.com/thong-tin/blog/cach-tinh-lai-vay-ngan-hang</v>
      </c>
      <c r="C1784" s="5" t="str">
        <f t="array" ref="C1784">INDEX('Báo cáo 75 trang đích'!$C$2:$C$76,$A1784)</f>
        <v>Secured Lending</v>
      </c>
      <c r="D1784" s="20" t="s">
        <v>1673</v>
      </c>
      <c r="E1784" s="22" t="s">
        <v>1052</v>
      </c>
      <c r="F1784" s="22" t="s">
        <v>81</v>
      </c>
      <c r="G1784" s="22" t="s">
        <v>1811</v>
      </c>
      <c r="H1784" s="24" t="s">
        <v>59</v>
      </c>
      <c r="I1784" s="24" t="s">
        <v>59</v>
      </c>
      <c r="J1784" s="24" t="s">
        <v>60</v>
      </c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">
        <v>57.0</v>
      </c>
      <c r="B1785" s="35" t="str">
        <f t="array" ref="B1785">INDEX('Báo cáo 75 trang đích'!$B$2:$B$76,$A1785)</f>
        <v>https://techcombank.com/thong-tin/blog/cach-tinh-lai-vay-ngan-hang</v>
      </c>
      <c r="C1785" s="5" t="str">
        <f t="array" ref="C1785">INDEX('Báo cáo 75 trang đích'!$C$2:$C$76,$A1785)</f>
        <v>Secured Lending</v>
      </c>
      <c r="D1785" s="20" t="s">
        <v>180</v>
      </c>
      <c r="E1785" s="22" t="s">
        <v>1056</v>
      </c>
      <c r="F1785" s="22" t="s">
        <v>81</v>
      </c>
      <c r="G1785" s="22" t="s">
        <v>1812</v>
      </c>
      <c r="H1785" s="24" t="s">
        <v>59</v>
      </c>
      <c r="I1785" s="24" t="s">
        <v>59</v>
      </c>
      <c r="J1785" s="24" t="s">
        <v>60</v>
      </c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">
        <v>57.0</v>
      </c>
      <c r="B1786" s="35" t="str">
        <f t="array" ref="B1786">INDEX('Báo cáo 75 trang đích'!$B$2:$B$76,$A1786)</f>
        <v>https://techcombank.com/thong-tin/blog/cach-tinh-lai-vay-ngan-hang</v>
      </c>
      <c r="C1786" s="5" t="str">
        <f t="array" ref="C1786">INDEX('Báo cáo 75 trang đích'!$C$2:$C$76,$A1786)</f>
        <v>Secured Lending</v>
      </c>
      <c r="D1786" s="20" t="s">
        <v>62</v>
      </c>
      <c r="E1786" s="22" t="s">
        <v>340</v>
      </c>
      <c r="F1786" s="22" t="s">
        <v>81</v>
      </c>
      <c r="G1786" s="22" t="s">
        <v>1675</v>
      </c>
      <c r="H1786" s="24" t="s">
        <v>59</v>
      </c>
      <c r="I1786" s="24" t="s">
        <v>59</v>
      </c>
      <c r="J1786" s="24" t="s">
        <v>60</v>
      </c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">
        <v>57.0</v>
      </c>
      <c r="B1787" s="35" t="str">
        <f t="array" ref="B1787">INDEX('Báo cáo 75 trang đích'!$B$2:$B$76,$A1787)</f>
        <v>https://techcombank.com/thong-tin/blog/cach-tinh-lai-vay-ngan-hang</v>
      </c>
      <c r="C1787" s="5" t="str">
        <f t="array" ref="C1787">INDEX('Báo cáo 75 trang đích'!$C$2:$C$76,$A1787)</f>
        <v>Secured Lending</v>
      </c>
      <c r="D1787" s="20" t="s">
        <v>1813</v>
      </c>
      <c r="E1787" s="22" t="s">
        <v>1048</v>
      </c>
      <c r="F1787" s="22" t="s">
        <v>81</v>
      </c>
      <c r="G1787" s="22" t="s">
        <v>1811</v>
      </c>
      <c r="H1787" s="24" t="s">
        <v>59</v>
      </c>
      <c r="I1787" s="24" t="s">
        <v>59</v>
      </c>
      <c r="J1787" s="24" t="s">
        <v>60</v>
      </c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">
        <v>57.0</v>
      </c>
      <c r="B1788" s="35" t="str">
        <f t="array" ref="B1788">INDEX('Báo cáo 75 trang đích'!$B$2:$B$76,$A1788)</f>
        <v>https://techcombank.com/thong-tin/blog/cach-tinh-lai-vay-ngan-hang</v>
      </c>
      <c r="C1788" s="5" t="str">
        <f t="array" ref="C1788">INDEX('Báo cáo 75 trang đích'!$C$2:$C$76,$A1788)</f>
        <v>Secured Lending</v>
      </c>
      <c r="D1788" s="20" t="s">
        <v>1170</v>
      </c>
      <c r="E1788" s="22" t="s">
        <v>1052</v>
      </c>
      <c r="F1788" s="22" t="s">
        <v>81</v>
      </c>
      <c r="G1788" s="22" t="s">
        <v>1675</v>
      </c>
      <c r="H1788" s="24" t="s">
        <v>59</v>
      </c>
      <c r="I1788" s="24" t="s">
        <v>59</v>
      </c>
      <c r="J1788" s="24" t="s">
        <v>60</v>
      </c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">
        <v>57.0</v>
      </c>
      <c r="B1789" s="35" t="str">
        <f t="array" ref="B1789">INDEX('Báo cáo 75 trang đích'!$B$2:$B$76,$A1789)</f>
        <v>https://techcombank.com/thong-tin/blog/cach-tinh-lai-vay-ngan-hang</v>
      </c>
      <c r="C1789" s="5" t="str">
        <f t="array" ref="C1789">INDEX('Báo cáo 75 trang đích'!$C$2:$C$76,$A1789)</f>
        <v>Secured Lending</v>
      </c>
      <c r="D1789" s="20" t="s">
        <v>382</v>
      </c>
      <c r="E1789" s="22" t="s">
        <v>1056</v>
      </c>
      <c r="F1789" s="22" t="s">
        <v>81</v>
      </c>
      <c r="G1789" s="22" t="s">
        <v>1811</v>
      </c>
      <c r="H1789" s="24" t="s">
        <v>59</v>
      </c>
      <c r="I1789" s="24" t="s">
        <v>59</v>
      </c>
      <c r="J1789" s="24" t="s">
        <v>60</v>
      </c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">
        <v>57.0</v>
      </c>
      <c r="B1790" s="35" t="str">
        <f t="array" ref="B1790">INDEX('Báo cáo 75 trang đích'!$B$2:$B$76,$A1790)</f>
        <v>https://techcombank.com/thong-tin/blog/cach-tinh-lai-vay-ngan-hang</v>
      </c>
      <c r="C1790" s="5" t="str">
        <f t="array" ref="C1790">INDEX('Báo cáo 75 trang đích'!$C$2:$C$76,$A1790)</f>
        <v>Secured Lending</v>
      </c>
      <c r="D1790" s="20" t="s">
        <v>1456</v>
      </c>
      <c r="E1790" s="22" t="s">
        <v>340</v>
      </c>
      <c r="F1790" s="22" t="s">
        <v>81</v>
      </c>
      <c r="G1790" s="22" t="s">
        <v>1675</v>
      </c>
      <c r="H1790" s="24" t="s">
        <v>59</v>
      </c>
      <c r="I1790" s="24" t="s">
        <v>59</v>
      </c>
      <c r="J1790" s="24" t="s">
        <v>60</v>
      </c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">
        <v>57.0</v>
      </c>
      <c r="B1791" s="35" t="str">
        <f t="array" ref="B1791">INDEX('Báo cáo 75 trang đích'!$B$2:$B$76,$A1791)</f>
        <v>https://techcombank.com/thong-tin/blog/cach-tinh-lai-vay-ngan-hang</v>
      </c>
      <c r="C1791" s="5" t="str">
        <f t="array" ref="C1791">INDEX('Báo cáo 75 trang đích'!$C$2:$C$76,$A1791)</f>
        <v>Secured Lending</v>
      </c>
      <c r="D1791" s="20" t="s">
        <v>1016</v>
      </c>
      <c r="E1791" s="22" t="s">
        <v>1048</v>
      </c>
      <c r="F1791" s="22" t="s">
        <v>81</v>
      </c>
      <c r="G1791" s="22" t="s">
        <v>1675</v>
      </c>
      <c r="H1791" s="24" t="s">
        <v>59</v>
      </c>
      <c r="I1791" s="24" t="s">
        <v>59</v>
      </c>
      <c r="J1791" s="24" t="s">
        <v>60</v>
      </c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">
        <v>57.0</v>
      </c>
      <c r="B1792" s="35" t="str">
        <f t="array" ref="B1792">INDEX('Báo cáo 75 trang đích'!$B$2:$B$76,$A1792)</f>
        <v>https://techcombank.com/thong-tin/blog/cach-tinh-lai-vay-ngan-hang</v>
      </c>
      <c r="C1792" s="5" t="str">
        <f t="array" ref="C1792">INDEX('Báo cáo 75 trang đích'!$C$2:$C$76,$A1792)</f>
        <v>Secured Lending</v>
      </c>
      <c r="D1792" s="20" t="s">
        <v>1679</v>
      </c>
      <c r="E1792" s="22" t="s">
        <v>1052</v>
      </c>
      <c r="F1792" s="22" t="s">
        <v>81</v>
      </c>
      <c r="G1792" s="22" t="s">
        <v>1811</v>
      </c>
      <c r="H1792" s="24" t="s">
        <v>59</v>
      </c>
      <c r="I1792" s="24" t="s">
        <v>59</v>
      </c>
      <c r="J1792" s="24" t="s">
        <v>60</v>
      </c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">
        <v>57.0</v>
      </c>
      <c r="B1793" s="35" t="str">
        <f t="array" ref="B1793">INDEX('Báo cáo 75 trang đích'!$B$2:$B$76,$A1793)</f>
        <v>https://techcombank.com/thong-tin/blog/cach-tinh-lai-vay-ngan-hang</v>
      </c>
      <c r="C1793" s="5" t="str">
        <f t="array" ref="C1793">INDEX('Báo cáo 75 trang đích'!$C$2:$C$76,$A1793)</f>
        <v>Secured Lending</v>
      </c>
      <c r="D1793" s="20" t="s">
        <v>1238</v>
      </c>
      <c r="E1793" s="22" t="s">
        <v>1056</v>
      </c>
      <c r="F1793" s="22" t="s">
        <v>81</v>
      </c>
      <c r="G1793" s="22" t="s">
        <v>1810</v>
      </c>
      <c r="H1793" s="24" t="s">
        <v>59</v>
      </c>
      <c r="I1793" s="24" t="s">
        <v>59</v>
      </c>
      <c r="J1793" s="24" t="s">
        <v>60</v>
      </c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">
        <v>57.0</v>
      </c>
      <c r="B1794" s="35" t="str">
        <f t="array" ref="B1794">INDEX('Báo cáo 75 trang đích'!$B$2:$B$76,$A1794)</f>
        <v>https://techcombank.com/thong-tin/blog/cach-tinh-lai-vay-ngan-hang</v>
      </c>
      <c r="C1794" s="5" t="str">
        <f t="array" ref="C1794">INDEX('Báo cáo 75 trang đích'!$C$2:$C$76,$A1794)</f>
        <v>Secured Lending</v>
      </c>
      <c r="D1794" s="20" t="s">
        <v>969</v>
      </c>
      <c r="E1794" s="22" t="s">
        <v>340</v>
      </c>
      <c r="F1794" s="22" t="s">
        <v>81</v>
      </c>
      <c r="G1794" s="22" t="s">
        <v>1810</v>
      </c>
      <c r="H1794" s="24" t="s">
        <v>59</v>
      </c>
      <c r="I1794" s="24" t="s">
        <v>59</v>
      </c>
      <c r="J1794" s="24" t="s">
        <v>60</v>
      </c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">
        <v>57.0</v>
      </c>
      <c r="B1795" s="35" t="str">
        <f t="array" ref="B1795">INDEX('Báo cáo 75 trang đích'!$B$2:$B$76,$A1795)</f>
        <v>https://techcombank.com/thong-tin/blog/cach-tinh-lai-vay-ngan-hang</v>
      </c>
      <c r="C1795" s="5" t="str">
        <f t="array" ref="C1795">INDEX('Báo cáo 75 trang đích'!$C$2:$C$76,$A1795)</f>
        <v>Secured Lending</v>
      </c>
      <c r="D1795" s="20" t="s">
        <v>1074</v>
      </c>
      <c r="E1795" s="22" t="s">
        <v>1048</v>
      </c>
      <c r="F1795" s="22" t="s">
        <v>81</v>
      </c>
      <c r="G1795" s="22" t="s">
        <v>1811</v>
      </c>
      <c r="H1795" s="24" t="s">
        <v>59</v>
      </c>
      <c r="I1795" s="24" t="s">
        <v>59</v>
      </c>
      <c r="J1795" s="24" t="s">
        <v>60</v>
      </c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">
        <v>57.0</v>
      </c>
      <c r="B1796" s="35" t="str">
        <f t="array" ref="B1796">INDEX('Báo cáo 75 trang đích'!$B$2:$B$76,$A1796)</f>
        <v>https://techcombank.com/thong-tin/blog/cach-tinh-lai-vay-ngan-hang</v>
      </c>
      <c r="C1796" s="5" t="str">
        <f t="array" ref="C1796">INDEX('Báo cáo 75 trang đích'!$C$2:$C$76,$A1796)</f>
        <v>Secured Lending</v>
      </c>
      <c r="D1796" s="20" t="s">
        <v>1110</v>
      </c>
      <c r="E1796" s="22" t="s">
        <v>1052</v>
      </c>
      <c r="F1796" s="22" t="s">
        <v>81</v>
      </c>
      <c r="G1796" s="22" t="s">
        <v>1811</v>
      </c>
      <c r="H1796" s="24" t="s">
        <v>59</v>
      </c>
      <c r="I1796" s="24" t="s">
        <v>59</v>
      </c>
      <c r="J1796" s="24" t="s">
        <v>60</v>
      </c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">
        <v>57.0</v>
      </c>
      <c r="B1797" s="35" t="str">
        <f t="array" ref="B1797">INDEX('Báo cáo 75 trang đích'!$B$2:$B$76,$A1797)</f>
        <v>https://techcombank.com/thong-tin/blog/cach-tinh-lai-vay-ngan-hang</v>
      </c>
      <c r="C1797" s="5" t="str">
        <f t="array" ref="C1797">INDEX('Báo cáo 75 trang đích'!$C$2:$C$76,$A1797)</f>
        <v>Secured Lending</v>
      </c>
      <c r="D1797" s="20" t="s">
        <v>55</v>
      </c>
      <c r="E1797" s="22" t="s">
        <v>1056</v>
      </c>
      <c r="F1797" s="22" t="s">
        <v>81</v>
      </c>
      <c r="G1797" s="22" t="s">
        <v>1675</v>
      </c>
      <c r="H1797" s="24" t="s">
        <v>59</v>
      </c>
      <c r="I1797" s="24" t="s">
        <v>59</v>
      </c>
      <c r="J1797" s="24" t="s">
        <v>60</v>
      </c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">
        <v>57.0</v>
      </c>
      <c r="B1798" s="35" t="str">
        <f t="array" ref="B1798">INDEX('Báo cáo 75 trang đích'!$B$2:$B$76,$A1798)</f>
        <v>https://techcombank.com/thong-tin/blog/cach-tinh-lai-vay-ngan-hang</v>
      </c>
      <c r="C1798" s="5" t="str">
        <f t="array" ref="C1798">INDEX('Báo cáo 75 trang đích'!$C$2:$C$76,$A1798)</f>
        <v>Secured Lending</v>
      </c>
      <c r="D1798" s="20" t="s">
        <v>1212</v>
      </c>
      <c r="E1798" s="22" t="s">
        <v>340</v>
      </c>
      <c r="F1798" s="22" t="s">
        <v>81</v>
      </c>
      <c r="G1798" s="22" t="s">
        <v>1810</v>
      </c>
      <c r="H1798" s="24" t="s">
        <v>59</v>
      </c>
      <c r="I1798" s="24" t="s">
        <v>59</v>
      </c>
      <c r="J1798" s="24" t="s">
        <v>60</v>
      </c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">
        <v>57.0</v>
      </c>
      <c r="B1799" s="35" t="str">
        <f t="array" ref="B1799">INDEX('Báo cáo 75 trang đích'!$B$2:$B$76,$A1799)</f>
        <v>https://techcombank.com/thong-tin/blog/cach-tinh-lai-vay-ngan-hang</v>
      </c>
      <c r="C1799" s="5" t="str">
        <f t="array" ref="C1799">INDEX('Báo cáo 75 trang đích'!$C$2:$C$76,$A1799)</f>
        <v>Secured Lending</v>
      </c>
      <c r="D1799" s="20" t="s">
        <v>1682</v>
      </c>
      <c r="E1799" s="22" t="s">
        <v>1048</v>
      </c>
      <c r="F1799" s="22" t="s">
        <v>81</v>
      </c>
      <c r="G1799" s="22" t="s">
        <v>1675</v>
      </c>
      <c r="H1799" s="24" t="s">
        <v>59</v>
      </c>
      <c r="I1799" s="24" t="s">
        <v>59</v>
      </c>
      <c r="J1799" s="24" t="s">
        <v>60</v>
      </c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">
        <v>57.0</v>
      </c>
      <c r="B1800" s="35" t="str">
        <f t="array" ref="B1800">INDEX('Báo cáo 75 trang đích'!$B$2:$B$76,$A1800)</f>
        <v>https://techcombank.com/thong-tin/blog/cach-tinh-lai-vay-ngan-hang</v>
      </c>
      <c r="C1800" s="5" t="str">
        <f t="array" ref="C1800">INDEX('Báo cáo 75 trang đích'!$C$2:$C$76,$A1800)</f>
        <v>Secured Lending</v>
      </c>
      <c r="D1800" s="20" t="s">
        <v>215</v>
      </c>
      <c r="E1800" s="22" t="s">
        <v>1052</v>
      </c>
      <c r="F1800" s="22" t="s">
        <v>81</v>
      </c>
      <c r="G1800" s="22" t="s">
        <v>1526</v>
      </c>
      <c r="H1800" s="24" t="s">
        <v>59</v>
      </c>
      <c r="I1800" s="24" t="s">
        <v>59</v>
      </c>
      <c r="J1800" s="24" t="s">
        <v>60</v>
      </c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">
        <v>57.0</v>
      </c>
      <c r="B1801" s="35" t="str">
        <f t="array" ref="B1801">INDEX('Báo cáo 75 trang đích'!$B$2:$B$76,$A1801)</f>
        <v>https://techcombank.com/thong-tin/blog/cach-tinh-lai-vay-ngan-hang</v>
      </c>
      <c r="C1801" s="5" t="str">
        <f t="array" ref="C1801">INDEX('Báo cáo 75 trang đích'!$C$2:$C$76,$A1801)</f>
        <v>Secured Lending</v>
      </c>
      <c r="D1801" s="20" t="s">
        <v>1072</v>
      </c>
      <c r="E1801" s="22" t="s">
        <v>1056</v>
      </c>
      <c r="F1801" s="22" t="s">
        <v>81</v>
      </c>
      <c r="G1801" s="22" t="s">
        <v>1811</v>
      </c>
      <c r="H1801" s="24" t="s">
        <v>59</v>
      </c>
      <c r="I1801" s="24" t="s">
        <v>59</v>
      </c>
      <c r="J1801" s="24" t="s">
        <v>60</v>
      </c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">
        <v>57.0</v>
      </c>
      <c r="B1802" s="35" t="str">
        <f t="array" ref="B1802">INDEX('Báo cáo 75 trang đích'!$B$2:$B$76,$A1802)</f>
        <v>https://techcombank.com/thong-tin/blog/cach-tinh-lai-vay-ngan-hang</v>
      </c>
      <c r="C1802" s="5" t="str">
        <f t="array" ref="C1802">INDEX('Báo cáo 75 trang đích'!$C$2:$C$76,$A1802)</f>
        <v>Secured Lending</v>
      </c>
      <c r="D1802" s="20" t="s">
        <v>1684</v>
      </c>
      <c r="E1802" s="22" t="s">
        <v>340</v>
      </c>
      <c r="F1802" s="22" t="s">
        <v>81</v>
      </c>
      <c r="G1802" s="22" t="s">
        <v>1675</v>
      </c>
      <c r="H1802" s="24" t="s">
        <v>59</v>
      </c>
      <c r="I1802" s="24" t="s">
        <v>59</v>
      </c>
      <c r="J1802" s="24" t="s">
        <v>60</v>
      </c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">
        <v>57.0</v>
      </c>
      <c r="B1803" s="35" t="str">
        <f t="array" ref="B1803">INDEX('Báo cáo 75 trang đích'!$B$2:$B$76,$A1803)</f>
        <v>https://techcombank.com/thong-tin/blog/cach-tinh-lai-vay-ngan-hang</v>
      </c>
      <c r="C1803" s="5" t="str">
        <f t="array" ref="C1803">INDEX('Báo cáo 75 trang đích'!$C$2:$C$76,$A1803)</f>
        <v>Secured Lending</v>
      </c>
      <c r="D1803" s="20" t="s">
        <v>66</v>
      </c>
      <c r="E1803" s="22" t="s">
        <v>1048</v>
      </c>
      <c r="F1803" s="22" t="s">
        <v>81</v>
      </c>
      <c r="G1803" s="22" t="s">
        <v>1675</v>
      </c>
      <c r="H1803" s="24" t="s">
        <v>59</v>
      </c>
      <c r="I1803" s="24" t="s">
        <v>59</v>
      </c>
      <c r="J1803" s="24" t="s">
        <v>60</v>
      </c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">
        <v>57.0</v>
      </c>
      <c r="B1804" s="35" t="str">
        <f t="array" ref="B1804">INDEX('Báo cáo 75 trang đích'!$B$2:$B$76,$A1804)</f>
        <v>https://techcombank.com/thong-tin/blog/cach-tinh-lai-vay-ngan-hang</v>
      </c>
      <c r="C1804" s="5" t="str">
        <f t="array" ref="C1804">INDEX('Báo cáo 75 trang đích'!$C$2:$C$76,$A1804)</f>
        <v>Secured Lending</v>
      </c>
      <c r="D1804" s="20" t="s">
        <v>1163</v>
      </c>
      <c r="E1804" s="22" t="s">
        <v>1052</v>
      </c>
      <c r="F1804" s="22" t="s">
        <v>81</v>
      </c>
      <c r="G1804" s="22" t="s">
        <v>1675</v>
      </c>
      <c r="H1804" s="24" t="s">
        <v>59</v>
      </c>
      <c r="I1804" s="24" t="s">
        <v>59</v>
      </c>
      <c r="J1804" s="24" t="s">
        <v>60</v>
      </c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">
        <v>57.0</v>
      </c>
      <c r="B1805" s="35" t="str">
        <f t="array" ref="B1805">INDEX('Báo cáo 75 trang đích'!$B$2:$B$76,$A1805)</f>
        <v>https://techcombank.com/thong-tin/blog/cach-tinh-lai-vay-ngan-hang</v>
      </c>
      <c r="C1805" s="5" t="str">
        <f t="array" ref="C1805">INDEX('Báo cáo 75 trang đích'!$C$2:$C$76,$A1805)</f>
        <v>Secured Lending</v>
      </c>
      <c r="D1805" s="20" t="s">
        <v>1191</v>
      </c>
      <c r="E1805" s="22" t="s">
        <v>1056</v>
      </c>
      <c r="F1805" s="22" t="s">
        <v>81</v>
      </c>
      <c r="G1805" s="22" t="s">
        <v>1811</v>
      </c>
      <c r="H1805" s="24" t="s">
        <v>59</v>
      </c>
      <c r="I1805" s="24" t="s">
        <v>59</v>
      </c>
      <c r="J1805" s="24" t="s">
        <v>60</v>
      </c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">
        <v>57.0</v>
      </c>
      <c r="B1806" s="35" t="str">
        <f t="array" ref="B1806">INDEX('Báo cáo 75 trang đích'!$B$2:$B$76,$A1806)</f>
        <v>https://techcombank.com/thong-tin/blog/cach-tinh-lai-vay-ngan-hang</v>
      </c>
      <c r="C1806" s="5" t="str">
        <f t="array" ref="C1806">INDEX('Báo cáo 75 trang đích'!$C$2:$C$76,$A1806)</f>
        <v>Secured Lending</v>
      </c>
      <c r="D1806" s="20" t="s">
        <v>1466</v>
      </c>
      <c r="E1806" s="22" t="s">
        <v>340</v>
      </c>
      <c r="F1806" s="22" t="s">
        <v>81</v>
      </c>
      <c r="G1806" s="22" t="s">
        <v>1675</v>
      </c>
      <c r="H1806" s="24" t="s">
        <v>59</v>
      </c>
      <c r="I1806" s="24" t="s">
        <v>59</v>
      </c>
      <c r="J1806" s="24" t="s">
        <v>60</v>
      </c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">
        <v>57.0</v>
      </c>
      <c r="B1807" s="35" t="str">
        <f t="array" ref="B1807">INDEX('Báo cáo 75 trang đích'!$B$2:$B$76,$A1807)</f>
        <v>https://techcombank.com/thong-tin/blog/cach-tinh-lai-vay-ngan-hang</v>
      </c>
      <c r="C1807" s="5" t="str">
        <f t="array" ref="C1807">INDEX('Báo cáo 75 trang đích'!$C$2:$C$76,$A1807)</f>
        <v>Secured Lending</v>
      </c>
      <c r="D1807" s="20" t="s">
        <v>1685</v>
      </c>
      <c r="E1807" s="22" t="s">
        <v>1048</v>
      </c>
      <c r="F1807" s="22" t="s">
        <v>81</v>
      </c>
      <c r="G1807" s="22" t="s">
        <v>1675</v>
      </c>
      <c r="H1807" s="24" t="s">
        <v>59</v>
      </c>
      <c r="I1807" s="24" t="s">
        <v>59</v>
      </c>
      <c r="J1807" s="24" t="s">
        <v>60</v>
      </c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">
        <v>57.0</v>
      </c>
      <c r="B1808" s="35" t="str">
        <f t="array" ref="B1808">INDEX('Báo cáo 75 trang đích'!$B$2:$B$76,$A1808)</f>
        <v>https://techcombank.com/thong-tin/blog/cach-tinh-lai-vay-ngan-hang</v>
      </c>
      <c r="C1808" s="5" t="str">
        <f t="array" ref="C1808">INDEX('Báo cáo 75 trang đích'!$C$2:$C$76,$A1808)</f>
        <v>Secured Lending</v>
      </c>
      <c r="D1808" s="20" t="s">
        <v>1331</v>
      </c>
      <c r="E1808" s="22" t="s">
        <v>1052</v>
      </c>
      <c r="F1808" s="22" t="s">
        <v>81</v>
      </c>
      <c r="G1808" s="22" t="s">
        <v>1675</v>
      </c>
      <c r="H1808" s="24" t="s">
        <v>59</v>
      </c>
      <c r="I1808" s="24" t="s">
        <v>59</v>
      </c>
      <c r="J1808" s="24" t="s">
        <v>60</v>
      </c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">
        <v>57.0</v>
      </c>
      <c r="B1809" s="35" t="str">
        <f t="array" ref="B1809">INDEX('Báo cáo 75 trang đích'!$B$2:$B$76,$A1809)</f>
        <v>https://techcombank.com/thong-tin/blog/cach-tinh-lai-vay-ngan-hang</v>
      </c>
      <c r="C1809" s="5" t="str">
        <f t="array" ref="C1809">INDEX('Báo cáo 75 trang đích'!$C$2:$C$76,$A1809)</f>
        <v>Secured Lending</v>
      </c>
      <c r="D1809" s="20" t="s">
        <v>1468</v>
      </c>
      <c r="E1809" s="22" t="s">
        <v>1056</v>
      </c>
      <c r="F1809" s="22" t="s">
        <v>81</v>
      </c>
      <c r="G1809" s="22" t="s">
        <v>1675</v>
      </c>
      <c r="H1809" s="24" t="s">
        <v>59</v>
      </c>
      <c r="I1809" s="24" t="s">
        <v>59</v>
      </c>
      <c r="J1809" s="24" t="s">
        <v>60</v>
      </c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">
        <v>57.0</v>
      </c>
      <c r="B1810" s="35" t="str">
        <f t="array" ref="B1810">INDEX('Báo cáo 75 trang đích'!$B$2:$B$76,$A1810)</f>
        <v>https://techcombank.com/thong-tin/blog/cach-tinh-lai-vay-ngan-hang</v>
      </c>
      <c r="C1810" s="5" t="str">
        <f t="array" ref="C1810">INDEX('Báo cáo 75 trang đích'!$C$2:$C$76,$A1810)</f>
        <v>Secured Lending</v>
      </c>
      <c r="D1810" s="20" t="s">
        <v>128</v>
      </c>
      <c r="E1810" s="22" t="s">
        <v>340</v>
      </c>
      <c r="F1810" s="22" t="s">
        <v>81</v>
      </c>
      <c r="G1810" s="22" t="s">
        <v>1810</v>
      </c>
      <c r="H1810" s="24" t="s">
        <v>59</v>
      </c>
      <c r="I1810" s="24" t="s">
        <v>59</v>
      </c>
      <c r="J1810" s="24" t="s">
        <v>60</v>
      </c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">
        <v>57.0</v>
      </c>
      <c r="B1811" s="35" t="str">
        <f t="array" ref="B1811">INDEX('Báo cáo 75 trang đích'!$B$2:$B$76,$A1811)</f>
        <v>https://techcombank.com/thong-tin/blog/cach-tinh-lai-vay-ngan-hang</v>
      </c>
      <c r="C1811" s="5" t="str">
        <f t="array" ref="C1811">INDEX('Báo cáo 75 trang đích'!$C$2:$C$76,$A1811)</f>
        <v>Secured Lending</v>
      </c>
      <c r="D1811" s="20" t="s">
        <v>71</v>
      </c>
      <c r="E1811" s="22" t="s">
        <v>1048</v>
      </c>
      <c r="F1811" s="22" t="s">
        <v>81</v>
      </c>
      <c r="G1811" s="22" t="s">
        <v>1675</v>
      </c>
      <c r="H1811" s="24" t="s">
        <v>59</v>
      </c>
      <c r="I1811" s="24" t="s">
        <v>59</v>
      </c>
      <c r="J1811" s="24" t="s">
        <v>60</v>
      </c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">
        <v>57.0</v>
      </c>
      <c r="B1812" s="35" t="str">
        <f t="array" ref="B1812">INDEX('Báo cáo 75 trang đích'!$B$2:$B$76,$A1812)</f>
        <v>https://techcombank.com/thong-tin/blog/cach-tinh-lai-vay-ngan-hang</v>
      </c>
      <c r="C1812" s="5" t="str">
        <f t="array" ref="C1812">INDEX('Báo cáo 75 trang đích'!$C$2:$C$76,$A1812)</f>
        <v>Secured Lending</v>
      </c>
      <c r="D1812" s="20" t="s">
        <v>1689</v>
      </c>
      <c r="E1812" s="22" t="s">
        <v>1052</v>
      </c>
      <c r="F1812" s="22" t="s">
        <v>81</v>
      </c>
      <c r="G1812" s="22" t="s">
        <v>1675</v>
      </c>
      <c r="H1812" s="24" t="s">
        <v>59</v>
      </c>
      <c r="I1812" s="24" t="s">
        <v>59</v>
      </c>
      <c r="J1812" s="24" t="s">
        <v>60</v>
      </c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">
        <v>57.0</v>
      </c>
      <c r="B1813" s="35" t="str">
        <f t="array" ref="B1813">INDEX('Báo cáo 75 trang đích'!$B$2:$B$76,$A1813)</f>
        <v>https://techcombank.com/thong-tin/blog/cach-tinh-lai-vay-ngan-hang</v>
      </c>
      <c r="C1813" s="5" t="str">
        <f t="array" ref="C1813">INDEX('Báo cáo 75 trang đích'!$C$2:$C$76,$A1813)</f>
        <v>Secured Lending</v>
      </c>
      <c r="D1813" s="20" t="s">
        <v>817</v>
      </c>
      <c r="E1813" s="22" t="s">
        <v>1056</v>
      </c>
      <c r="F1813" s="22" t="s">
        <v>81</v>
      </c>
      <c r="G1813" s="22" t="s">
        <v>1526</v>
      </c>
      <c r="H1813" s="24" t="s">
        <v>59</v>
      </c>
      <c r="I1813" s="24" t="s">
        <v>59</v>
      </c>
      <c r="J1813" s="24" t="s">
        <v>60</v>
      </c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">
        <v>57.0</v>
      </c>
      <c r="B1814" s="35" t="str">
        <f t="array" ref="B1814">INDEX('Báo cáo 75 trang đích'!$B$2:$B$76,$A1814)</f>
        <v>https://techcombank.com/thong-tin/blog/cach-tinh-lai-vay-ngan-hang</v>
      </c>
      <c r="C1814" s="5" t="str">
        <f t="array" ref="C1814">INDEX('Báo cáo 75 trang đích'!$C$2:$C$76,$A1814)</f>
        <v>Secured Lending</v>
      </c>
      <c r="D1814" s="20" t="s">
        <v>684</v>
      </c>
      <c r="E1814" s="22" t="s">
        <v>340</v>
      </c>
      <c r="F1814" s="22" t="s">
        <v>81</v>
      </c>
      <c r="G1814" s="22" t="s">
        <v>1814</v>
      </c>
      <c r="H1814" s="24" t="s">
        <v>59</v>
      </c>
      <c r="I1814" s="24" t="s">
        <v>59</v>
      </c>
      <c r="J1814" s="24" t="s">
        <v>60</v>
      </c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">
        <v>57.0</v>
      </c>
      <c r="B1815" s="35" t="str">
        <f t="array" ref="B1815">INDEX('Báo cáo 75 trang đích'!$B$2:$B$76,$A1815)</f>
        <v>https://techcombank.com/thong-tin/blog/cach-tinh-lai-vay-ngan-hang</v>
      </c>
      <c r="C1815" s="5" t="str">
        <f t="array" ref="C1815">INDEX('Báo cáo 75 trang đích'!$C$2:$C$76,$A1815)</f>
        <v>Secured Lending</v>
      </c>
      <c r="D1815" s="20" t="s">
        <v>1471</v>
      </c>
      <c r="E1815" s="22" t="s">
        <v>1048</v>
      </c>
      <c r="F1815" s="22" t="s">
        <v>81</v>
      </c>
      <c r="G1815" s="22" t="s">
        <v>1675</v>
      </c>
      <c r="H1815" s="24" t="s">
        <v>59</v>
      </c>
      <c r="I1815" s="24" t="s">
        <v>59</v>
      </c>
      <c r="J1815" s="24" t="s">
        <v>60</v>
      </c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">
        <v>57.0</v>
      </c>
      <c r="B1816" s="35" t="str">
        <f t="array" ref="B1816">INDEX('Báo cáo 75 trang đích'!$B$2:$B$76,$A1816)</f>
        <v>https://techcombank.com/thong-tin/blog/cach-tinh-lai-vay-ngan-hang</v>
      </c>
      <c r="C1816" s="5" t="str">
        <f t="array" ref="C1816">INDEX('Báo cáo 75 trang đích'!$C$2:$C$76,$A1816)</f>
        <v>Secured Lending</v>
      </c>
      <c r="D1816" s="20" t="s">
        <v>1194</v>
      </c>
      <c r="E1816" s="22" t="s">
        <v>1052</v>
      </c>
      <c r="F1816" s="22" t="s">
        <v>81</v>
      </c>
      <c r="G1816" s="22" t="s">
        <v>1675</v>
      </c>
      <c r="H1816" s="24" t="s">
        <v>59</v>
      </c>
      <c r="I1816" s="24" t="s">
        <v>59</v>
      </c>
      <c r="J1816" s="24" t="s">
        <v>60</v>
      </c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">
        <v>57.0</v>
      </c>
      <c r="B1817" s="35" t="str">
        <f t="array" ref="B1817">INDEX('Báo cáo 75 trang đích'!$B$2:$B$76,$A1817)</f>
        <v>https://techcombank.com/thong-tin/blog/cach-tinh-lai-vay-ngan-hang</v>
      </c>
      <c r="C1817" s="5" t="str">
        <f t="array" ref="C1817">INDEX('Báo cáo 75 trang đích'!$C$2:$C$76,$A1817)</f>
        <v>Secured Lending</v>
      </c>
      <c r="D1817" s="20" t="s">
        <v>1815</v>
      </c>
      <c r="E1817" s="22" t="s">
        <v>1056</v>
      </c>
      <c r="F1817" s="22" t="s">
        <v>81</v>
      </c>
      <c r="G1817" s="22" t="s">
        <v>1811</v>
      </c>
      <c r="H1817" s="24" t="s">
        <v>59</v>
      </c>
      <c r="I1817" s="24" t="s">
        <v>59</v>
      </c>
      <c r="J1817" s="24" t="s">
        <v>60</v>
      </c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">
        <v>57.0</v>
      </c>
      <c r="B1818" s="35" t="str">
        <f t="array" ref="B1818">INDEX('Báo cáo 75 trang đích'!$B$2:$B$76,$A1818)</f>
        <v>https://techcombank.com/thong-tin/blog/cach-tinh-lai-vay-ngan-hang</v>
      </c>
      <c r="C1818" s="5" t="str">
        <f t="array" ref="C1818">INDEX('Báo cáo 75 trang đích'!$C$2:$C$76,$A1818)</f>
        <v>Secured Lending</v>
      </c>
      <c r="D1818" s="20" t="s">
        <v>1525</v>
      </c>
      <c r="E1818" s="22" t="s">
        <v>340</v>
      </c>
      <c r="F1818" s="22" t="s">
        <v>81</v>
      </c>
      <c r="G1818" s="22" t="s">
        <v>1526</v>
      </c>
      <c r="H1818" s="24" t="s">
        <v>59</v>
      </c>
      <c r="I1818" s="24" t="s">
        <v>59</v>
      </c>
      <c r="J1818" s="24" t="s">
        <v>60</v>
      </c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">
        <v>57.0</v>
      </c>
      <c r="B1819" s="35" t="str">
        <f t="array" ref="B1819">INDEX('Báo cáo 75 trang đích'!$B$2:$B$76,$A1819)</f>
        <v>https://techcombank.com/thong-tin/blog/cach-tinh-lai-vay-ngan-hang</v>
      </c>
      <c r="C1819" s="5" t="str">
        <f t="array" ref="C1819">INDEX('Báo cáo 75 trang đích'!$C$2:$C$76,$A1819)</f>
        <v>Secured Lending</v>
      </c>
      <c r="D1819" s="20" t="s">
        <v>786</v>
      </c>
      <c r="E1819" s="22" t="s">
        <v>1048</v>
      </c>
      <c r="F1819" s="22" t="s">
        <v>81</v>
      </c>
      <c r="G1819" s="22" t="s">
        <v>1675</v>
      </c>
      <c r="H1819" s="24" t="s">
        <v>59</v>
      </c>
      <c r="I1819" s="24" t="s">
        <v>59</v>
      </c>
      <c r="J1819" s="24" t="s">
        <v>60</v>
      </c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">
        <v>57.0</v>
      </c>
      <c r="B1820" s="35" t="str">
        <f t="array" ref="B1820">INDEX('Báo cáo 75 trang đích'!$B$2:$B$76,$A1820)</f>
        <v>https://techcombank.com/thong-tin/blog/cach-tinh-lai-vay-ngan-hang</v>
      </c>
      <c r="C1820" s="5" t="str">
        <f t="array" ref="C1820">INDEX('Báo cáo 75 trang đích'!$C$2:$C$76,$A1820)</f>
        <v>Secured Lending</v>
      </c>
      <c r="D1820" s="20" t="s">
        <v>1690</v>
      </c>
      <c r="E1820" s="22" t="s">
        <v>1052</v>
      </c>
      <c r="F1820" s="22" t="s">
        <v>81</v>
      </c>
      <c r="G1820" s="22" t="s">
        <v>1675</v>
      </c>
      <c r="H1820" s="24" t="s">
        <v>59</v>
      </c>
      <c r="I1820" s="24" t="s">
        <v>59</v>
      </c>
      <c r="J1820" s="24" t="s">
        <v>60</v>
      </c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">
        <v>57.0</v>
      </c>
      <c r="B1821" s="35" t="str">
        <f t="array" ref="B1821">INDEX('Báo cáo 75 trang đích'!$B$2:$B$76,$A1821)</f>
        <v>https://techcombank.com/thong-tin/blog/cach-tinh-lai-vay-ngan-hang</v>
      </c>
      <c r="C1821" s="5" t="str">
        <f t="array" ref="C1821">INDEX('Báo cáo 75 trang đích'!$C$2:$C$76,$A1821)</f>
        <v>Secured Lending</v>
      </c>
      <c r="D1821" s="20" t="s">
        <v>1166</v>
      </c>
      <c r="E1821" s="22" t="s">
        <v>1056</v>
      </c>
      <c r="F1821" s="22" t="s">
        <v>81</v>
      </c>
      <c r="G1821" s="22" t="s">
        <v>1816</v>
      </c>
      <c r="H1821" s="24" t="s">
        <v>59</v>
      </c>
      <c r="I1821" s="24" t="s">
        <v>59</v>
      </c>
      <c r="J1821" s="24" t="s">
        <v>60</v>
      </c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">
        <v>57.0</v>
      </c>
      <c r="B1822" s="35" t="str">
        <f t="array" ref="B1822">INDEX('Báo cáo 75 trang đích'!$B$2:$B$76,$A1822)</f>
        <v>https://techcombank.com/thong-tin/blog/cach-tinh-lai-vay-ngan-hang</v>
      </c>
      <c r="C1822" s="5" t="str">
        <f t="array" ref="C1822">INDEX('Báo cáo 75 trang đích'!$C$2:$C$76,$A1822)</f>
        <v>Secured Lending</v>
      </c>
      <c r="D1822" s="20" t="s">
        <v>1691</v>
      </c>
      <c r="E1822" s="22" t="s">
        <v>340</v>
      </c>
      <c r="F1822" s="22" t="s">
        <v>81</v>
      </c>
      <c r="G1822" s="22" t="s">
        <v>1811</v>
      </c>
      <c r="H1822" s="24" t="s">
        <v>59</v>
      </c>
      <c r="I1822" s="24" t="s">
        <v>59</v>
      </c>
      <c r="J1822" s="24" t="s">
        <v>60</v>
      </c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">
        <v>57.0</v>
      </c>
      <c r="B1823" s="35" t="str">
        <f t="array" ref="B1823">INDEX('Báo cáo 75 trang đích'!$B$2:$B$76,$A1823)</f>
        <v>https://techcombank.com/thong-tin/blog/cach-tinh-lai-vay-ngan-hang</v>
      </c>
      <c r="C1823" s="5" t="str">
        <f t="array" ref="C1823">INDEX('Báo cáo 75 trang đích'!$C$2:$C$76,$A1823)</f>
        <v>Secured Lending</v>
      </c>
      <c r="D1823" s="20" t="s">
        <v>1527</v>
      </c>
      <c r="E1823" s="22" t="s">
        <v>1048</v>
      </c>
      <c r="F1823" s="22" t="s">
        <v>81</v>
      </c>
      <c r="G1823" s="22" t="s">
        <v>1817</v>
      </c>
      <c r="H1823" s="24" t="s">
        <v>59</v>
      </c>
      <c r="I1823" s="24" t="s">
        <v>59</v>
      </c>
      <c r="J1823" s="24" t="s">
        <v>60</v>
      </c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">
        <v>57.0</v>
      </c>
      <c r="B1824" s="35" t="str">
        <f t="array" ref="B1824">INDEX('Báo cáo 75 trang đích'!$B$2:$B$76,$A1824)</f>
        <v>https://techcombank.com/thong-tin/blog/cach-tinh-lai-vay-ngan-hang</v>
      </c>
      <c r="C1824" s="5" t="str">
        <f t="array" ref="C1824">INDEX('Báo cáo 75 trang đích'!$C$2:$C$76,$A1824)</f>
        <v>Secured Lending</v>
      </c>
      <c r="D1824" s="20" t="s">
        <v>1472</v>
      </c>
      <c r="E1824" s="22" t="s">
        <v>1052</v>
      </c>
      <c r="F1824" s="22" t="s">
        <v>81</v>
      </c>
      <c r="G1824" s="22" t="s">
        <v>1675</v>
      </c>
      <c r="H1824" s="24" t="s">
        <v>59</v>
      </c>
      <c r="I1824" s="24" t="s">
        <v>59</v>
      </c>
      <c r="J1824" s="24" t="s">
        <v>60</v>
      </c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">
        <v>57.0</v>
      </c>
      <c r="B1825" s="35" t="str">
        <f t="array" ref="B1825">INDEX('Báo cáo 75 trang đích'!$B$2:$B$76,$A1825)</f>
        <v>https://techcombank.com/thong-tin/blog/cach-tinh-lai-vay-ngan-hang</v>
      </c>
      <c r="C1825" s="5" t="str">
        <f t="array" ref="C1825">INDEX('Báo cáo 75 trang đích'!$C$2:$C$76,$A1825)</f>
        <v>Secured Lending</v>
      </c>
      <c r="D1825" s="20" t="s">
        <v>853</v>
      </c>
      <c r="E1825" s="22" t="s">
        <v>1056</v>
      </c>
      <c r="F1825" s="22" t="s">
        <v>81</v>
      </c>
      <c r="G1825" s="22" t="s">
        <v>1675</v>
      </c>
      <c r="H1825" s="24" t="s">
        <v>59</v>
      </c>
      <c r="I1825" s="24" t="s">
        <v>59</v>
      </c>
      <c r="J1825" s="24" t="s">
        <v>60</v>
      </c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">
        <v>57.0</v>
      </c>
      <c r="B1826" s="35" t="str">
        <f t="array" ref="B1826">INDEX('Báo cáo 75 trang đích'!$B$2:$B$76,$A1826)</f>
        <v>https://techcombank.com/thong-tin/blog/cach-tinh-lai-vay-ngan-hang</v>
      </c>
      <c r="C1826" s="5" t="str">
        <f t="array" ref="C1826">INDEX('Báo cáo 75 trang đích'!$C$2:$C$76,$A1826)</f>
        <v>Secured Lending</v>
      </c>
      <c r="D1826" s="20" t="s">
        <v>370</v>
      </c>
      <c r="E1826" s="22" t="s">
        <v>340</v>
      </c>
      <c r="F1826" s="22" t="s">
        <v>81</v>
      </c>
      <c r="G1826" s="22" t="s">
        <v>1810</v>
      </c>
      <c r="H1826" s="24" t="s">
        <v>59</v>
      </c>
      <c r="I1826" s="24" t="s">
        <v>59</v>
      </c>
      <c r="J1826" s="24" t="s">
        <v>60</v>
      </c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">
        <v>57.0</v>
      </c>
      <c r="B1827" s="35" t="str">
        <f t="array" ref="B1827">INDEX('Báo cáo 75 trang đích'!$B$2:$B$76,$A1827)</f>
        <v>https://techcombank.com/thong-tin/blog/cach-tinh-lai-vay-ngan-hang</v>
      </c>
      <c r="C1827" s="5" t="str">
        <f t="array" ref="C1827">INDEX('Báo cáo 75 trang đích'!$C$2:$C$76,$A1827)</f>
        <v>Secured Lending</v>
      </c>
      <c r="D1827" s="20" t="s">
        <v>1244</v>
      </c>
      <c r="E1827" s="22" t="s">
        <v>1048</v>
      </c>
      <c r="F1827" s="22" t="s">
        <v>81</v>
      </c>
      <c r="G1827" s="22" t="s">
        <v>1817</v>
      </c>
      <c r="H1827" s="24" t="s">
        <v>59</v>
      </c>
      <c r="I1827" s="24" t="s">
        <v>59</v>
      </c>
      <c r="J1827" s="24" t="s">
        <v>60</v>
      </c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">
        <v>57.0</v>
      </c>
      <c r="B1828" s="35" t="str">
        <f t="array" ref="B1828">INDEX('Báo cáo 75 trang đích'!$B$2:$B$76,$A1828)</f>
        <v>https://techcombank.com/thong-tin/blog/cach-tinh-lai-vay-ngan-hang</v>
      </c>
      <c r="C1828" s="5" t="str">
        <f t="array" ref="C1828">INDEX('Báo cáo 75 trang đích'!$C$2:$C$76,$A1828)</f>
        <v>Secured Lending</v>
      </c>
      <c r="D1828" s="20" t="s">
        <v>1515</v>
      </c>
      <c r="E1828" s="22" t="s">
        <v>1052</v>
      </c>
      <c r="F1828" s="22" t="s">
        <v>81</v>
      </c>
      <c r="G1828" s="22" t="s">
        <v>1818</v>
      </c>
      <c r="H1828" s="24" t="s">
        <v>59</v>
      </c>
      <c r="I1828" s="24" t="s">
        <v>59</v>
      </c>
      <c r="J1828" s="24" t="s">
        <v>60</v>
      </c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">
        <v>57.0</v>
      </c>
      <c r="B1829" s="35" t="str">
        <f t="array" ref="B1829">INDEX('Báo cáo 75 trang đích'!$B$2:$B$76,$A1829)</f>
        <v>https://techcombank.com/thong-tin/blog/cach-tinh-lai-vay-ngan-hang</v>
      </c>
      <c r="C1829" s="5" t="str">
        <f t="array" ref="C1829">INDEX('Báo cáo 75 trang đích'!$C$2:$C$76,$A1829)</f>
        <v>Secured Lending</v>
      </c>
      <c r="D1829" s="20" t="s">
        <v>1219</v>
      </c>
      <c r="E1829" s="22" t="s">
        <v>1056</v>
      </c>
      <c r="F1829" s="22" t="s">
        <v>81</v>
      </c>
      <c r="G1829" s="22" t="s">
        <v>1811</v>
      </c>
      <c r="H1829" s="24" t="s">
        <v>59</v>
      </c>
      <c r="I1829" s="24" t="s">
        <v>59</v>
      </c>
      <c r="J1829" s="24" t="s">
        <v>60</v>
      </c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">
        <v>57.0</v>
      </c>
      <c r="B1830" s="35" t="str">
        <f t="array" ref="B1830">INDEX('Báo cáo 75 trang đích'!$B$2:$B$76,$A1830)</f>
        <v>https://techcombank.com/thong-tin/blog/cach-tinh-lai-vay-ngan-hang</v>
      </c>
      <c r="C1830" s="5" t="str">
        <f t="array" ref="C1830">INDEX('Báo cáo 75 trang đích'!$C$2:$C$76,$A1830)</f>
        <v>Secured Lending</v>
      </c>
      <c r="D1830" s="20" t="s">
        <v>26</v>
      </c>
      <c r="E1830" s="22" t="s">
        <v>340</v>
      </c>
      <c r="F1830" s="22" t="s">
        <v>81</v>
      </c>
      <c r="G1830" s="22" t="s">
        <v>1810</v>
      </c>
      <c r="H1830" s="24" t="s">
        <v>59</v>
      </c>
      <c r="I1830" s="24" t="s">
        <v>59</v>
      </c>
      <c r="J1830" s="24" t="s">
        <v>60</v>
      </c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">
        <v>57.0</v>
      </c>
      <c r="B1831" s="35" t="str">
        <f t="array" ref="B1831">INDEX('Báo cáo 75 trang đích'!$B$2:$B$76,$A1831)</f>
        <v>https://techcombank.com/thong-tin/blog/cach-tinh-lai-vay-ngan-hang</v>
      </c>
      <c r="C1831" s="5" t="str">
        <f t="array" ref="C1831">INDEX('Báo cáo 75 trang đích'!$C$2:$C$76,$A1831)</f>
        <v>Secured Lending</v>
      </c>
      <c r="D1831" s="20" t="s">
        <v>734</v>
      </c>
      <c r="E1831" s="22" t="s">
        <v>1048</v>
      </c>
      <c r="F1831" s="22" t="s">
        <v>81</v>
      </c>
      <c r="G1831" s="22" t="s">
        <v>1811</v>
      </c>
      <c r="H1831" s="24" t="s">
        <v>59</v>
      </c>
      <c r="I1831" s="24" t="s">
        <v>59</v>
      </c>
      <c r="J1831" s="24" t="s">
        <v>60</v>
      </c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">
        <v>57.0</v>
      </c>
      <c r="B1832" s="35" t="str">
        <f t="array" ref="B1832">INDEX('Báo cáo 75 trang đích'!$B$2:$B$76,$A1832)</f>
        <v>https://techcombank.com/thong-tin/blog/cach-tinh-lai-vay-ngan-hang</v>
      </c>
      <c r="C1832" s="5" t="str">
        <f t="array" ref="C1832">INDEX('Báo cáo 75 trang đích'!$C$2:$C$76,$A1832)</f>
        <v>Secured Lending</v>
      </c>
      <c r="D1832" s="20" t="s">
        <v>728</v>
      </c>
      <c r="E1832" s="22" t="s">
        <v>1052</v>
      </c>
      <c r="F1832" s="22" t="s">
        <v>81</v>
      </c>
      <c r="G1832" s="22" t="s">
        <v>1819</v>
      </c>
      <c r="H1832" s="24" t="s">
        <v>59</v>
      </c>
      <c r="I1832" s="24" t="s">
        <v>59</v>
      </c>
      <c r="J1832" s="24" t="s">
        <v>60</v>
      </c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">
        <v>57.0</v>
      </c>
      <c r="B1833" s="35" t="str">
        <f t="array" ref="B1833">INDEX('Báo cáo 75 trang đích'!$B$2:$B$76,$A1833)</f>
        <v>https://techcombank.com/thong-tin/blog/cach-tinh-lai-vay-ngan-hang</v>
      </c>
      <c r="C1833" s="5" t="str">
        <f t="array" ref="C1833">INDEX('Báo cáo 75 trang đích'!$C$2:$C$76,$A1833)</f>
        <v>Secured Lending</v>
      </c>
      <c r="D1833" s="20" t="s">
        <v>1517</v>
      </c>
      <c r="E1833" s="22" t="s">
        <v>1056</v>
      </c>
      <c r="F1833" s="22" t="s">
        <v>81</v>
      </c>
      <c r="G1833" s="22" t="s">
        <v>1818</v>
      </c>
      <c r="H1833" s="24" t="s">
        <v>59</v>
      </c>
      <c r="I1833" s="24" t="s">
        <v>59</v>
      </c>
      <c r="J1833" s="24" t="s">
        <v>60</v>
      </c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">
        <v>57.0</v>
      </c>
      <c r="B1834" s="35" t="str">
        <f t="array" ref="B1834">INDEX('Báo cáo 75 trang đích'!$B$2:$B$76,$A1834)</f>
        <v>https://techcombank.com/thong-tin/blog/cach-tinh-lai-vay-ngan-hang</v>
      </c>
      <c r="C1834" s="5" t="str">
        <f t="array" ref="C1834">INDEX('Báo cáo 75 trang đích'!$C$2:$C$76,$A1834)</f>
        <v>Secured Lending</v>
      </c>
      <c r="D1834" s="20" t="s">
        <v>1175</v>
      </c>
      <c r="E1834" s="22" t="s">
        <v>340</v>
      </c>
      <c r="F1834" s="22" t="s">
        <v>81</v>
      </c>
      <c r="G1834" s="22" t="s">
        <v>1675</v>
      </c>
      <c r="H1834" s="24" t="s">
        <v>59</v>
      </c>
      <c r="I1834" s="24" t="s">
        <v>59</v>
      </c>
      <c r="J1834" s="24" t="s">
        <v>60</v>
      </c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">
        <v>57.0</v>
      </c>
      <c r="B1835" s="35" t="str">
        <f t="array" ref="B1835">INDEX('Báo cáo 75 trang đích'!$B$2:$B$76,$A1835)</f>
        <v>https://techcombank.com/thong-tin/blog/cach-tinh-lai-vay-ngan-hang</v>
      </c>
      <c r="C1835" s="5" t="str">
        <f t="array" ref="C1835">INDEX('Báo cáo 75 trang đích'!$C$2:$C$76,$A1835)</f>
        <v>Secured Lending</v>
      </c>
      <c r="D1835" s="20" t="s">
        <v>737</v>
      </c>
      <c r="E1835" s="22" t="s">
        <v>1048</v>
      </c>
      <c r="F1835" s="22" t="s">
        <v>81</v>
      </c>
      <c r="G1835" s="22" t="s">
        <v>1675</v>
      </c>
      <c r="H1835" s="24" t="s">
        <v>59</v>
      </c>
      <c r="I1835" s="24" t="s">
        <v>59</v>
      </c>
      <c r="J1835" s="24" t="s">
        <v>60</v>
      </c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">
        <v>57.0</v>
      </c>
      <c r="B1836" s="35" t="str">
        <f t="array" ref="B1836">INDEX('Báo cáo 75 trang đích'!$B$2:$B$76,$A1836)</f>
        <v>https://techcombank.com/thong-tin/blog/cach-tinh-lai-vay-ngan-hang</v>
      </c>
      <c r="C1836" s="5" t="str">
        <f t="array" ref="C1836">INDEX('Báo cáo 75 trang đích'!$C$2:$C$76,$A1836)</f>
        <v>Secured Lending</v>
      </c>
      <c r="D1836" s="20" t="s">
        <v>1293</v>
      </c>
      <c r="E1836" s="22" t="s">
        <v>1052</v>
      </c>
      <c r="F1836" s="22" t="s">
        <v>81</v>
      </c>
      <c r="G1836" s="22" t="s">
        <v>1675</v>
      </c>
      <c r="H1836" s="24" t="s">
        <v>59</v>
      </c>
      <c r="I1836" s="24" t="s">
        <v>59</v>
      </c>
      <c r="J1836" s="24" t="s">
        <v>60</v>
      </c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">
        <v>57.0</v>
      </c>
      <c r="B1837" s="35" t="str">
        <f t="array" ref="B1837">INDEX('Báo cáo 75 trang đích'!$B$2:$B$76,$A1837)</f>
        <v>https://techcombank.com/thong-tin/blog/cach-tinh-lai-vay-ngan-hang</v>
      </c>
      <c r="C1837" s="5" t="str">
        <f t="array" ref="C1837">INDEX('Báo cáo 75 trang đích'!$C$2:$C$76,$A1837)</f>
        <v>Secured Lending</v>
      </c>
      <c r="D1837" s="20" t="s">
        <v>1820</v>
      </c>
      <c r="E1837" s="22" t="s">
        <v>1056</v>
      </c>
      <c r="F1837" s="22" t="s">
        <v>81</v>
      </c>
      <c r="G1837" s="22" t="s">
        <v>1811</v>
      </c>
      <c r="H1837" s="24" t="s">
        <v>59</v>
      </c>
      <c r="I1837" s="24" t="s">
        <v>59</v>
      </c>
      <c r="J1837" s="24" t="s">
        <v>60</v>
      </c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">
        <v>57.0</v>
      </c>
      <c r="B1838" s="35" t="str">
        <f t="array" ref="B1838">INDEX('Báo cáo 75 trang đích'!$B$2:$B$76,$A1838)</f>
        <v>https://techcombank.com/thong-tin/blog/cach-tinh-lai-vay-ngan-hang</v>
      </c>
      <c r="C1838" s="5" t="str">
        <f t="array" ref="C1838">INDEX('Báo cáo 75 trang đích'!$C$2:$C$76,$A1838)</f>
        <v>Secured Lending</v>
      </c>
      <c r="D1838" s="20" t="s">
        <v>1518</v>
      </c>
      <c r="E1838" s="22" t="s">
        <v>340</v>
      </c>
      <c r="F1838" s="22" t="s">
        <v>81</v>
      </c>
      <c r="G1838" s="22" t="s">
        <v>1675</v>
      </c>
      <c r="H1838" s="24" t="s">
        <v>59</v>
      </c>
      <c r="I1838" s="24" t="s">
        <v>59</v>
      </c>
      <c r="J1838" s="24" t="s">
        <v>60</v>
      </c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">
        <v>57.0</v>
      </c>
      <c r="B1839" s="35" t="str">
        <f t="array" ref="B1839">INDEX('Báo cáo 75 trang đích'!$B$2:$B$76,$A1839)</f>
        <v>https://techcombank.com/thong-tin/blog/cach-tinh-lai-vay-ngan-hang</v>
      </c>
      <c r="C1839" s="5" t="str">
        <f t="array" ref="C1839">INDEX('Báo cáo 75 trang đích'!$C$2:$C$76,$A1839)</f>
        <v>Secured Lending</v>
      </c>
      <c r="D1839" s="20" t="s">
        <v>964</v>
      </c>
      <c r="E1839" s="22" t="s">
        <v>1048</v>
      </c>
      <c r="F1839" s="22" t="s">
        <v>81</v>
      </c>
      <c r="G1839" s="22" t="s">
        <v>1811</v>
      </c>
      <c r="H1839" s="24" t="s">
        <v>59</v>
      </c>
      <c r="I1839" s="24" t="s">
        <v>59</v>
      </c>
      <c r="J1839" s="24" t="s">
        <v>60</v>
      </c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">
        <v>57.0</v>
      </c>
      <c r="B1840" s="35" t="str">
        <f t="array" ref="B1840">INDEX('Báo cáo 75 trang đích'!$B$2:$B$76,$A1840)</f>
        <v>https://techcombank.com/thong-tin/blog/cach-tinh-lai-vay-ngan-hang</v>
      </c>
      <c r="C1840" s="5" t="str">
        <f t="array" ref="C1840">INDEX('Báo cáo 75 trang đích'!$C$2:$C$76,$A1840)</f>
        <v>Secured Lending</v>
      </c>
      <c r="D1840" s="20" t="s">
        <v>1230</v>
      </c>
      <c r="E1840" s="22" t="s">
        <v>1052</v>
      </c>
      <c r="F1840" s="22" t="s">
        <v>81</v>
      </c>
      <c r="G1840" s="22" t="s">
        <v>1812</v>
      </c>
      <c r="H1840" s="24" t="s">
        <v>59</v>
      </c>
      <c r="I1840" s="24" t="s">
        <v>59</v>
      </c>
      <c r="J1840" s="24" t="s">
        <v>60</v>
      </c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">
        <v>57.0</v>
      </c>
      <c r="B1841" s="35" t="str">
        <f t="array" ref="B1841">INDEX('Báo cáo 75 trang đích'!$B$2:$B$76,$A1841)</f>
        <v>https://techcombank.com/thong-tin/blog/cach-tinh-lai-vay-ngan-hang</v>
      </c>
      <c r="C1841" s="5" t="str">
        <f t="array" ref="C1841">INDEX('Báo cáo 75 trang đích'!$C$2:$C$76,$A1841)</f>
        <v>Secured Lending</v>
      </c>
      <c r="D1841" s="20" t="s">
        <v>1695</v>
      </c>
      <c r="E1841" s="22" t="s">
        <v>1056</v>
      </c>
      <c r="F1841" s="22" t="s">
        <v>81</v>
      </c>
      <c r="G1841" s="22" t="s">
        <v>1675</v>
      </c>
      <c r="H1841" s="24" t="s">
        <v>59</v>
      </c>
      <c r="I1841" s="24" t="s">
        <v>59</v>
      </c>
      <c r="J1841" s="24" t="s">
        <v>60</v>
      </c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">
        <v>57.0</v>
      </c>
      <c r="B1842" s="35" t="str">
        <f t="array" ref="B1842">INDEX('Báo cáo 75 trang đích'!$B$2:$B$76,$A1842)</f>
        <v>https://techcombank.com/thong-tin/blog/cach-tinh-lai-vay-ngan-hang</v>
      </c>
      <c r="C1842" s="5" t="str">
        <f t="array" ref="C1842">INDEX('Báo cáo 75 trang đích'!$C$2:$C$76,$A1842)</f>
        <v>Secured Lending</v>
      </c>
      <c r="D1842" s="20" t="s">
        <v>1696</v>
      </c>
      <c r="E1842" s="22" t="s">
        <v>340</v>
      </c>
      <c r="F1842" s="22" t="s">
        <v>81</v>
      </c>
      <c r="G1842" s="22" t="s">
        <v>1811</v>
      </c>
      <c r="H1842" s="24" t="s">
        <v>59</v>
      </c>
      <c r="I1842" s="24" t="s">
        <v>59</v>
      </c>
      <c r="J1842" s="24" t="s">
        <v>60</v>
      </c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">
        <v>57.0</v>
      </c>
      <c r="B1843" s="35" t="str">
        <f t="array" ref="B1843">INDEX('Báo cáo 75 trang đích'!$B$2:$B$76,$A1843)</f>
        <v>https://techcombank.com/thong-tin/blog/cach-tinh-lai-vay-ngan-hang</v>
      </c>
      <c r="C1843" s="5" t="str">
        <f t="array" ref="C1843">INDEX('Báo cáo 75 trang đích'!$C$2:$C$76,$A1843)</f>
        <v>Secured Lending</v>
      </c>
      <c r="D1843" s="20" t="s">
        <v>1821</v>
      </c>
      <c r="E1843" s="22" t="s">
        <v>1048</v>
      </c>
      <c r="F1843" s="22" t="s">
        <v>81</v>
      </c>
      <c r="G1843" s="22" t="s">
        <v>1811</v>
      </c>
      <c r="H1843" s="24" t="s">
        <v>59</v>
      </c>
      <c r="I1843" s="24" t="s">
        <v>59</v>
      </c>
      <c r="J1843" s="24" t="s">
        <v>60</v>
      </c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">
        <v>58.0</v>
      </c>
      <c r="B1844" s="35" t="str">
        <f t="array" ref="B1844">INDEX('Báo cáo 75 trang đích'!$B$2:$B$76,$A1844)</f>
        <v>https://techcombank.com/thong-tin/blog/lai-suat-vay-the-chap-so-do</v>
      </c>
      <c r="C1844" s="5" t="str">
        <f t="array" ref="C1844">INDEX('Báo cáo 75 trang đích'!$C$2:$C$76,$A1844)</f>
        <v>Secured Lending</v>
      </c>
      <c r="D1844" s="20" t="s">
        <v>132</v>
      </c>
      <c r="E1844" s="22" t="s">
        <v>347</v>
      </c>
      <c r="F1844" s="22" t="s">
        <v>57</v>
      </c>
      <c r="G1844" s="22" t="s">
        <v>1822</v>
      </c>
      <c r="H1844" s="24" t="s">
        <v>59</v>
      </c>
      <c r="I1844" s="24" t="s">
        <v>59</v>
      </c>
      <c r="J1844" s="24" t="s">
        <v>60</v>
      </c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">
        <v>58.0</v>
      </c>
      <c r="B1845" s="35" t="str">
        <f t="array" ref="B1845">INDEX('Báo cáo 75 trang đích'!$B$2:$B$76,$A1845)</f>
        <v>https://techcombank.com/thong-tin/blog/lai-suat-vay-the-chap-so-do</v>
      </c>
      <c r="C1845" s="5" t="str">
        <f t="array" ref="C1845">INDEX('Báo cáo 75 trang đích'!$C$2:$C$76,$A1845)</f>
        <v>Secured Lending</v>
      </c>
      <c r="D1845" s="20" t="s">
        <v>1061</v>
      </c>
      <c r="E1845" s="22" t="s">
        <v>1063</v>
      </c>
      <c r="F1845" s="22" t="s">
        <v>57</v>
      </c>
      <c r="G1845" s="22" t="s">
        <v>1823</v>
      </c>
      <c r="H1845" s="24" t="s">
        <v>59</v>
      </c>
      <c r="I1845" s="24" t="s">
        <v>59</v>
      </c>
      <c r="J1845" s="24" t="s">
        <v>60</v>
      </c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">
        <v>58.0</v>
      </c>
      <c r="B1846" s="35" t="str">
        <f t="array" ref="B1846">INDEX('Báo cáo 75 trang đích'!$B$2:$B$76,$A1846)</f>
        <v>https://techcombank.com/thong-tin/blog/lai-suat-vay-the-chap-so-do</v>
      </c>
      <c r="C1846" s="5" t="str">
        <f t="array" ref="C1846">INDEX('Báo cáo 75 trang đích'!$C$2:$C$76,$A1846)</f>
        <v>Secured Lending</v>
      </c>
      <c r="D1846" s="20" t="s">
        <v>1064</v>
      </c>
      <c r="E1846" s="22" t="s">
        <v>1066</v>
      </c>
      <c r="F1846" s="22" t="s">
        <v>57</v>
      </c>
      <c r="G1846" s="22" t="s">
        <v>1824</v>
      </c>
      <c r="H1846" s="24" t="s">
        <v>59</v>
      </c>
      <c r="I1846" s="24" t="s">
        <v>59</v>
      </c>
      <c r="J1846" s="24" t="s">
        <v>60</v>
      </c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">
        <v>58.0</v>
      </c>
      <c r="B1847" s="35" t="str">
        <f t="array" ref="B1847">INDEX('Báo cáo 75 trang đích'!$B$2:$B$76,$A1847)</f>
        <v>https://techcombank.com/thong-tin/blog/lai-suat-vay-the-chap-so-do</v>
      </c>
      <c r="C1847" s="5" t="str">
        <f t="array" ref="C1847">INDEX('Báo cáo 75 trang đích'!$C$2:$C$76,$A1847)</f>
        <v>Secured Lending</v>
      </c>
      <c r="D1847" s="20" t="s">
        <v>624</v>
      </c>
      <c r="E1847" s="22" t="s">
        <v>1068</v>
      </c>
      <c r="F1847" s="22" t="s">
        <v>57</v>
      </c>
      <c r="G1847" s="22" t="s">
        <v>1825</v>
      </c>
      <c r="H1847" s="24" t="s">
        <v>59</v>
      </c>
      <c r="I1847" s="24" t="s">
        <v>59</v>
      </c>
      <c r="J1847" s="24" t="s">
        <v>60</v>
      </c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">
        <v>58.0</v>
      </c>
      <c r="B1848" s="35" t="str">
        <f t="array" ref="B1848">INDEX('Báo cáo 75 trang đích'!$B$2:$B$76,$A1848)</f>
        <v>https://techcombank.com/thong-tin/blog/lai-suat-vay-the-chap-so-do</v>
      </c>
      <c r="C1848" s="5" t="str">
        <f t="array" ref="C1848">INDEX('Báo cáo 75 trang đích'!$C$2:$C$76,$A1848)</f>
        <v>Secured Lending</v>
      </c>
      <c r="D1848" s="20" t="s">
        <v>1069</v>
      </c>
      <c r="E1848" s="22" t="s">
        <v>347</v>
      </c>
      <c r="F1848" s="22" t="s">
        <v>76</v>
      </c>
      <c r="G1848" s="22" t="s">
        <v>1826</v>
      </c>
      <c r="H1848" s="24" t="s">
        <v>59</v>
      </c>
      <c r="I1848" s="24" t="s">
        <v>59</v>
      </c>
      <c r="J1848" s="24" t="s">
        <v>60</v>
      </c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">
        <v>58.0</v>
      </c>
      <c r="B1849" s="35" t="str">
        <f t="array" ref="B1849">INDEX('Báo cáo 75 trang đích'!$B$2:$B$76,$A1849)</f>
        <v>https://techcombank.com/thong-tin/blog/lai-suat-vay-the-chap-so-do</v>
      </c>
      <c r="C1849" s="5" t="str">
        <f t="array" ref="C1849">INDEX('Báo cáo 75 trang đích'!$C$2:$C$76,$A1849)</f>
        <v>Secured Lending</v>
      </c>
      <c r="D1849" s="20" t="s">
        <v>1827</v>
      </c>
      <c r="E1849" s="22" t="s">
        <v>1063</v>
      </c>
      <c r="F1849" s="22" t="s">
        <v>81</v>
      </c>
      <c r="G1849" s="22" t="s">
        <v>1828</v>
      </c>
      <c r="H1849" s="24" t="s">
        <v>59</v>
      </c>
      <c r="I1849" s="24" t="s">
        <v>59</v>
      </c>
      <c r="J1849" s="24" t="s">
        <v>60</v>
      </c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">
        <v>58.0</v>
      </c>
      <c r="B1850" s="35" t="str">
        <f t="array" ref="B1850">INDEX('Báo cáo 75 trang đích'!$B$2:$B$76,$A1850)</f>
        <v>https://techcombank.com/thong-tin/blog/lai-suat-vay-the-chap-so-do</v>
      </c>
      <c r="C1850" s="5" t="str">
        <f t="array" ref="C1850">INDEX('Báo cáo 75 trang đích'!$C$2:$C$76,$A1850)</f>
        <v>Secured Lending</v>
      </c>
      <c r="D1850" s="20" t="s">
        <v>1829</v>
      </c>
      <c r="E1850" s="22" t="s">
        <v>1066</v>
      </c>
      <c r="F1850" s="22" t="s">
        <v>81</v>
      </c>
      <c r="G1850" s="22" t="s">
        <v>1828</v>
      </c>
      <c r="H1850" s="24" t="s">
        <v>59</v>
      </c>
      <c r="I1850" s="24" t="s">
        <v>59</v>
      </c>
      <c r="J1850" s="24" t="s">
        <v>60</v>
      </c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">
        <v>58.0</v>
      </c>
      <c r="B1851" s="35" t="str">
        <f t="array" ref="B1851">INDEX('Báo cáo 75 trang đích'!$B$2:$B$76,$A1851)</f>
        <v>https://techcombank.com/thong-tin/blog/lai-suat-vay-the-chap-so-do</v>
      </c>
      <c r="C1851" s="5" t="str">
        <f t="array" ref="C1851">INDEX('Báo cáo 75 trang đích'!$C$2:$C$76,$A1851)</f>
        <v>Secured Lending</v>
      </c>
      <c r="D1851" s="20" t="s">
        <v>1671</v>
      </c>
      <c r="E1851" s="22" t="s">
        <v>1068</v>
      </c>
      <c r="F1851" s="22" t="s">
        <v>81</v>
      </c>
      <c r="G1851" s="22" t="s">
        <v>1828</v>
      </c>
      <c r="H1851" s="24" t="s">
        <v>59</v>
      </c>
      <c r="I1851" s="24" t="s">
        <v>59</v>
      </c>
      <c r="J1851" s="24" t="s">
        <v>60</v>
      </c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">
        <v>58.0</v>
      </c>
      <c r="B1852" s="35" t="str">
        <f t="array" ref="B1852">INDEX('Báo cáo 75 trang đích'!$B$2:$B$76,$A1852)</f>
        <v>https://techcombank.com/thong-tin/blog/lai-suat-vay-the-chap-so-do</v>
      </c>
      <c r="C1852" s="5" t="str">
        <f t="array" ref="C1852">INDEX('Báo cáo 75 trang đích'!$C$2:$C$76,$A1852)</f>
        <v>Secured Lending</v>
      </c>
      <c r="D1852" s="20" t="s">
        <v>1673</v>
      </c>
      <c r="E1852" s="22" t="s">
        <v>347</v>
      </c>
      <c r="F1852" s="22" t="s">
        <v>81</v>
      </c>
      <c r="G1852" s="22" t="s">
        <v>1828</v>
      </c>
      <c r="H1852" s="24" t="s">
        <v>59</v>
      </c>
      <c r="I1852" s="24" t="s">
        <v>59</v>
      </c>
      <c r="J1852" s="24" t="s">
        <v>60</v>
      </c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">
        <v>58.0</v>
      </c>
      <c r="B1853" s="35" t="str">
        <f t="array" ref="B1853">INDEX('Báo cáo 75 trang đích'!$B$2:$B$76,$A1853)</f>
        <v>https://techcombank.com/thong-tin/blog/lai-suat-vay-the-chap-so-do</v>
      </c>
      <c r="C1853" s="5" t="str">
        <f t="array" ref="C1853">INDEX('Báo cáo 75 trang đích'!$C$2:$C$76,$A1853)</f>
        <v>Secured Lending</v>
      </c>
      <c r="D1853" s="20" t="s">
        <v>1508</v>
      </c>
      <c r="E1853" s="22" t="s">
        <v>1063</v>
      </c>
      <c r="F1853" s="22" t="s">
        <v>81</v>
      </c>
      <c r="G1853" s="22" t="s">
        <v>1828</v>
      </c>
      <c r="H1853" s="24" t="s">
        <v>59</v>
      </c>
      <c r="I1853" s="24" t="s">
        <v>59</v>
      </c>
      <c r="J1853" s="24" t="s">
        <v>60</v>
      </c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">
        <v>58.0</v>
      </c>
      <c r="B1854" s="35" t="str">
        <f t="array" ref="B1854">INDEX('Báo cáo 75 trang đích'!$B$2:$B$76,$A1854)</f>
        <v>https://techcombank.com/thong-tin/blog/lai-suat-vay-the-chap-so-do</v>
      </c>
      <c r="C1854" s="5" t="str">
        <f t="array" ref="C1854">INDEX('Báo cáo 75 trang đích'!$C$2:$C$76,$A1854)</f>
        <v>Secured Lending</v>
      </c>
      <c r="D1854" s="20" t="s">
        <v>1674</v>
      </c>
      <c r="E1854" s="22" t="s">
        <v>1066</v>
      </c>
      <c r="F1854" s="22" t="s">
        <v>81</v>
      </c>
      <c r="G1854" s="22" t="s">
        <v>1828</v>
      </c>
      <c r="H1854" s="24" t="s">
        <v>59</v>
      </c>
      <c r="I1854" s="24" t="s">
        <v>59</v>
      </c>
      <c r="J1854" s="24" t="s">
        <v>60</v>
      </c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">
        <v>58.0</v>
      </c>
      <c r="B1855" s="35" t="str">
        <f t="array" ref="B1855">INDEX('Báo cáo 75 trang đích'!$B$2:$B$76,$A1855)</f>
        <v>https://techcombank.com/thong-tin/blog/lai-suat-vay-the-chap-so-do</v>
      </c>
      <c r="C1855" s="5" t="str">
        <f t="array" ref="C1855">INDEX('Báo cáo 75 trang đích'!$C$2:$C$76,$A1855)</f>
        <v>Secured Lending</v>
      </c>
      <c r="D1855" s="20" t="s">
        <v>1248</v>
      </c>
      <c r="E1855" s="22" t="s">
        <v>1068</v>
      </c>
      <c r="F1855" s="22" t="s">
        <v>81</v>
      </c>
      <c r="G1855" s="22" t="s">
        <v>1828</v>
      </c>
      <c r="H1855" s="24" t="s">
        <v>59</v>
      </c>
      <c r="I1855" s="24" t="s">
        <v>59</v>
      </c>
      <c r="J1855" s="24" t="s">
        <v>60</v>
      </c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">
        <v>58.0</v>
      </c>
      <c r="B1856" s="35" t="str">
        <f t="array" ref="B1856">INDEX('Báo cáo 75 trang đích'!$B$2:$B$76,$A1856)</f>
        <v>https://techcombank.com/thong-tin/blog/lai-suat-vay-the-chap-so-do</v>
      </c>
      <c r="C1856" s="5" t="str">
        <f t="array" ref="C1856">INDEX('Báo cáo 75 trang đích'!$C$2:$C$76,$A1856)</f>
        <v>Secured Lending</v>
      </c>
      <c r="D1856" s="20" t="s">
        <v>1676</v>
      </c>
      <c r="E1856" s="22" t="s">
        <v>347</v>
      </c>
      <c r="F1856" s="22" t="s">
        <v>81</v>
      </c>
      <c r="G1856" s="22" t="s">
        <v>1828</v>
      </c>
      <c r="H1856" s="24" t="s">
        <v>59</v>
      </c>
      <c r="I1856" s="24" t="s">
        <v>59</v>
      </c>
      <c r="J1856" s="24" t="s">
        <v>60</v>
      </c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">
        <v>58.0</v>
      </c>
      <c r="B1857" s="35" t="str">
        <f t="array" ref="B1857">INDEX('Báo cáo 75 trang đích'!$B$2:$B$76,$A1857)</f>
        <v>https://techcombank.com/thong-tin/blog/lai-suat-vay-the-chap-so-do</v>
      </c>
      <c r="C1857" s="5" t="str">
        <f t="array" ref="C1857">INDEX('Báo cáo 75 trang đích'!$C$2:$C$76,$A1857)</f>
        <v>Secured Lending</v>
      </c>
      <c r="D1857" s="20" t="s">
        <v>1679</v>
      </c>
      <c r="E1857" s="22" t="s">
        <v>1063</v>
      </c>
      <c r="F1857" s="22" t="s">
        <v>81</v>
      </c>
      <c r="G1857" s="22" t="s">
        <v>1828</v>
      </c>
      <c r="H1857" s="24" t="s">
        <v>59</v>
      </c>
      <c r="I1857" s="24" t="s">
        <v>59</v>
      </c>
      <c r="J1857" s="24" t="s">
        <v>60</v>
      </c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">
        <v>58.0</v>
      </c>
      <c r="B1858" s="35" t="str">
        <f t="array" ref="B1858">INDEX('Báo cáo 75 trang đích'!$B$2:$B$76,$A1858)</f>
        <v>https://techcombank.com/thong-tin/blog/lai-suat-vay-the-chap-so-do</v>
      </c>
      <c r="C1858" s="5" t="str">
        <f t="array" ref="C1858">INDEX('Báo cáo 75 trang đích'!$C$2:$C$76,$A1858)</f>
        <v>Secured Lending</v>
      </c>
      <c r="D1858" s="20" t="s">
        <v>1238</v>
      </c>
      <c r="E1858" s="22" t="s">
        <v>1066</v>
      </c>
      <c r="F1858" s="22" t="s">
        <v>81</v>
      </c>
      <c r="G1858" s="22" t="s">
        <v>1828</v>
      </c>
      <c r="H1858" s="24" t="s">
        <v>59</v>
      </c>
      <c r="I1858" s="24" t="s">
        <v>59</v>
      </c>
      <c r="J1858" s="24" t="s">
        <v>60</v>
      </c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">
        <v>58.0</v>
      </c>
      <c r="B1859" s="35" t="str">
        <f t="array" ref="B1859">INDEX('Báo cáo 75 trang đích'!$B$2:$B$76,$A1859)</f>
        <v>https://techcombank.com/thong-tin/blog/lai-suat-vay-the-chap-so-do</v>
      </c>
      <c r="C1859" s="5" t="str">
        <f t="array" ref="C1859">INDEX('Báo cáo 75 trang đích'!$C$2:$C$76,$A1859)</f>
        <v>Secured Lending</v>
      </c>
      <c r="D1859" s="20" t="s">
        <v>969</v>
      </c>
      <c r="E1859" s="22" t="s">
        <v>1068</v>
      </c>
      <c r="F1859" s="22" t="s">
        <v>81</v>
      </c>
      <c r="G1859" s="22" t="s">
        <v>1828</v>
      </c>
      <c r="H1859" s="24" t="s">
        <v>59</v>
      </c>
      <c r="I1859" s="24" t="s">
        <v>59</v>
      </c>
      <c r="J1859" s="24" t="s">
        <v>60</v>
      </c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">
        <v>58.0</v>
      </c>
      <c r="B1860" s="35" t="str">
        <f t="array" ref="B1860">INDEX('Báo cáo 75 trang đích'!$B$2:$B$76,$A1860)</f>
        <v>https://techcombank.com/thong-tin/blog/lai-suat-vay-the-chap-so-do</v>
      </c>
      <c r="C1860" s="5" t="str">
        <f t="array" ref="C1860">INDEX('Báo cáo 75 trang đích'!$C$2:$C$76,$A1860)</f>
        <v>Secured Lending</v>
      </c>
      <c r="D1860" s="20" t="s">
        <v>1072</v>
      </c>
      <c r="E1860" s="22" t="s">
        <v>347</v>
      </c>
      <c r="F1860" s="22" t="s">
        <v>81</v>
      </c>
      <c r="G1860" s="22" t="s">
        <v>1828</v>
      </c>
      <c r="H1860" s="24" t="s">
        <v>59</v>
      </c>
      <c r="I1860" s="24" t="s">
        <v>59</v>
      </c>
      <c r="J1860" s="24" t="s">
        <v>60</v>
      </c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">
        <v>58.0</v>
      </c>
      <c r="B1861" s="35" t="str">
        <f t="array" ref="B1861">INDEX('Báo cáo 75 trang đích'!$B$2:$B$76,$A1861)</f>
        <v>https://techcombank.com/thong-tin/blog/lai-suat-vay-the-chap-so-do</v>
      </c>
      <c r="C1861" s="5" t="str">
        <f t="array" ref="C1861">INDEX('Báo cáo 75 trang đích'!$C$2:$C$76,$A1861)</f>
        <v>Secured Lending</v>
      </c>
      <c r="D1861" s="20" t="s">
        <v>75</v>
      </c>
      <c r="E1861" s="22" t="s">
        <v>1063</v>
      </c>
      <c r="F1861" s="22" t="s">
        <v>81</v>
      </c>
      <c r="G1861" s="22" t="s">
        <v>1828</v>
      </c>
      <c r="H1861" s="24" t="s">
        <v>59</v>
      </c>
      <c r="I1861" s="24" t="s">
        <v>59</v>
      </c>
      <c r="J1861" s="24" t="s">
        <v>60</v>
      </c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">
        <v>58.0</v>
      </c>
      <c r="B1862" s="35" t="str">
        <f t="array" ref="B1862">INDEX('Báo cáo 75 trang đích'!$B$2:$B$76,$A1862)</f>
        <v>https://techcombank.com/thong-tin/blog/lai-suat-vay-the-chap-so-do</v>
      </c>
      <c r="C1862" s="5" t="str">
        <f t="array" ref="C1862">INDEX('Báo cáo 75 trang đích'!$C$2:$C$76,$A1862)</f>
        <v>Secured Lending</v>
      </c>
      <c r="D1862" s="20" t="s">
        <v>458</v>
      </c>
      <c r="E1862" s="22" t="s">
        <v>1066</v>
      </c>
      <c r="F1862" s="22" t="s">
        <v>81</v>
      </c>
      <c r="G1862" s="22" t="s">
        <v>1828</v>
      </c>
      <c r="H1862" s="24" t="s">
        <v>59</v>
      </c>
      <c r="I1862" s="24" t="s">
        <v>59</v>
      </c>
      <c r="J1862" s="24" t="s">
        <v>60</v>
      </c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">
        <v>58.0</v>
      </c>
      <c r="B1863" s="35" t="str">
        <f t="array" ref="B1863">INDEX('Báo cáo 75 trang đích'!$B$2:$B$76,$A1863)</f>
        <v>https://techcombank.com/thong-tin/blog/lai-suat-vay-the-chap-so-do</v>
      </c>
      <c r="C1863" s="5" t="str">
        <f t="array" ref="C1863">INDEX('Báo cáo 75 trang đích'!$C$2:$C$76,$A1863)</f>
        <v>Secured Lending</v>
      </c>
      <c r="D1863" s="20" t="s">
        <v>90</v>
      </c>
      <c r="E1863" s="22" t="s">
        <v>1068</v>
      </c>
      <c r="F1863" s="22" t="s">
        <v>81</v>
      </c>
      <c r="G1863" s="22" t="s">
        <v>1830</v>
      </c>
      <c r="H1863" s="24" t="s">
        <v>59</v>
      </c>
      <c r="I1863" s="24" t="s">
        <v>59</v>
      </c>
      <c r="J1863" s="24" t="s">
        <v>60</v>
      </c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">
        <v>58.0</v>
      </c>
      <c r="B1864" s="35" t="str">
        <f t="array" ref="B1864">INDEX('Báo cáo 75 trang đích'!$B$2:$B$76,$A1864)</f>
        <v>https://techcombank.com/thong-tin/blog/lai-suat-vay-the-chap-so-do</v>
      </c>
      <c r="C1864" s="5" t="str">
        <f t="array" ref="C1864">INDEX('Báo cáo 75 trang đích'!$C$2:$C$76,$A1864)</f>
        <v>Secured Lending</v>
      </c>
      <c r="D1864" s="20" t="s">
        <v>71</v>
      </c>
      <c r="E1864" s="22" t="s">
        <v>347</v>
      </c>
      <c r="F1864" s="22" t="s">
        <v>81</v>
      </c>
      <c r="G1864" s="22" t="s">
        <v>1828</v>
      </c>
      <c r="H1864" s="24" t="s">
        <v>59</v>
      </c>
      <c r="I1864" s="24" t="s">
        <v>59</v>
      </c>
      <c r="J1864" s="24" t="s">
        <v>60</v>
      </c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">
        <v>58.0</v>
      </c>
      <c r="B1865" s="35" t="str">
        <f t="array" ref="B1865">INDEX('Báo cáo 75 trang đích'!$B$2:$B$76,$A1865)</f>
        <v>https://techcombank.com/thong-tin/blog/lai-suat-vay-the-chap-so-do</v>
      </c>
      <c r="C1865" s="5" t="str">
        <f t="array" ref="C1865">INDEX('Báo cáo 75 trang đích'!$C$2:$C$76,$A1865)</f>
        <v>Secured Lending</v>
      </c>
      <c r="D1865" s="20" t="s">
        <v>1692</v>
      </c>
      <c r="E1865" s="22" t="s">
        <v>1063</v>
      </c>
      <c r="F1865" s="22" t="s">
        <v>81</v>
      </c>
      <c r="G1865" s="22" t="s">
        <v>1828</v>
      </c>
      <c r="H1865" s="24" t="s">
        <v>59</v>
      </c>
      <c r="I1865" s="24" t="s">
        <v>59</v>
      </c>
      <c r="J1865" s="24" t="s">
        <v>60</v>
      </c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">
        <v>58.0</v>
      </c>
      <c r="B1866" s="35" t="str">
        <f t="array" ref="B1866">INDEX('Báo cáo 75 trang đích'!$B$2:$B$76,$A1866)</f>
        <v>https://techcombank.com/thong-tin/blog/lai-suat-vay-the-chap-so-do</v>
      </c>
      <c r="C1866" s="5" t="str">
        <f t="array" ref="C1866">INDEX('Báo cáo 75 trang đích'!$C$2:$C$76,$A1866)</f>
        <v>Secured Lending</v>
      </c>
      <c r="D1866" s="20" t="s">
        <v>809</v>
      </c>
      <c r="E1866" s="22" t="s">
        <v>1066</v>
      </c>
      <c r="F1866" s="22" t="s">
        <v>81</v>
      </c>
      <c r="G1866" s="22" t="s">
        <v>1828</v>
      </c>
      <c r="H1866" s="24" t="s">
        <v>59</v>
      </c>
      <c r="I1866" s="24" t="s">
        <v>59</v>
      </c>
      <c r="J1866" s="24" t="s">
        <v>60</v>
      </c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">
        <v>58.0</v>
      </c>
      <c r="B1867" s="35" t="str">
        <f t="array" ref="B1867">INDEX('Báo cáo 75 trang đích'!$B$2:$B$76,$A1867)</f>
        <v>https://techcombank.com/thong-tin/blog/lai-suat-vay-the-chap-so-do</v>
      </c>
      <c r="C1867" s="5" t="str">
        <f t="array" ref="C1867">INDEX('Báo cáo 75 trang đích'!$C$2:$C$76,$A1867)</f>
        <v>Secured Lending</v>
      </c>
      <c r="D1867" s="20" t="s">
        <v>1693</v>
      </c>
      <c r="E1867" s="22" t="s">
        <v>1068</v>
      </c>
      <c r="F1867" s="22" t="s">
        <v>81</v>
      </c>
      <c r="G1867" s="22" t="s">
        <v>1828</v>
      </c>
      <c r="H1867" s="24" t="s">
        <v>59</v>
      </c>
      <c r="I1867" s="24" t="s">
        <v>59</v>
      </c>
      <c r="J1867" s="24" t="s">
        <v>60</v>
      </c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">
        <v>58.0</v>
      </c>
      <c r="B1868" s="35" t="str">
        <f t="array" ref="B1868">INDEX('Báo cáo 75 trang đích'!$B$2:$B$76,$A1868)</f>
        <v>https://techcombank.com/thong-tin/blog/lai-suat-vay-the-chap-so-do</v>
      </c>
      <c r="C1868" s="5" t="str">
        <f t="array" ref="C1868">INDEX('Báo cáo 75 trang đích'!$C$2:$C$76,$A1868)</f>
        <v>Secured Lending</v>
      </c>
      <c r="D1868" s="20" t="s">
        <v>1831</v>
      </c>
      <c r="E1868" s="22" t="s">
        <v>347</v>
      </c>
      <c r="F1868" s="22" t="s">
        <v>81</v>
      </c>
      <c r="G1868" s="22" t="s">
        <v>1828</v>
      </c>
      <c r="H1868" s="24" t="s">
        <v>59</v>
      </c>
      <c r="I1868" s="24" t="s">
        <v>59</v>
      </c>
      <c r="J1868" s="24" t="s">
        <v>60</v>
      </c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">
        <v>58.0</v>
      </c>
      <c r="B1869" s="35" t="str">
        <f t="array" ref="B1869">INDEX('Báo cáo 75 trang đích'!$B$2:$B$76,$A1869)</f>
        <v>https://techcombank.com/thong-tin/blog/lai-suat-vay-the-chap-so-do</v>
      </c>
      <c r="C1869" s="5" t="str">
        <f t="array" ref="C1869">INDEX('Báo cáo 75 trang đích'!$C$2:$C$76,$A1869)</f>
        <v>Secured Lending</v>
      </c>
      <c r="D1869" s="20" t="s">
        <v>1694</v>
      </c>
      <c r="E1869" s="22" t="s">
        <v>1063</v>
      </c>
      <c r="F1869" s="22" t="s">
        <v>81</v>
      </c>
      <c r="G1869" s="22" t="s">
        <v>1828</v>
      </c>
      <c r="H1869" s="24" t="s">
        <v>59</v>
      </c>
      <c r="I1869" s="24" t="s">
        <v>59</v>
      </c>
      <c r="J1869" s="24" t="s">
        <v>60</v>
      </c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">
        <v>58.0</v>
      </c>
      <c r="B1870" s="35" t="str">
        <f t="array" ref="B1870">INDEX('Báo cáo 75 trang đích'!$B$2:$B$76,$A1870)</f>
        <v>https://techcombank.com/thong-tin/blog/lai-suat-vay-the-chap-so-do</v>
      </c>
      <c r="C1870" s="5" t="str">
        <f t="array" ref="C1870">INDEX('Báo cáo 75 trang đích'!$C$2:$C$76,$A1870)</f>
        <v>Secured Lending</v>
      </c>
      <c r="D1870" s="20" t="s">
        <v>1076</v>
      </c>
      <c r="E1870" s="22" t="s">
        <v>1066</v>
      </c>
      <c r="F1870" s="22" t="s">
        <v>81</v>
      </c>
      <c r="G1870" s="22" t="s">
        <v>1828</v>
      </c>
      <c r="H1870" s="24" t="s">
        <v>59</v>
      </c>
      <c r="I1870" s="24" t="s">
        <v>59</v>
      </c>
      <c r="J1870" s="24" t="s">
        <v>60</v>
      </c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">
        <v>58.0</v>
      </c>
      <c r="B1871" s="35" t="str">
        <f t="array" ref="B1871">INDEX('Báo cáo 75 trang đích'!$B$2:$B$76,$A1871)</f>
        <v>https://techcombank.com/thong-tin/blog/lai-suat-vay-the-chap-so-do</v>
      </c>
      <c r="C1871" s="5" t="str">
        <f t="array" ref="C1871">INDEX('Báo cáo 75 trang đích'!$C$2:$C$76,$A1871)</f>
        <v>Secured Lending</v>
      </c>
      <c r="D1871" s="20" t="s">
        <v>26</v>
      </c>
      <c r="E1871" s="22" t="s">
        <v>1068</v>
      </c>
      <c r="F1871" s="22" t="s">
        <v>81</v>
      </c>
      <c r="G1871" s="22" t="s">
        <v>1828</v>
      </c>
      <c r="H1871" s="24" t="s">
        <v>59</v>
      </c>
      <c r="I1871" s="24" t="s">
        <v>59</v>
      </c>
      <c r="J1871" s="24" t="s">
        <v>60</v>
      </c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">
        <v>58.0</v>
      </c>
      <c r="B1872" s="35" t="str">
        <f t="array" ref="B1872">INDEX('Báo cáo 75 trang đích'!$B$2:$B$76,$A1872)</f>
        <v>https://techcombank.com/thong-tin/blog/lai-suat-vay-the-chap-so-do</v>
      </c>
      <c r="C1872" s="5" t="str">
        <f t="array" ref="C1872">INDEX('Báo cáo 75 trang đích'!$C$2:$C$76,$A1872)</f>
        <v>Secured Lending</v>
      </c>
      <c r="D1872" s="20" t="s">
        <v>1078</v>
      </c>
      <c r="E1872" s="22" t="s">
        <v>347</v>
      </c>
      <c r="F1872" s="22" t="s">
        <v>81</v>
      </c>
      <c r="G1872" s="22" t="s">
        <v>1828</v>
      </c>
      <c r="H1872" s="24" t="s">
        <v>59</v>
      </c>
      <c r="I1872" s="24" t="s">
        <v>59</v>
      </c>
      <c r="J1872" s="24" t="s">
        <v>60</v>
      </c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">
        <v>58.0</v>
      </c>
      <c r="B1873" s="35" t="str">
        <f t="array" ref="B1873">INDEX('Báo cáo 75 trang đích'!$B$2:$B$76,$A1873)</f>
        <v>https://techcombank.com/thong-tin/blog/lai-suat-vay-the-chap-so-do</v>
      </c>
      <c r="C1873" s="5" t="str">
        <f t="array" ref="C1873">INDEX('Báo cáo 75 trang đích'!$C$2:$C$76,$A1873)</f>
        <v>Secured Lending</v>
      </c>
      <c r="D1873" s="20" t="s">
        <v>1292</v>
      </c>
      <c r="E1873" s="22" t="s">
        <v>1063</v>
      </c>
      <c r="F1873" s="22" t="s">
        <v>81</v>
      </c>
      <c r="G1873" s="22" t="s">
        <v>1828</v>
      </c>
      <c r="H1873" s="24" t="s">
        <v>59</v>
      </c>
      <c r="I1873" s="24" t="s">
        <v>59</v>
      </c>
      <c r="J1873" s="24" t="s">
        <v>60</v>
      </c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">
        <v>58.0</v>
      </c>
      <c r="B1874" s="35" t="str">
        <f t="array" ref="B1874">INDEX('Báo cáo 75 trang đích'!$B$2:$B$76,$A1874)</f>
        <v>https://techcombank.com/thong-tin/blog/lai-suat-vay-the-chap-so-do</v>
      </c>
      <c r="C1874" s="5" t="str">
        <f t="array" ref="C1874">INDEX('Báo cáo 75 trang đích'!$C$2:$C$76,$A1874)</f>
        <v>Secured Lending</v>
      </c>
      <c r="D1874" s="20" t="s">
        <v>1057</v>
      </c>
      <c r="E1874" s="22" t="s">
        <v>1066</v>
      </c>
      <c r="F1874" s="22" t="s">
        <v>81</v>
      </c>
      <c r="G1874" s="22" t="s">
        <v>1828</v>
      </c>
      <c r="H1874" s="24" t="s">
        <v>59</v>
      </c>
      <c r="I1874" s="24" t="s">
        <v>59</v>
      </c>
      <c r="J1874" s="24" t="s">
        <v>60</v>
      </c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">
        <v>58.0</v>
      </c>
      <c r="B1875" s="35" t="str">
        <f t="array" ref="B1875">INDEX('Báo cáo 75 trang đích'!$B$2:$B$76,$A1875)</f>
        <v>https://techcombank.com/thong-tin/blog/lai-suat-vay-the-chap-so-do</v>
      </c>
      <c r="C1875" s="5" t="str">
        <f t="array" ref="C1875">INDEX('Báo cáo 75 trang đích'!$C$2:$C$76,$A1875)</f>
        <v>Secured Lending</v>
      </c>
      <c r="D1875" s="20" t="s">
        <v>1696</v>
      </c>
      <c r="E1875" s="22" t="s">
        <v>1068</v>
      </c>
      <c r="F1875" s="22" t="s">
        <v>81</v>
      </c>
      <c r="G1875" s="22" t="s">
        <v>1828</v>
      </c>
      <c r="H1875" s="24" t="s">
        <v>59</v>
      </c>
      <c r="I1875" s="24" t="s">
        <v>59</v>
      </c>
      <c r="J1875" s="24" t="s">
        <v>60</v>
      </c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">
        <v>59.0</v>
      </c>
      <c r="B1876" s="35" t="str">
        <f t="array" ref="B1876">INDEX('Báo cáo 75 trang đích'!$B$2:$B$76,$A1876)</f>
        <v>https://techcombank.com/thong-tin/blog/ho-so-thu-tuc-xoa-the-chap</v>
      </c>
      <c r="C1876" s="5" t="str">
        <f t="array" ref="C1876">INDEX('Báo cáo 75 trang đích'!$C$2:$C$76,$A1876)</f>
        <v>Secured Lending</v>
      </c>
      <c r="D1876" s="20" t="s">
        <v>1072</v>
      </c>
      <c r="E1876" s="22" t="s">
        <v>352</v>
      </c>
      <c r="F1876" s="22" t="s">
        <v>57</v>
      </c>
      <c r="G1876" s="22" t="s">
        <v>1832</v>
      </c>
      <c r="H1876" s="24" t="s">
        <v>59</v>
      </c>
      <c r="I1876" s="24" t="s">
        <v>59</v>
      </c>
      <c r="J1876" s="24" t="s">
        <v>60</v>
      </c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">
        <v>59.0</v>
      </c>
      <c r="B1877" s="35" t="str">
        <f t="array" ref="B1877">INDEX('Báo cáo 75 trang đích'!$B$2:$B$76,$A1877)</f>
        <v>https://techcombank.com/thong-tin/blog/ho-so-thu-tuc-xoa-the-chap</v>
      </c>
      <c r="C1877" s="5" t="str">
        <f t="array" ref="C1877">INDEX('Báo cáo 75 trang đích'!$C$2:$C$76,$A1877)</f>
        <v>Secured Lending</v>
      </c>
      <c r="D1877" s="20" t="s">
        <v>1074</v>
      </c>
      <c r="E1877" s="22" t="s">
        <v>1077</v>
      </c>
      <c r="F1877" s="22" t="s">
        <v>57</v>
      </c>
      <c r="G1877" s="22" t="s">
        <v>1833</v>
      </c>
      <c r="H1877" s="24" t="s">
        <v>59</v>
      </c>
      <c r="I1877" s="24" t="s">
        <v>59</v>
      </c>
      <c r="J1877" s="24" t="s">
        <v>60</v>
      </c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">
        <v>59.0</v>
      </c>
      <c r="B1878" s="35" t="str">
        <f t="array" ref="B1878">INDEX('Báo cáo 75 trang đích'!$B$2:$B$76,$A1878)</f>
        <v>https://techcombank.com/thong-tin/blog/ho-so-thu-tuc-xoa-the-chap</v>
      </c>
      <c r="C1878" s="5" t="str">
        <f t="array" ref="C1878">INDEX('Báo cáo 75 trang đích'!$C$2:$C$76,$A1878)</f>
        <v>Secured Lending</v>
      </c>
      <c r="D1878" s="20" t="s">
        <v>1078</v>
      </c>
      <c r="E1878" s="22" t="s">
        <v>1080</v>
      </c>
      <c r="F1878" s="22" t="s">
        <v>76</v>
      </c>
      <c r="G1878" s="22" t="s">
        <v>1834</v>
      </c>
      <c r="H1878" s="24" t="s">
        <v>59</v>
      </c>
      <c r="I1878" s="24" t="s">
        <v>59</v>
      </c>
      <c r="J1878" s="24" t="s">
        <v>60</v>
      </c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">
        <v>59.0</v>
      </c>
      <c r="B1879" s="35" t="str">
        <f t="array" ref="B1879">INDEX('Báo cáo 75 trang đích'!$B$2:$B$76,$A1879)</f>
        <v>https://techcombank.com/thong-tin/blog/ho-so-thu-tuc-xoa-the-chap</v>
      </c>
      <c r="C1879" s="5" t="str">
        <f t="array" ref="C1879">INDEX('Báo cáo 75 trang đích'!$C$2:$C$76,$A1879)</f>
        <v>Secured Lending</v>
      </c>
      <c r="D1879" s="20" t="s">
        <v>1248</v>
      </c>
      <c r="E1879" s="22" t="s">
        <v>1835</v>
      </c>
      <c r="F1879" s="22" t="s">
        <v>76</v>
      </c>
      <c r="G1879" s="22" t="s">
        <v>1836</v>
      </c>
      <c r="H1879" s="24" t="s">
        <v>59</v>
      </c>
      <c r="I1879" s="24" t="s">
        <v>59</v>
      </c>
      <c r="J1879" s="24" t="s">
        <v>60</v>
      </c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">
        <v>59.0</v>
      </c>
      <c r="B1880" s="35" t="str">
        <f t="array" ref="B1880">INDEX('Báo cáo 75 trang đích'!$B$2:$B$76,$A1880)</f>
        <v>https://techcombank.com/thong-tin/blog/ho-so-thu-tuc-xoa-the-chap</v>
      </c>
      <c r="C1880" s="5" t="str">
        <f t="array" ref="C1880">INDEX('Báo cáo 75 trang đích'!$C$2:$C$76,$A1880)</f>
        <v>Secured Lending</v>
      </c>
      <c r="D1880" s="20" t="s">
        <v>1692</v>
      </c>
      <c r="E1880" s="22" t="s">
        <v>352</v>
      </c>
      <c r="F1880" s="22" t="s">
        <v>76</v>
      </c>
      <c r="G1880" s="22" t="s">
        <v>1837</v>
      </c>
      <c r="H1880" s="24" t="s">
        <v>59</v>
      </c>
      <c r="I1880" s="24" t="s">
        <v>59</v>
      </c>
      <c r="J1880" s="24" t="s">
        <v>60</v>
      </c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">
        <v>59.0</v>
      </c>
      <c r="B1881" s="35" t="str">
        <f t="array" ref="B1881">INDEX('Báo cáo 75 trang đích'!$B$2:$B$76,$A1881)</f>
        <v>https://techcombank.com/thong-tin/blog/ho-so-thu-tuc-xoa-the-chap</v>
      </c>
      <c r="C1881" s="5" t="str">
        <f t="array" ref="C1881">INDEX('Báo cáo 75 trang đích'!$C$2:$C$76,$A1881)</f>
        <v>Secured Lending</v>
      </c>
      <c r="D1881" s="20" t="s">
        <v>1827</v>
      </c>
      <c r="E1881" s="22" t="s">
        <v>1077</v>
      </c>
      <c r="F1881" s="22" t="s">
        <v>81</v>
      </c>
      <c r="G1881" s="22" t="s">
        <v>1828</v>
      </c>
      <c r="H1881" s="24" t="s">
        <v>59</v>
      </c>
      <c r="I1881" s="24" t="s">
        <v>59</v>
      </c>
      <c r="J1881" s="24" t="s">
        <v>60</v>
      </c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">
        <v>59.0</v>
      </c>
      <c r="B1882" s="35" t="str">
        <f t="array" ref="B1882">INDEX('Báo cáo 75 trang đích'!$B$2:$B$76,$A1882)</f>
        <v>https://techcombank.com/thong-tin/blog/ho-so-thu-tuc-xoa-the-chap</v>
      </c>
      <c r="C1882" s="5" t="str">
        <f t="array" ref="C1882">INDEX('Báo cáo 75 trang đích'!$C$2:$C$76,$A1882)</f>
        <v>Secured Lending</v>
      </c>
      <c r="D1882" s="20" t="s">
        <v>1829</v>
      </c>
      <c r="E1882" s="22" t="s">
        <v>1080</v>
      </c>
      <c r="F1882" s="22" t="s">
        <v>81</v>
      </c>
      <c r="G1882" s="22" t="s">
        <v>1828</v>
      </c>
      <c r="H1882" s="24" t="s">
        <v>59</v>
      </c>
      <c r="I1882" s="24" t="s">
        <v>59</v>
      </c>
      <c r="J1882" s="24" t="s">
        <v>60</v>
      </c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">
        <v>59.0</v>
      </c>
      <c r="B1883" s="35" t="str">
        <f t="array" ref="B1883">INDEX('Báo cáo 75 trang đích'!$B$2:$B$76,$A1883)</f>
        <v>https://techcombank.com/thong-tin/blog/ho-so-thu-tuc-xoa-the-chap</v>
      </c>
      <c r="C1883" s="5" t="str">
        <f t="array" ref="C1883">INDEX('Báo cáo 75 trang đích'!$C$2:$C$76,$A1883)</f>
        <v>Secured Lending</v>
      </c>
      <c r="D1883" s="20" t="s">
        <v>1671</v>
      </c>
      <c r="E1883" s="22" t="s">
        <v>1835</v>
      </c>
      <c r="F1883" s="22" t="s">
        <v>81</v>
      </c>
      <c r="G1883" s="22" t="s">
        <v>1828</v>
      </c>
      <c r="H1883" s="24" t="s">
        <v>59</v>
      </c>
      <c r="I1883" s="24" t="s">
        <v>59</v>
      </c>
      <c r="J1883" s="24" t="s">
        <v>60</v>
      </c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">
        <v>59.0</v>
      </c>
      <c r="B1884" s="35" t="str">
        <f t="array" ref="B1884">INDEX('Báo cáo 75 trang đích'!$B$2:$B$76,$A1884)</f>
        <v>https://techcombank.com/thong-tin/blog/ho-so-thu-tuc-xoa-the-chap</v>
      </c>
      <c r="C1884" s="5" t="str">
        <f t="array" ref="C1884">INDEX('Báo cáo 75 trang đích'!$C$2:$C$76,$A1884)</f>
        <v>Secured Lending</v>
      </c>
      <c r="D1884" s="20" t="s">
        <v>1673</v>
      </c>
      <c r="E1884" s="22" t="s">
        <v>352</v>
      </c>
      <c r="F1884" s="22" t="s">
        <v>81</v>
      </c>
      <c r="G1884" s="22" t="s">
        <v>1828</v>
      </c>
      <c r="H1884" s="24" t="s">
        <v>59</v>
      </c>
      <c r="I1884" s="24" t="s">
        <v>59</v>
      </c>
      <c r="J1884" s="24" t="s">
        <v>60</v>
      </c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">
        <v>59.0</v>
      </c>
      <c r="B1885" s="35" t="str">
        <f t="array" ref="B1885">INDEX('Báo cáo 75 trang đích'!$B$2:$B$76,$A1885)</f>
        <v>https://techcombank.com/thong-tin/blog/ho-so-thu-tuc-xoa-the-chap</v>
      </c>
      <c r="C1885" s="5" t="str">
        <f t="array" ref="C1885">INDEX('Báo cáo 75 trang đích'!$C$2:$C$76,$A1885)</f>
        <v>Secured Lending</v>
      </c>
      <c r="D1885" s="20" t="s">
        <v>1508</v>
      </c>
      <c r="E1885" s="22" t="s">
        <v>1077</v>
      </c>
      <c r="F1885" s="22" t="s">
        <v>81</v>
      </c>
      <c r="G1885" s="22" t="s">
        <v>1828</v>
      </c>
      <c r="H1885" s="24" t="s">
        <v>59</v>
      </c>
      <c r="I1885" s="24" t="s">
        <v>59</v>
      </c>
      <c r="J1885" s="24" t="s">
        <v>60</v>
      </c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">
        <v>59.0</v>
      </c>
      <c r="B1886" s="35" t="str">
        <f t="array" ref="B1886">INDEX('Báo cáo 75 trang đích'!$B$2:$B$76,$A1886)</f>
        <v>https://techcombank.com/thong-tin/blog/ho-so-thu-tuc-xoa-the-chap</v>
      </c>
      <c r="C1886" s="5" t="str">
        <f t="array" ref="C1886">INDEX('Báo cáo 75 trang đích'!$C$2:$C$76,$A1886)</f>
        <v>Secured Lending</v>
      </c>
      <c r="D1886" s="20" t="s">
        <v>1674</v>
      </c>
      <c r="E1886" s="22" t="s">
        <v>1080</v>
      </c>
      <c r="F1886" s="22" t="s">
        <v>81</v>
      </c>
      <c r="G1886" s="22" t="s">
        <v>1828</v>
      </c>
      <c r="H1886" s="24" t="s">
        <v>59</v>
      </c>
      <c r="I1886" s="24" t="s">
        <v>59</v>
      </c>
      <c r="J1886" s="24" t="s">
        <v>60</v>
      </c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">
        <v>59.0</v>
      </c>
      <c r="B1887" s="35" t="str">
        <f t="array" ref="B1887">INDEX('Báo cáo 75 trang đích'!$B$2:$B$76,$A1887)</f>
        <v>https://techcombank.com/thong-tin/blog/ho-so-thu-tuc-xoa-the-chap</v>
      </c>
      <c r="C1887" s="5" t="str">
        <f t="array" ref="C1887">INDEX('Báo cáo 75 trang đích'!$C$2:$C$76,$A1887)</f>
        <v>Secured Lending</v>
      </c>
      <c r="D1887" s="20" t="s">
        <v>1676</v>
      </c>
      <c r="E1887" s="22" t="s">
        <v>1835</v>
      </c>
      <c r="F1887" s="22" t="s">
        <v>81</v>
      </c>
      <c r="G1887" s="22" t="s">
        <v>1828</v>
      </c>
      <c r="H1887" s="24" t="s">
        <v>59</v>
      </c>
      <c r="I1887" s="24" t="s">
        <v>59</v>
      </c>
      <c r="J1887" s="24" t="s">
        <v>60</v>
      </c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">
        <v>59.0</v>
      </c>
      <c r="B1888" s="35" t="str">
        <f t="array" ref="B1888">INDEX('Báo cáo 75 trang đích'!$B$2:$B$76,$A1888)</f>
        <v>https://techcombank.com/thong-tin/blog/ho-so-thu-tuc-xoa-the-chap</v>
      </c>
      <c r="C1888" s="5" t="str">
        <f t="array" ref="C1888">INDEX('Báo cáo 75 trang đích'!$C$2:$C$76,$A1888)</f>
        <v>Secured Lending</v>
      </c>
      <c r="D1888" s="20" t="s">
        <v>624</v>
      </c>
      <c r="E1888" s="22" t="s">
        <v>352</v>
      </c>
      <c r="F1888" s="22" t="s">
        <v>81</v>
      </c>
      <c r="G1888" s="22" t="s">
        <v>1828</v>
      </c>
      <c r="H1888" s="24" t="s">
        <v>59</v>
      </c>
      <c r="I1888" s="24" t="s">
        <v>59</v>
      </c>
      <c r="J1888" s="24" t="s">
        <v>60</v>
      </c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">
        <v>59.0</v>
      </c>
      <c r="B1889" s="35" t="str">
        <f t="array" ref="B1889">INDEX('Báo cáo 75 trang đích'!$B$2:$B$76,$A1889)</f>
        <v>https://techcombank.com/thong-tin/blog/ho-so-thu-tuc-xoa-the-chap</v>
      </c>
      <c r="C1889" s="5" t="str">
        <f t="array" ref="C1889">INDEX('Báo cáo 75 trang đích'!$C$2:$C$76,$A1889)</f>
        <v>Secured Lending</v>
      </c>
      <c r="D1889" s="20" t="s">
        <v>1069</v>
      </c>
      <c r="E1889" s="22" t="s">
        <v>1077</v>
      </c>
      <c r="F1889" s="22" t="s">
        <v>81</v>
      </c>
      <c r="G1889" s="22" t="s">
        <v>1828</v>
      </c>
      <c r="H1889" s="24" t="s">
        <v>59</v>
      </c>
      <c r="I1889" s="24" t="s">
        <v>59</v>
      </c>
      <c r="J1889" s="24" t="s">
        <v>60</v>
      </c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">
        <v>59.0</v>
      </c>
      <c r="B1890" s="35" t="str">
        <f t="array" ref="B1890">INDEX('Báo cáo 75 trang đích'!$B$2:$B$76,$A1890)</f>
        <v>https://techcombank.com/thong-tin/blog/ho-so-thu-tuc-xoa-the-chap</v>
      </c>
      <c r="C1890" s="5" t="str">
        <f t="array" ref="C1890">INDEX('Báo cáo 75 trang đích'!$C$2:$C$76,$A1890)</f>
        <v>Secured Lending</v>
      </c>
      <c r="D1890" s="20" t="s">
        <v>1113</v>
      </c>
      <c r="E1890" s="22" t="s">
        <v>1080</v>
      </c>
      <c r="F1890" s="22" t="s">
        <v>81</v>
      </c>
      <c r="G1890" s="22" t="s">
        <v>1838</v>
      </c>
      <c r="H1890" s="24" t="s">
        <v>59</v>
      </c>
      <c r="I1890" s="24" t="s">
        <v>59</v>
      </c>
      <c r="J1890" s="24" t="s">
        <v>60</v>
      </c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">
        <v>59.0</v>
      </c>
      <c r="B1891" s="35" t="str">
        <f t="array" ref="B1891">INDEX('Báo cáo 75 trang đích'!$B$2:$B$76,$A1891)</f>
        <v>https://techcombank.com/thong-tin/blog/ho-so-thu-tuc-xoa-the-chap</v>
      </c>
      <c r="C1891" s="5" t="str">
        <f t="array" ref="C1891">INDEX('Báo cáo 75 trang đích'!$C$2:$C$76,$A1891)</f>
        <v>Secured Lending</v>
      </c>
      <c r="D1891" s="20" t="s">
        <v>1679</v>
      </c>
      <c r="E1891" s="22" t="s">
        <v>1835</v>
      </c>
      <c r="F1891" s="22" t="s">
        <v>81</v>
      </c>
      <c r="G1891" s="22" t="s">
        <v>1828</v>
      </c>
      <c r="H1891" s="24" t="s">
        <v>59</v>
      </c>
      <c r="I1891" s="24" t="s">
        <v>59</v>
      </c>
      <c r="J1891" s="24" t="s">
        <v>60</v>
      </c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">
        <v>59.0</v>
      </c>
      <c r="B1892" s="35" t="str">
        <f t="array" ref="B1892">INDEX('Báo cáo 75 trang đích'!$B$2:$B$76,$A1892)</f>
        <v>https://techcombank.com/thong-tin/blog/ho-so-thu-tuc-xoa-the-chap</v>
      </c>
      <c r="C1892" s="5" t="str">
        <f t="array" ref="C1892">INDEX('Báo cáo 75 trang đích'!$C$2:$C$76,$A1892)</f>
        <v>Secured Lending</v>
      </c>
      <c r="D1892" s="20" t="s">
        <v>1238</v>
      </c>
      <c r="E1892" s="22" t="s">
        <v>352</v>
      </c>
      <c r="F1892" s="22" t="s">
        <v>81</v>
      </c>
      <c r="G1892" s="22" t="s">
        <v>1828</v>
      </c>
      <c r="H1892" s="24" t="s">
        <v>59</v>
      </c>
      <c r="I1892" s="24" t="s">
        <v>59</v>
      </c>
      <c r="J1892" s="24" t="s">
        <v>60</v>
      </c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">
        <v>59.0</v>
      </c>
      <c r="B1893" s="35" t="str">
        <f t="array" ref="B1893">INDEX('Báo cáo 75 trang đích'!$B$2:$B$76,$A1893)</f>
        <v>https://techcombank.com/thong-tin/blog/ho-so-thu-tuc-xoa-the-chap</v>
      </c>
      <c r="C1893" s="5" t="str">
        <f t="array" ref="C1893">INDEX('Báo cáo 75 trang đích'!$C$2:$C$76,$A1893)</f>
        <v>Secured Lending</v>
      </c>
      <c r="D1893" s="20" t="s">
        <v>969</v>
      </c>
      <c r="E1893" s="22" t="s">
        <v>1077</v>
      </c>
      <c r="F1893" s="22" t="s">
        <v>81</v>
      </c>
      <c r="G1893" s="22" t="s">
        <v>1828</v>
      </c>
      <c r="H1893" s="24" t="s">
        <v>59</v>
      </c>
      <c r="I1893" s="24" t="s">
        <v>59</v>
      </c>
      <c r="J1893" s="24" t="s">
        <v>60</v>
      </c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">
        <v>59.0</v>
      </c>
      <c r="B1894" s="35" t="str">
        <f t="array" ref="B1894">INDEX('Báo cáo 75 trang đích'!$B$2:$B$76,$A1894)</f>
        <v>https://techcombank.com/thong-tin/blog/ho-so-thu-tuc-xoa-the-chap</v>
      </c>
      <c r="C1894" s="5" t="str">
        <f t="array" ref="C1894">INDEX('Báo cáo 75 trang đích'!$C$2:$C$76,$A1894)</f>
        <v>Secured Lending</v>
      </c>
      <c r="D1894" s="20" t="s">
        <v>1064</v>
      </c>
      <c r="E1894" s="22" t="s">
        <v>1080</v>
      </c>
      <c r="F1894" s="22" t="s">
        <v>81</v>
      </c>
      <c r="G1894" s="22" t="s">
        <v>1828</v>
      </c>
      <c r="H1894" s="24" t="s">
        <v>59</v>
      </c>
      <c r="I1894" s="24" t="s">
        <v>59</v>
      </c>
      <c r="J1894" s="24" t="s">
        <v>60</v>
      </c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">
        <v>59.0</v>
      </c>
      <c r="B1895" s="35" t="str">
        <f t="array" ref="B1895">INDEX('Báo cáo 75 trang đích'!$B$2:$B$76,$A1895)</f>
        <v>https://techcombank.com/thong-tin/blog/ho-so-thu-tuc-xoa-the-chap</v>
      </c>
      <c r="C1895" s="5" t="str">
        <f t="array" ref="C1895">INDEX('Báo cáo 75 trang đích'!$C$2:$C$76,$A1895)</f>
        <v>Secured Lending</v>
      </c>
      <c r="D1895" s="20" t="s">
        <v>75</v>
      </c>
      <c r="E1895" s="22" t="s">
        <v>1835</v>
      </c>
      <c r="F1895" s="22" t="s">
        <v>81</v>
      </c>
      <c r="G1895" s="22" t="s">
        <v>1828</v>
      </c>
      <c r="H1895" s="24" t="s">
        <v>59</v>
      </c>
      <c r="I1895" s="24" t="s">
        <v>59</v>
      </c>
      <c r="J1895" s="24" t="s">
        <v>60</v>
      </c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">
        <v>59.0</v>
      </c>
      <c r="B1896" s="35" t="str">
        <f t="array" ref="B1896">INDEX('Báo cáo 75 trang đích'!$B$2:$B$76,$A1896)</f>
        <v>https://techcombank.com/thong-tin/blog/ho-so-thu-tuc-xoa-the-chap</v>
      </c>
      <c r="C1896" s="5" t="str">
        <f t="array" ref="C1896">INDEX('Báo cáo 75 trang đích'!$C$2:$C$76,$A1896)</f>
        <v>Secured Lending</v>
      </c>
      <c r="D1896" s="20" t="s">
        <v>458</v>
      </c>
      <c r="E1896" s="22" t="s">
        <v>352</v>
      </c>
      <c r="F1896" s="22" t="s">
        <v>81</v>
      </c>
      <c r="G1896" s="22" t="s">
        <v>1828</v>
      </c>
      <c r="H1896" s="24" t="s">
        <v>59</v>
      </c>
      <c r="I1896" s="24" t="s">
        <v>59</v>
      </c>
      <c r="J1896" s="24" t="s">
        <v>60</v>
      </c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">
        <v>59.0</v>
      </c>
      <c r="B1897" s="35" t="str">
        <f t="array" ref="B1897">INDEX('Báo cáo 75 trang đích'!$B$2:$B$76,$A1897)</f>
        <v>https://techcombank.com/thong-tin/blog/ho-so-thu-tuc-xoa-the-chap</v>
      </c>
      <c r="C1897" s="5" t="str">
        <f t="array" ref="C1897">INDEX('Báo cáo 75 trang đích'!$C$2:$C$76,$A1897)</f>
        <v>Secured Lending</v>
      </c>
      <c r="D1897" s="20" t="s">
        <v>128</v>
      </c>
      <c r="E1897" s="22" t="s">
        <v>1077</v>
      </c>
      <c r="F1897" s="22" t="s">
        <v>81</v>
      </c>
      <c r="G1897" s="22" t="s">
        <v>1830</v>
      </c>
      <c r="H1897" s="24" t="s">
        <v>59</v>
      </c>
      <c r="I1897" s="24" t="s">
        <v>59</v>
      </c>
      <c r="J1897" s="24" t="s">
        <v>60</v>
      </c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">
        <v>59.0</v>
      </c>
      <c r="B1898" s="35" t="str">
        <f t="array" ref="B1898">INDEX('Báo cáo 75 trang đích'!$B$2:$B$76,$A1898)</f>
        <v>https://techcombank.com/thong-tin/blog/ho-so-thu-tuc-xoa-the-chap</v>
      </c>
      <c r="C1898" s="5" t="str">
        <f t="array" ref="C1898">INDEX('Báo cáo 75 trang đích'!$C$2:$C$76,$A1898)</f>
        <v>Secured Lending</v>
      </c>
      <c r="D1898" s="20" t="s">
        <v>840</v>
      </c>
      <c r="E1898" s="22" t="s">
        <v>1080</v>
      </c>
      <c r="F1898" s="22" t="s">
        <v>81</v>
      </c>
      <c r="G1898" s="22" t="s">
        <v>1838</v>
      </c>
      <c r="H1898" s="24" t="s">
        <v>59</v>
      </c>
      <c r="I1898" s="24" t="s">
        <v>59</v>
      </c>
      <c r="J1898" s="24" t="s">
        <v>60</v>
      </c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">
        <v>59.0</v>
      </c>
      <c r="B1899" s="35" t="str">
        <f t="array" ref="B1899">INDEX('Báo cáo 75 trang đích'!$B$2:$B$76,$A1899)</f>
        <v>https://techcombank.com/thong-tin/blog/ho-so-thu-tuc-xoa-the-chap</v>
      </c>
      <c r="C1899" s="5" t="str">
        <f t="array" ref="C1899">INDEX('Báo cáo 75 trang đích'!$C$2:$C$76,$A1899)</f>
        <v>Secured Lending</v>
      </c>
      <c r="D1899" s="20" t="s">
        <v>71</v>
      </c>
      <c r="E1899" s="22" t="s">
        <v>1835</v>
      </c>
      <c r="F1899" s="22" t="s">
        <v>81</v>
      </c>
      <c r="G1899" s="22" t="s">
        <v>1828</v>
      </c>
      <c r="H1899" s="24" t="s">
        <v>59</v>
      </c>
      <c r="I1899" s="24" t="s">
        <v>59</v>
      </c>
      <c r="J1899" s="24" t="s">
        <v>60</v>
      </c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">
        <v>59.0</v>
      </c>
      <c r="B1900" s="35" t="str">
        <f t="array" ref="B1900">INDEX('Báo cáo 75 trang đích'!$B$2:$B$76,$A1900)</f>
        <v>https://techcombank.com/thong-tin/blog/ho-so-thu-tuc-xoa-the-chap</v>
      </c>
      <c r="C1900" s="5" t="str">
        <f t="array" ref="C1900">INDEX('Báo cáo 75 trang đích'!$C$2:$C$76,$A1900)</f>
        <v>Secured Lending</v>
      </c>
      <c r="D1900" s="20" t="s">
        <v>1061</v>
      </c>
      <c r="E1900" s="22" t="s">
        <v>352</v>
      </c>
      <c r="F1900" s="22" t="s">
        <v>81</v>
      </c>
      <c r="G1900" s="22" t="s">
        <v>1828</v>
      </c>
      <c r="H1900" s="24" t="s">
        <v>59</v>
      </c>
      <c r="I1900" s="24" t="s">
        <v>59</v>
      </c>
      <c r="J1900" s="24" t="s">
        <v>60</v>
      </c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">
        <v>59.0</v>
      </c>
      <c r="B1901" s="35" t="str">
        <f t="array" ref="B1901">INDEX('Báo cáo 75 trang đích'!$B$2:$B$76,$A1901)</f>
        <v>https://techcombank.com/thong-tin/blog/ho-so-thu-tuc-xoa-the-chap</v>
      </c>
      <c r="C1901" s="5" t="str">
        <f t="array" ref="C1901">INDEX('Báo cáo 75 trang đích'!$C$2:$C$76,$A1901)</f>
        <v>Secured Lending</v>
      </c>
      <c r="D1901" s="20" t="s">
        <v>1223</v>
      </c>
      <c r="E1901" s="22" t="s">
        <v>1077</v>
      </c>
      <c r="F1901" s="22" t="s">
        <v>81</v>
      </c>
      <c r="G1901" s="22" t="s">
        <v>1838</v>
      </c>
      <c r="H1901" s="24" t="s">
        <v>59</v>
      </c>
      <c r="I1901" s="24" t="s">
        <v>59</v>
      </c>
      <c r="J1901" s="24" t="s">
        <v>60</v>
      </c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">
        <v>59.0</v>
      </c>
      <c r="B1902" s="35" t="str">
        <f t="array" ref="B1902">INDEX('Báo cáo 75 trang đích'!$B$2:$B$76,$A1902)</f>
        <v>https://techcombank.com/thong-tin/blog/ho-so-thu-tuc-xoa-the-chap</v>
      </c>
      <c r="C1902" s="5" t="str">
        <f t="array" ref="C1902">INDEX('Báo cáo 75 trang đích'!$C$2:$C$76,$A1902)</f>
        <v>Secured Lending</v>
      </c>
      <c r="D1902" s="20" t="s">
        <v>809</v>
      </c>
      <c r="E1902" s="22" t="s">
        <v>1080</v>
      </c>
      <c r="F1902" s="22" t="s">
        <v>81</v>
      </c>
      <c r="G1902" s="22" t="s">
        <v>1828</v>
      </c>
      <c r="H1902" s="24" t="s">
        <v>59</v>
      </c>
      <c r="I1902" s="24" t="s">
        <v>59</v>
      </c>
      <c r="J1902" s="24" t="s">
        <v>60</v>
      </c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">
        <v>59.0</v>
      </c>
      <c r="B1903" s="35" t="str">
        <f t="array" ref="B1903">INDEX('Báo cáo 75 trang đích'!$B$2:$B$76,$A1903)</f>
        <v>https://techcombank.com/thong-tin/blog/ho-so-thu-tuc-xoa-the-chap</v>
      </c>
      <c r="C1903" s="5" t="str">
        <f t="array" ref="C1903">INDEX('Báo cáo 75 trang đích'!$C$2:$C$76,$A1903)</f>
        <v>Secured Lending</v>
      </c>
      <c r="D1903" s="20" t="s">
        <v>132</v>
      </c>
      <c r="E1903" s="22" t="s">
        <v>1835</v>
      </c>
      <c r="F1903" s="22" t="s">
        <v>81</v>
      </c>
      <c r="G1903" s="22" t="s">
        <v>1830</v>
      </c>
      <c r="H1903" s="24" t="s">
        <v>59</v>
      </c>
      <c r="I1903" s="24" t="s">
        <v>59</v>
      </c>
      <c r="J1903" s="24" t="s">
        <v>60</v>
      </c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">
        <v>59.0</v>
      </c>
      <c r="B1904" s="35" t="str">
        <f t="array" ref="B1904">INDEX('Báo cáo 75 trang đích'!$B$2:$B$76,$A1904)</f>
        <v>https://techcombank.com/thong-tin/blog/ho-so-thu-tuc-xoa-the-chap</v>
      </c>
      <c r="C1904" s="5" t="str">
        <f t="array" ref="C1904">INDEX('Báo cáo 75 trang đích'!$C$2:$C$76,$A1904)</f>
        <v>Secured Lending</v>
      </c>
      <c r="D1904" s="20" t="s">
        <v>1115</v>
      </c>
      <c r="E1904" s="22" t="s">
        <v>352</v>
      </c>
      <c r="F1904" s="22" t="s">
        <v>81</v>
      </c>
      <c r="G1904" s="22" t="s">
        <v>1838</v>
      </c>
      <c r="H1904" s="24" t="s">
        <v>59</v>
      </c>
      <c r="I1904" s="24" t="s">
        <v>59</v>
      </c>
      <c r="J1904" s="24" t="s">
        <v>60</v>
      </c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">
        <v>59.0</v>
      </c>
      <c r="B1905" s="35" t="str">
        <f t="array" ref="B1905">INDEX('Báo cáo 75 trang đích'!$B$2:$B$76,$A1905)</f>
        <v>https://techcombank.com/thong-tin/blog/ho-so-thu-tuc-xoa-the-chap</v>
      </c>
      <c r="C1905" s="5" t="str">
        <f t="array" ref="C1905">INDEX('Báo cáo 75 trang đích'!$C$2:$C$76,$A1905)</f>
        <v>Secured Lending</v>
      </c>
      <c r="D1905" s="20" t="s">
        <v>1693</v>
      </c>
      <c r="E1905" s="22" t="s">
        <v>1077</v>
      </c>
      <c r="F1905" s="22" t="s">
        <v>81</v>
      </c>
      <c r="G1905" s="22" t="s">
        <v>1828</v>
      </c>
      <c r="H1905" s="24" t="s">
        <v>59</v>
      </c>
      <c r="I1905" s="24" t="s">
        <v>59</v>
      </c>
      <c r="J1905" s="24" t="s">
        <v>60</v>
      </c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">
        <v>59.0</v>
      </c>
      <c r="B1906" s="35" t="str">
        <f t="array" ref="B1906">INDEX('Báo cáo 75 trang đích'!$B$2:$B$76,$A1906)</f>
        <v>https://techcombank.com/thong-tin/blog/ho-so-thu-tuc-xoa-the-chap</v>
      </c>
      <c r="C1906" s="5" t="str">
        <f t="array" ref="C1906">INDEX('Báo cáo 75 trang đích'!$C$2:$C$76,$A1906)</f>
        <v>Secured Lending</v>
      </c>
      <c r="D1906" s="20" t="s">
        <v>1831</v>
      </c>
      <c r="E1906" s="22" t="s">
        <v>1080</v>
      </c>
      <c r="F1906" s="22" t="s">
        <v>81</v>
      </c>
      <c r="G1906" s="22" t="s">
        <v>1828</v>
      </c>
      <c r="H1906" s="24" t="s">
        <v>59</v>
      </c>
      <c r="I1906" s="24" t="s">
        <v>59</v>
      </c>
      <c r="J1906" s="24" t="s">
        <v>60</v>
      </c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">
        <v>59.0</v>
      </c>
      <c r="B1907" s="35" t="str">
        <f t="array" ref="B1907">INDEX('Báo cáo 75 trang đích'!$B$2:$B$76,$A1907)</f>
        <v>https://techcombank.com/thong-tin/blog/ho-so-thu-tuc-xoa-the-chap</v>
      </c>
      <c r="C1907" s="5" t="str">
        <f t="array" ref="C1907">INDEX('Báo cáo 75 trang đích'!$C$2:$C$76,$A1907)</f>
        <v>Secured Lending</v>
      </c>
      <c r="D1907" s="20" t="s">
        <v>1694</v>
      </c>
      <c r="E1907" s="22" t="s">
        <v>1835</v>
      </c>
      <c r="F1907" s="22" t="s">
        <v>81</v>
      </c>
      <c r="G1907" s="22" t="s">
        <v>1828</v>
      </c>
      <c r="H1907" s="24" t="s">
        <v>59</v>
      </c>
      <c r="I1907" s="24" t="s">
        <v>59</v>
      </c>
      <c r="J1907" s="24" t="s">
        <v>60</v>
      </c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">
        <v>59.0</v>
      </c>
      <c r="B1908" s="35" t="str">
        <f t="array" ref="B1908">INDEX('Báo cáo 75 trang đích'!$B$2:$B$76,$A1908)</f>
        <v>https://techcombank.com/thong-tin/blog/ho-so-thu-tuc-xoa-the-chap</v>
      </c>
      <c r="C1908" s="5" t="str">
        <f t="array" ref="C1908">INDEX('Báo cáo 75 trang đích'!$C$2:$C$76,$A1908)</f>
        <v>Secured Lending</v>
      </c>
      <c r="D1908" s="20" t="s">
        <v>1076</v>
      </c>
      <c r="E1908" s="22" t="s">
        <v>352</v>
      </c>
      <c r="F1908" s="22" t="s">
        <v>81</v>
      </c>
      <c r="G1908" s="22" t="s">
        <v>1828</v>
      </c>
      <c r="H1908" s="24" t="s">
        <v>59</v>
      </c>
      <c r="I1908" s="24" t="s">
        <v>59</v>
      </c>
      <c r="J1908" s="24" t="s">
        <v>60</v>
      </c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">
        <v>59.0</v>
      </c>
      <c r="B1909" s="35" t="str">
        <f t="array" ref="B1909">INDEX('Báo cáo 75 trang đích'!$B$2:$B$76,$A1909)</f>
        <v>https://techcombank.com/thong-tin/blog/ho-so-thu-tuc-xoa-the-chap</v>
      </c>
      <c r="C1909" s="5" t="str">
        <f t="array" ref="C1909">INDEX('Báo cáo 75 trang đích'!$C$2:$C$76,$A1909)</f>
        <v>Secured Lending</v>
      </c>
      <c r="D1909" s="20" t="s">
        <v>26</v>
      </c>
      <c r="E1909" s="22" t="s">
        <v>1077</v>
      </c>
      <c r="F1909" s="22" t="s">
        <v>81</v>
      </c>
      <c r="G1909" s="22" t="s">
        <v>1828</v>
      </c>
      <c r="H1909" s="24" t="s">
        <v>59</v>
      </c>
      <c r="I1909" s="24" t="s">
        <v>59</v>
      </c>
      <c r="J1909" s="24" t="s">
        <v>60</v>
      </c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">
        <v>59.0</v>
      </c>
      <c r="B1910" s="35" t="str">
        <f t="array" ref="B1910">INDEX('Báo cáo 75 trang đích'!$B$2:$B$76,$A1910)</f>
        <v>https://techcombank.com/thong-tin/blog/ho-so-thu-tuc-xoa-the-chap</v>
      </c>
      <c r="C1910" s="5" t="str">
        <f t="array" ref="C1910">INDEX('Báo cáo 75 trang đích'!$C$2:$C$76,$A1910)</f>
        <v>Secured Lending</v>
      </c>
      <c r="D1910" s="20" t="s">
        <v>845</v>
      </c>
      <c r="E1910" s="22" t="s">
        <v>1080</v>
      </c>
      <c r="F1910" s="22" t="s">
        <v>81</v>
      </c>
      <c r="G1910" s="22" t="s">
        <v>1838</v>
      </c>
      <c r="H1910" s="24" t="s">
        <v>59</v>
      </c>
      <c r="I1910" s="24" t="s">
        <v>59</v>
      </c>
      <c r="J1910" s="24" t="s">
        <v>60</v>
      </c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">
        <v>59.0</v>
      </c>
      <c r="B1911" s="35" t="str">
        <f t="array" ref="B1911">INDEX('Báo cáo 75 trang đích'!$B$2:$B$76,$A1911)</f>
        <v>https://techcombank.com/thong-tin/blog/ho-so-thu-tuc-xoa-the-chap</v>
      </c>
      <c r="C1911" s="5" t="str">
        <f t="array" ref="C1911">INDEX('Báo cáo 75 trang đích'!$C$2:$C$76,$A1911)</f>
        <v>Secured Lending</v>
      </c>
      <c r="D1911" s="20" t="s">
        <v>1292</v>
      </c>
      <c r="E1911" s="22" t="s">
        <v>1835</v>
      </c>
      <c r="F1911" s="22" t="s">
        <v>81</v>
      </c>
      <c r="G1911" s="22" t="s">
        <v>1828</v>
      </c>
      <c r="H1911" s="24" t="s">
        <v>59</v>
      </c>
      <c r="I1911" s="24" t="s">
        <v>59</v>
      </c>
      <c r="J1911" s="24" t="s">
        <v>60</v>
      </c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">
        <v>59.0</v>
      </c>
      <c r="B1912" s="35" t="str">
        <f t="array" ref="B1912">INDEX('Báo cáo 75 trang đích'!$B$2:$B$76,$A1912)</f>
        <v>https://techcombank.com/thong-tin/blog/ho-so-thu-tuc-xoa-the-chap</v>
      </c>
      <c r="C1912" s="5" t="str">
        <f t="array" ref="C1912">INDEX('Báo cáo 75 trang đích'!$C$2:$C$76,$A1912)</f>
        <v>Secured Lending</v>
      </c>
      <c r="D1912" s="20" t="s">
        <v>1057</v>
      </c>
      <c r="E1912" s="22" t="s">
        <v>352</v>
      </c>
      <c r="F1912" s="22" t="s">
        <v>81</v>
      </c>
      <c r="G1912" s="22" t="s">
        <v>1828</v>
      </c>
      <c r="H1912" s="24" t="s">
        <v>59</v>
      </c>
      <c r="I1912" s="24" t="s">
        <v>59</v>
      </c>
      <c r="J1912" s="24" t="s">
        <v>60</v>
      </c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">
        <v>59.0</v>
      </c>
      <c r="B1913" s="35" t="str">
        <f t="array" ref="B1913">INDEX('Báo cáo 75 trang đích'!$B$2:$B$76,$A1913)</f>
        <v>https://techcombank.com/thong-tin/blog/ho-so-thu-tuc-xoa-the-chap</v>
      </c>
      <c r="C1913" s="5" t="str">
        <f t="array" ref="C1913">INDEX('Báo cáo 75 trang đích'!$C$2:$C$76,$A1913)</f>
        <v>Secured Lending</v>
      </c>
      <c r="D1913" s="20" t="s">
        <v>1696</v>
      </c>
      <c r="E1913" s="22" t="s">
        <v>1077</v>
      </c>
      <c r="F1913" s="22" t="s">
        <v>81</v>
      </c>
      <c r="G1913" s="22" t="s">
        <v>1828</v>
      </c>
      <c r="H1913" s="24" t="s">
        <v>59</v>
      </c>
      <c r="I1913" s="24" t="s">
        <v>59</v>
      </c>
      <c r="J1913" s="24" t="s">
        <v>60</v>
      </c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">
        <v>60.0</v>
      </c>
      <c r="B1914" s="35" t="str">
        <f t="array" ref="B1914">INDEX('Báo cáo 75 trang đích'!$B$2:$B$76,$A1914)</f>
        <v>https://techcombank.com/thong-tin/blog/lai-suat-tiet-kiem</v>
      </c>
      <c r="C1914" s="5" t="str">
        <f t="array" ref="C1914">INDEX('Báo cáo 75 trang đích'!$C$2:$C$76,$A1914)</f>
        <v>TD</v>
      </c>
      <c r="D1914" s="20" t="s">
        <v>1081</v>
      </c>
      <c r="E1914" s="22" t="s">
        <v>358</v>
      </c>
      <c r="F1914" s="22" t="s">
        <v>57</v>
      </c>
      <c r="G1914" s="22" t="s">
        <v>1839</v>
      </c>
      <c r="H1914" s="24" t="s">
        <v>59</v>
      </c>
      <c r="I1914" s="24" t="s">
        <v>59</v>
      </c>
      <c r="J1914" s="24" t="s">
        <v>60</v>
      </c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">
        <v>60.0</v>
      </c>
      <c r="B1915" s="35" t="str">
        <f t="array" ref="B1915">INDEX('Báo cáo 75 trang đích'!$B$2:$B$76,$A1915)</f>
        <v>https://techcombank.com/thong-tin/blog/lai-suat-tiet-kiem</v>
      </c>
      <c r="C1915" s="5" t="str">
        <f t="array" ref="C1915">INDEX('Báo cáo 75 trang đích'!$C$2:$C$76,$A1915)</f>
        <v>TD</v>
      </c>
      <c r="D1915" s="20" t="s">
        <v>1085</v>
      </c>
      <c r="E1915" s="22" t="s">
        <v>1088</v>
      </c>
      <c r="F1915" s="22" t="s">
        <v>57</v>
      </c>
      <c r="G1915" s="22" t="s">
        <v>1840</v>
      </c>
      <c r="H1915" s="24" t="s">
        <v>59</v>
      </c>
      <c r="I1915" s="24" t="s">
        <v>59</v>
      </c>
      <c r="J1915" s="24" t="s">
        <v>60</v>
      </c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">
        <v>60.0</v>
      </c>
      <c r="B1916" s="35" t="str">
        <f t="array" ref="B1916">INDEX('Báo cáo 75 trang đích'!$B$2:$B$76,$A1916)</f>
        <v>https://techcombank.com/thong-tin/blog/lai-suat-tiet-kiem</v>
      </c>
      <c r="C1916" s="5" t="str">
        <f t="array" ref="C1916">INDEX('Báo cáo 75 trang đích'!$C$2:$C$76,$A1916)</f>
        <v>TD</v>
      </c>
      <c r="D1916" s="20" t="s">
        <v>1089</v>
      </c>
      <c r="E1916" s="22" t="s">
        <v>1091</v>
      </c>
      <c r="F1916" s="22" t="s">
        <v>57</v>
      </c>
      <c r="G1916" s="22" t="s">
        <v>1841</v>
      </c>
      <c r="H1916" s="24" t="s">
        <v>59</v>
      </c>
      <c r="I1916" s="24" t="s">
        <v>59</v>
      </c>
      <c r="J1916" s="24" t="s">
        <v>60</v>
      </c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">
        <v>60.0</v>
      </c>
      <c r="B1917" s="35" t="str">
        <f t="array" ref="B1917">INDEX('Báo cáo 75 trang đích'!$B$2:$B$76,$A1917)</f>
        <v>https://techcombank.com/thong-tin/blog/lai-suat-tiet-kiem</v>
      </c>
      <c r="C1917" s="5" t="str">
        <f t="array" ref="C1917">INDEX('Báo cáo 75 trang đích'!$C$2:$C$76,$A1917)</f>
        <v>TD</v>
      </c>
      <c r="D1917" s="20" t="s">
        <v>1093</v>
      </c>
      <c r="E1917" s="22" t="s">
        <v>358</v>
      </c>
      <c r="F1917" s="22" t="s">
        <v>57</v>
      </c>
      <c r="G1917" s="22" t="s">
        <v>1842</v>
      </c>
      <c r="H1917" s="24" t="s">
        <v>59</v>
      </c>
      <c r="I1917" s="24" t="s">
        <v>59</v>
      </c>
      <c r="J1917" s="24" t="s">
        <v>60</v>
      </c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">
        <v>60.0</v>
      </c>
      <c r="B1918" s="35" t="str">
        <f t="array" ref="B1918">INDEX('Báo cáo 75 trang đích'!$B$2:$B$76,$A1918)</f>
        <v>https://techcombank.com/thong-tin/blog/lai-suat-tiet-kiem</v>
      </c>
      <c r="C1918" s="5" t="str">
        <f t="array" ref="C1918">INDEX('Báo cáo 75 trang đích'!$C$2:$C$76,$A1918)</f>
        <v>TD</v>
      </c>
      <c r="D1918" s="20" t="s">
        <v>1095</v>
      </c>
      <c r="E1918" s="22" t="s">
        <v>1088</v>
      </c>
      <c r="F1918" s="22" t="s">
        <v>76</v>
      </c>
      <c r="G1918" s="22" t="s">
        <v>1843</v>
      </c>
      <c r="H1918" s="24" t="s">
        <v>59</v>
      </c>
      <c r="I1918" s="24" t="s">
        <v>59</v>
      </c>
      <c r="J1918" s="24" t="s">
        <v>60</v>
      </c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">
        <v>60.0</v>
      </c>
      <c r="B1919" s="35" t="str">
        <f t="array" ref="B1919">INDEX('Báo cáo 75 trang đích'!$B$2:$B$76,$A1919)</f>
        <v>https://techcombank.com/thong-tin/blog/lai-suat-tiet-kiem</v>
      </c>
      <c r="C1919" s="5" t="str">
        <f t="array" ref="C1919">INDEX('Báo cáo 75 trang đích'!$C$2:$C$76,$A1919)</f>
        <v>TD</v>
      </c>
      <c r="D1919" s="20" t="s">
        <v>337</v>
      </c>
      <c r="E1919" s="22" t="s">
        <v>1091</v>
      </c>
      <c r="F1919" s="22" t="s">
        <v>81</v>
      </c>
      <c r="G1919" s="22" t="s">
        <v>1844</v>
      </c>
      <c r="H1919" s="24" t="s">
        <v>59</v>
      </c>
      <c r="I1919" s="24" t="s">
        <v>59</v>
      </c>
      <c r="J1919" s="24" t="s">
        <v>60</v>
      </c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">
        <v>60.0</v>
      </c>
      <c r="B1920" s="35" t="str">
        <f t="array" ref="B1920">INDEX('Báo cáo 75 trang đích'!$B$2:$B$76,$A1920)</f>
        <v>https://techcombank.com/thong-tin/blog/lai-suat-tiet-kiem</v>
      </c>
      <c r="C1920" s="5" t="str">
        <f t="array" ref="C1920">INDEX('Báo cáo 75 trang đích'!$C$2:$C$76,$A1920)</f>
        <v>TD</v>
      </c>
      <c r="D1920" s="20" t="s">
        <v>1135</v>
      </c>
      <c r="E1920" s="22" t="s">
        <v>358</v>
      </c>
      <c r="F1920" s="22" t="s">
        <v>81</v>
      </c>
      <c r="G1920" s="22" t="s">
        <v>1536</v>
      </c>
      <c r="H1920" s="24" t="s">
        <v>59</v>
      </c>
      <c r="I1920" s="24" t="s">
        <v>59</v>
      </c>
      <c r="J1920" s="24" t="s">
        <v>60</v>
      </c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">
        <v>60.0</v>
      </c>
      <c r="B1921" s="35" t="str">
        <f t="array" ref="B1921">INDEX('Báo cáo 75 trang đích'!$B$2:$B$76,$A1921)</f>
        <v>https://techcombank.com/thong-tin/blog/lai-suat-tiet-kiem</v>
      </c>
      <c r="C1921" s="5" t="str">
        <f t="array" ref="C1921">INDEX('Báo cáo 75 trang đích'!$C$2:$C$76,$A1921)</f>
        <v>TD</v>
      </c>
      <c r="D1921" s="20" t="s">
        <v>1537</v>
      </c>
      <c r="E1921" s="22" t="s">
        <v>1088</v>
      </c>
      <c r="F1921" s="22" t="s">
        <v>81</v>
      </c>
      <c r="G1921" s="22" t="s">
        <v>1536</v>
      </c>
      <c r="H1921" s="24" t="s">
        <v>59</v>
      </c>
      <c r="I1921" s="24" t="s">
        <v>59</v>
      </c>
      <c r="J1921" s="24" t="s">
        <v>60</v>
      </c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">
        <v>60.0</v>
      </c>
      <c r="B1922" s="35" t="str">
        <f t="array" ref="B1922">INDEX('Báo cáo 75 trang đích'!$B$2:$B$76,$A1922)</f>
        <v>https://techcombank.com/thong-tin/blog/lai-suat-tiet-kiem</v>
      </c>
      <c r="C1922" s="5" t="str">
        <f t="array" ref="C1922">INDEX('Báo cáo 75 trang đích'!$C$2:$C$76,$A1922)</f>
        <v>TD</v>
      </c>
      <c r="D1922" s="20" t="s">
        <v>1538</v>
      </c>
      <c r="E1922" s="22" t="s">
        <v>1091</v>
      </c>
      <c r="F1922" s="22" t="s">
        <v>81</v>
      </c>
      <c r="G1922" s="22" t="s">
        <v>1536</v>
      </c>
      <c r="H1922" s="24" t="s">
        <v>59</v>
      </c>
      <c r="I1922" s="24" t="s">
        <v>59</v>
      </c>
      <c r="J1922" s="24" t="s">
        <v>60</v>
      </c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">
        <v>60.0</v>
      </c>
      <c r="B1923" s="35" t="str">
        <f t="array" ref="B1923">INDEX('Báo cáo 75 trang đích'!$B$2:$B$76,$A1923)</f>
        <v>https://techcombank.com/thong-tin/blog/lai-suat-tiet-kiem</v>
      </c>
      <c r="C1923" s="5" t="str">
        <f t="array" ref="C1923">INDEX('Báo cáo 75 trang đích'!$C$2:$C$76,$A1923)</f>
        <v>TD</v>
      </c>
      <c r="D1923" s="20" t="s">
        <v>1845</v>
      </c>
      <c r="E1923" s="22" t="s">
        <v>358</v>
      </c>
      <c r="F1923" s="22" t="s">
        <v>81</v>
      </c>
      <c r="G1923" s="22" t="s">
        <v>1844</v>
      </c>
      <c r="H1923" s="24" t="s">
        <v>59</v>
      </c>
      <c r="I1923" s="24" t="s">
        <v>59</v>
      </c>
      <c r="J1923" s="24" t="s">
        <v>60</v>
      </c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">
        <v>60.0</v>
      </c>
      <c r="B1924" s="35" t="str">
        <f t="array" ref="B1924">INDEX('Báo cáo 75 trang đích'!$B$2:$B$76,$A1924)</f>
        <v>https://techcombank.com/thong-tin/blog/lai-suat-tiet-kiem</v>
      </c>
      <c r="C1924" s="5" t="str">
        <f t="array" ref="C1924">INDEX('Báo cáo 75 trang đích'!$C$2:$C$76,$A1924)</f>
        <v>TD</v>
      </c>
      <c r="D1924" s="20" t="s">
        <v>1539</v>
      </c>
      <c r="E1924" s="22" t="s">
        <v>1088</v>
      </c>
      <c r="F1924" s="22" t="s">
        <v>81</v>
      </c>
      <c r="G1924" s="22" t="s">
        <v>1536</v>
      </c>
      <c r="H1924" s="24" t="s">
        <v>59</v>
      </c>
      <c r="I1924" s="24" t="s">
        <v>59</v>
      </c>
      <c r="J1924" s="24" t="s">
        <v>60</v>
      </c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">
        <v>60.0</v>
      </c>
      <c r="B1925" s="35" t="str">
        <f t="array" ref="B1925">INDEX('Báo cáo 75 trang đích'!$B$2:$B$76,$A1925)</f>
        <v>https://techcombank.com/thong-tin/blog/lai-suat-tiet-kiem</v>
      </c>
      <c r="C1925" s="5" t="str">
        <f t="array" ref="C1925">INDEX('Báo cáo 75 trang đích'!$C$2:$C$76,$A1925)</f>
        <v>TD</v>
      </c>
      <c r="D1925" s="20" t="s">
        <v>1185</v>
      </c>
      <c r="E1925" s="22" t="s">
        <v>1091</v>
      </c>
      <c r="F1925" s="22" t="s">
        <v>81</v>
      </c>
      <c r="G1925" s="22" t="s">
        <v>1536</v>
      </c>
      <c r="H1925" s="24" t="s">
        <v>59</v>
      </c>
      <c r="I1925" s="24" t="s">
        <v>59</v>
      </c>
      <c r="J1925" s="24" t="s">
        <v>60</v>
      </c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">
        <v>60.0</v>
      </c>
      <c r="B1926" s="35" t="str">
        <f t="array" ref="B1926">INDEX('Báo cáo 75 trang đích'!$B$2:$B$76,$A1926)</f>
        <v>https://techcombank.com/thong-tin/blog/lai-suat-tiet-kiem</v>
      </c>
      <c r="C1926" s="5" t="str">
        <f t="array" ref="C1926">INDEX('Báo cáo 75 trang đích'!$C$2:$C$76,$A1926)</f>
        <v>TD</v>
      </c>
      <c r="D1926" s="20" t="s">
        <v>1108</v>
      </c>
      <c r="E1926" s="22" t="s">
        <v>358</v>
      </c>
      <c r="F1926" s="22" t="s">
        <v>81</v>
      </c>
      <c r="G1926" s="22" t="s">
        <v>1844</v>
      </c>
      <c r="H1926" s="24" t="s">
        <v>59</v>
      </c>
      <c r="I1926" s="24" t="s">
        <v>59</v>
      </c>
      <c r="J1926" s="24" t="s">
        <v>60</v>
      </c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">
        <v>60.0</v>
      </c>
      <c r="B1927" s="35" t="str">
        <f t="array" ref="B1927">INDEX('Báo cáo 75 trang đích'!$B$2:$B$76,$A1927)</f>
        <v>https://techcombank.com/thong-tin/blog/lai-suat-tiet-kiem</v>
      </c>
      <c r="C1927" s="5" t="str">
        <f t="array" ref="C1927">INDEX('Báo cáo 75 trang đích'!$C$2:$C$76,$A1927)</f>
        <v>TD</v>
      </c>
      <c r="D1927" s="20" t="s">
        <v>1682</v>
      </c>
      <c r="E1927" s="22" t="s">
        <v>1088</v>
      </c>
      <c r="F1927" s="22" t="s">
        <v>81</v>
      </c>
      <c r="G1927" s="22" t="s">
        <v>1844</v>
      </c>
      <c r="H1927" s="24" t="s">
        <v>59</v>
      </c>
      <c r="I1927" s="24" t="s">
        <v>59</v>
      </c>
      <c r="J1927" s="24" t="s">
        <v>60</v>
      </c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">
        <v>60.0</v>
      </c>
      <c r="B1928" s="35" t="str">
        <f t="array" ref="B1928">INDEX('Báo cáo 75 trang đích'!$B$2:$B$76,$A1928)</f>
        <v>https://techcombank.com/thong-tin/blog/lai-suat-tiet-kiem</v>
      </c>
      <c r="C1928" s="5" t="str">
        <f t="array" ref="C1928">INDEX('Báo cáo 75 trang đích'!$C$2:$C$76,$A1928)</f>
        <v>TD</v>
      </c>
      <c r="D1928" s="20" t="s">
        <v>1149</v>
      </c>
      <c r="E1928" s="22" t="s">
        <v>1091</v>
      </c>
      <c r="F1928" s="22" t="s">
        <v>81</v>
      </c>
      <c r="G1928" s="22" t="s">
        <v>1536</v>
      </c>
      <c r="H1928" s="24" t="s">
        <v>59</v>
      </c>
      <c r="I1928" s="24" t="s">
        <v>59</v>
      </c>
      <c r="J1928" s="24" t="s">
        <v>60</v>
      </c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">
        <v>60.0</v>
      </c>
      <c r="B1929" s="35" t="str">
        <f t="array" ref="B1929">INDEX('Báo cáo 75 trang đích'!$B$2:$B$76,$A1929)</f>
        <v>https://techcombank.com/thong-tin/blog/lai-suat-tiet-kiem</v>
      </c>
      <c r="C1929" s="5" t="str">
        <f t="array" ref="C1929">INDEX('Báo cáo 75 trang đích'!$C$2:$C$76,$A1929)</f>
        <v>TD</v>
      </c>
      <c r="D1929" s="20" t="s">
        <v>1545</v>
      </c>
      <c r="E1929" s="22" t="s">
        <v>358</v>
      </c>
      <c r="F1929" s="22" t="s">
        <v>81</v>
      </c>
      <c r="G1929" s="22" t="s">
        <v>1536</v>
      </c>
      <c r="H1929" s="24" t="s">
        <v>59</v>
      </c>
      <c r="I1929" s="24" t="s">
        <v>59</v>
      </c>
      <c r="J1929" s="24" t="s">
        <v>60</v>
      </c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">
        <v>60.0</v>
      </c>
      <c r="B1930" s="35" t="str">
        <f t="array" ref="B1930">INDEX('Báo cáo 75 trang đích'!$B$2:$B$76,$A1930)</f>
        <v>https://techcombank.com/thong-tin/blog/lai-suat-tiet-kiem</v>
      </c>
      <c r="C1930" s="5" t="str">
        <f t="array" ref="C1930">INDEX('Báo cáo 75 trang đích'!$C$2:$C$76,$A1930)</f>
        <v>TD</v>
      </c>
      <c r="D1930" s="20" t="s">
        <v>1158</v>
      </c>
      <c r="E1930" s="22" t="s">
        <v>1088</v>
      </c>
      <c r="F1930" s="22" t="s">
        <v>81</v>
      </c>
      <c r="G1930" s="22" t="s">
        <v>1536</v>
      </c>
      <c r="H1930" s="24" t="s">
        <v>59</v>
      </c>
      <c r="I1930" s="24" t="s">
        <v>59</v>
      </c>
      <c r="J1930" s="24" t="s">
        <v>60</v>
      </c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">
        <v>60.0</v>
      </c>
      <c r="B1931" s="35" t="str">
        <f t="array" ref="B1931">INDEX('Báo cáo 75 trang đích'!$B$2:$B$76,$A1931)</f>
        <v>https://techcombank.com/thong-tin/blog/lai-suat-tiet-kiem</v>
      </c>
      <c r="C1931" s="5" t="str">
        <f t="array" ref="C1931">INDEX('Báo cáo 75 trang đích'!$C$2:$C$76,$A1931)</f>
        <v>TD</v>
      </c>
      <c r="D1931" s="20" t="s">
        <v>599</v>
      </c>
      <c r="E1931" s="22" t="s">
        <v>1091</v>
      </c>
      <c r="F1931" s="22" t="s">
        <v>81</v>
      </c>
      <c r="G1931" s="22" t="s">
        <v>1536</v>
      </c>
      <c r="H1931" s="24" t="s">
        <v>59</v>
      </c>
      <c r="I1931" s="24" t="s">
        <v>59</v>
      </c>
      <c r="J1931" s="24" t="s">
        <v>60</v>
      </c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">
        <v>60.0</v>
      </c>
      <c r="B1932" s="35" t="str">
        <f t="array" ref="B1932">INDEX('Báo cáo 75 trang đích'!$B$2:$B$76,$A1932)</f>
        <v>https://techcombank.com/thong-tin/blog/lai-suat-tiet-kiem</v>
      </c>
      <c r="C1932" s="5" t="str">
        <f t="array" ref="C1932">INDEX('Báo cáo 75 trang đích'!$C$2:$C$76,$A1932)</f>
        <v>TD</v>
      </c>
      <c r="D1932" s="20" t="s">
        <v>1547</v>
      </c>
      <c r="E1932" s="22" t="s">
        <v>358</v>
      </c>
      <c r="F1932" s="22" t="s">
        <v>81</v>
      </c>
      <c r="G1932" s="22" t="s">
        <v>1558</v>
      </c>
      <c r="H1932" s="24" t="s">
        <v>59</v>
      </c>
      <c r="I1932" s="24" t="s">
        <v>59</v>
      </c>
      <c r="J1932" s="24" t="s">
        <v>60</v>
      </c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">
        <v>60.0</v>
      </c>
      <c r="B1933" s="35" t="str">
        <f t="array" ref="B1933">INDEX('Báo cáo 75 trang đích'!$B$2:$B$76,$A1933)</f>
        <v>https://techcombank.com/thong-tin/blog/lai-suat-tiet-kiem</v>
      </c>
      <c r="C1933" s="5" t="str">
        <f t="array" ref="C1933">INDEX('Báo cáo 75 trang đích'!$C$2:$C$76,$A1933)</f>
        <v>TD</v>
      </c>
      <c r="D1933" s="20" t="s">
        <v>1846</v>
      </c>
      <c r="E1933" s="22" t="s">
        <v>1088</v>
      </c>
      <c r="F1933" s="22" t="s">
        <v>81</v>
      </c>
      <c r="G1933" s="22" t="s">
        <v>1844</v>
      </c>
      <c r="H1933" s="24" t="s">
        <v>59</v>
      </c>
      <c r="I1933" s="24" t="s">
        <v>59</v>
      </c>
      <c r="J1933" s="24" t="s">
        <v>60</v>
      </c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">
        <v>60.0</v>
      </c>
      <c r="B1934" s="35" t="str">
        <f t="array" ref="B1934">INDEX('Báo cáo 75 trang đích'!$B$2:$B$76,$A1934)</f>
        <v>https://techcombank.com/thong-tin/blog/lai-suat-tiet-kiem</v>
      </c>
      <c r="C1934" s="5" t="str">
        <f t="array" ref="C1934">INDEX('Báo cáo 75 trang đích'!$C$2:$C$76,$A1934)</f>
        <v>TD</v>
      </c>
      <c r="D1934" s="20" t="s">
        <v>1181</v>
      </c>
      <c r="E1934" s="22" t="s">
        <v>1091</v>
      </c>
      <c r="F1934" s="22" t="s">
        <v>81</v>
      </c>
      <c r="G1934" s="22" t="s">
        <v>1536</v>
      </c>
      <c r="H1934" s="24" t="s">
        <v>59</v>
      </c>
      <c r="I1934" s="24" t="s">
        <v>59</v>
      </c>
      <c r="J1934" s="24" t="s">
        <v>60</v>
      </c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">
        <v>60.0</v>
      </c>
      <c r="B1935" s="35" t="str">
        <f t="array" ref="B1935">INDEX('Báo cáo 75 trang đích'!$B$2:$B$76,$A1935)</f>
        <v>https://techcombank.com/thong-tin/blog/lai-suat-tiet-kiem</v>
      </c>
      <c r="C1935" s="5" t="str">
        <f t="array" ref="C1935">INDEX('Báo cáo 75 trang đích'!$C$2:$C$76,$A1935)</f>
        <v>TD</v>
      </c>
      <c r="D1935" s="20" t="s">
        <v>1102</v>
      </c>
      <c r="E1935" s="22" t="s">
        <v>358</v>
      </c>
      <c r="F1935" s="22" t="s">
        <v>81</v>
      </c>
      <c r="G1935" s="22" t="s">
        <v>1536</v>
      </c>
      <c r="H1935" s="24" t="s">
        <v>59</v>
      </c>
      <c r="I1935" s="24" t="s">
        <v>59</v>
      </c>
      <c r="J1935" s="24" t="s">
        <v>60</v>
      </c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">
        <v>60.0</v>
      </c>
      <c r="B1936" s="35" t="str">
        <f t="array" ref="B1936">INDEX('Báo cáo 75 trang đích'!$B$2:$B$76,$A1936)</f>
        <v>https://techcombank.com/thong-tin/blog/lai-suat-tiet-kiem</v>
      </c>
      <c r="C1936" s="5" t="str">
        <f t="array" ref="C1936">INDEX('Báo cáo 75 trang đích'!$C$2:$C$76,$A1936)</f>
        <v>TD</v>
      </c>
      <c r="D1936" s="20" t="s">
        <v>349</v>
      </c>
      <c r="E1936" s="22" t="s">
        <v>1088</v>
      </c>
      <c r="F1936" s="22" t="s">
        <v>81</v>
      </c>
      <c r="G1936" s="22" t="s">
        <v>1536</v>
      </c>
      <c r="H1936" s="24" t="s">
        <v>59</v>
      </c>
      <c r="I1936" s="24" t="s">
        <v>59</v>
      </c>
      <c r="J1936" s="24" t="s">
        <v>60</v>
      </c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">
        <v>60.0</v>
      </c>
      <c r="B1937" s="35" t="str">
        <f t="array" ref="B1937">INDEX('Báo cáo 75 trang đích'!$B$2:$B$76,$A1937)</f>
        <v>https://techcombank.com/thong-tin/blog/lai-suat-tiet-kiem</v>
      </c>
      <c r="C1937" s="5" t="str">
        <f t="array" ref="C1937">INDEX('Báo cáo 75 trang đích'!$C$2:$C$76,$A1937)</f>
        <v>TD</v>
      </c>
      <c r="D1937" s="20" t="s">
        <v>331</v>
      </c>
      <c r="E1937" s="22" t="s">
        <v>1091</v>
      </c>
      <c r="F1937" s="22" t="s">
        <v>81</v>
      </c>
      <c r="G1937" s="22" t="s">
        <v>1847</v>
      </c>
      <c r="H1937" s="24" t="s">
        <v>59</v>
      </c>
      <c r="I1937" s="24" t="s">
        <v>59</v>
      </c>
      <c r="J1937" s="24" t="s">
        <v>60</v>
      </c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">
        <v>60.0</v>
      </c>
      <c r="B1938" s="35" t="str">
        <f t="array" ref="B1938">INDEX('Báo cáo 75 trang đích'!$B$2:$B$76,$A1938)</f>
        <v>https://techcombank.com/thong-tin/blog/lai-suat-tiet-kiem</v>
      </c>
      <c r="C1938" s="5" t="str">
        <f t="array" ref="C1938">INDEX('Báo cáo 75 trang đích'!$C$2:$C$76,$A1938)</f>
        <v>TD</v>
      </c>
      <c r="D1938" s="20" t="s">
        <v>1549</v>
      </c>
      <c r="E1938" s="22" t="s">
        <v>358</v>
      </c>
      <c r="F1938" s="22" t="s">
        <v>81</v>
      </c>
      <c r="G1938" s="22" t="s">
        <v>1558</v>
      </c>
      <c r="H1938" s="24" t="s">
        <v>59</v>
      </c>
      <c r="I1938" s="24" t="s">
        <v>59</v>
      </c>
      <c r="J1938" s="24" t="s">
        <v>60</v>
      </c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">
        <v>60.0</v>
      </c>
      <c r="B1939" s="35" t="str">
        <f t="array" ref="B1939">INDEX('Báo cáo 75 trang đích'!$B$2:$B$76,$A1939)</f>
        <v>https://techcombank.com/thong-tin/blog/lai-suat-tiet-kiem</v>
      </c>
      <c r="C1939" s="5" t="str">
        <f t="array" ref="C1939">INDEX('Báo cáo 75 trang đích'!$C$2:$C$76,$A1939)</f>
        <v>TD</v>
      </c>
      <c r="D1939" s="20" t="s">
        <v>1128</v>
      </c>
      <c r="E1939" s="22" t="s">
        <v>1088</v>
      </c>
      <c r="F1939" s="22" t="s">
        <v>81</v>
      </c>
      <c r="G1939" s="22" t="s">
        <v>1844</v>
      </c>
      <c r="H1939" s="24" t="s">
        <v>59</v>
      </c>
      <c r="I1939" s="24" t="s">
        <v>59</v>
      </c>
      <c r="J1939" s="24" t="s">
        <v>60</v>
      </c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">
        <v>60.0</v>
      </c>
      <c r="B1940" s="35" t="str">
        <f t="array" ref="B1940">INDEX('Báo cáo 75 trang đích'!$B$2:$B$76,$A1940)</f>
        <v>https://techcombank.com/thong-tin/blog/lai-suat-tiet-kiem</v>
      </c>
      <c r="C1940" s="5" t="str">
        <f t="array" ref="C1940">INDEX('Báo cáo 75 trang đích'!$C$2:$C$76,$A1940)</f>
        <v>TD</v>
      </c>
      <c r="D1940" s="20" t="s">
        <v>694</v>
      </c>
      <c r="E1940" s="22" t="s">
        <v>1091</v>
      </c>
      <c r="F1940" s="22" t="s">
        <v>81</v>
      </c>
      <c r="G1940" s="22" t="s">
        <v>1536</v>
      </c>
      <c r="H1940" s="24" t="s">
        <v>59</v>
      </c>
      <c r="I1940" s="24" t="s">
        <v>59</v>
      </c>
      <c r="J1940" s="24" t="s">
        <v>60</v>
      </c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">
        <v>60.0</v>
      </c>
      <c r="B1941" s="35" t="str">
        <f t="array" ref="B1941">INDEX('Báo cáo 75 trang đích'!$B$2:$B$76,$A1941)</f>
        <v>https://techcombank.com/thong-tin/blog/lai-suat-tiet-kiem</v>
      </c>
      <c r="C1941" s="5" t="str">
        <f t="array" ref="C1941">INDEX('Báo cáo 75 trang đích'!$C$2:$C$76,$A1941)</f>
        <v>TD</v>
      </c>
      <c r="D1941" s="20" t="s">
        <v>1160</v>
      </c>
      <c r="E1941" s="22" t="s">
        <v>358</v>
      </c>
      <c r="F1941" s="22" t="s">
        <v>81</v>
      </c>
      <c r="G1941" s="22" t="s">
        <v>1536</v>
      </c>
      <c r="H1941" s="24" t="s">
        <v>59</v>
      </c>
      <c r="I1941" s="24" t="s">
        <v>59</v>
      </c>
      <c r="J1941" s="24" t="s">
        <v>60</v>
      </c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">
        <v>60.0</v>
      </c>
      <c r="B1942" s="35" t="str">
        <f t="array" ref="B1942">INDEX('Báo cáo 75 trang đích'!$B$2:$B$76,$A1942)</f>
        <v>https://techcombank.com/thong-tin/blog/lai-suat-tiet-kiem</v>
      </c>
      <c r="C1942" s="5" t="str">
        <f t="array" ref="C1942">INDEX('Báo cáo 75 trang đích'!$C$2:$C$76,$A1942)</f>
        <v>TD</v>
      </c>
      <c r="D1942" s="20" t="s">
        <v>559</v>
      </c>
      <c r="E1942" s="22" t="s">
        <v>1088</v>
      </c>
      <c r="F1942" s="22" t="s">
        <v>81</v>
      </c>
      <c r="G1942" s="22" t="s">
        <v>1536</v>
      </c>
      <c r="H1942" s="24" t="s">
        <v>59</v>
      </c>
      <c r="I1942" s="24" t="s">
        <v>59</v>
      </c>
      <c r="J1942" s="24" t="s">
        <v>60</v>
      </c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">
        <v>60.0</v>
      </c>
      <c r="B1943" s="35" t="str">
        <f t="array" ref="B1943">INDEX('Báo cáo 75 trang đích'!$B$2:$B$76,$A1943)</f>
        <v>https://techcombank.com/thong-tin/blog/lai-suat-tiet-kiem</v>
      </c>
      <c r="C1943" s="5" t="str">
        <f t="array" ref="C1943">INDEX('Báo cáo 75 trang đích'!$C$2:$C$76,$A1943)</f>
        <v>TD</v>
      </c>
      <c r="D1943" s="20" t="s">
        <v>1848</v>
      </c>
      <c r="E1943" s="22" t="s">
        <v>1091</v>
      </c>
      <c r="F1943" s="22" t="s">
        <v>81</v>
      </c>
      <c r="G1943" s="22" t="s">
        <v>1844</v>
      </c>
      <c r="H1943" s="24" t="s">
        <v>59</v>
      </c>
      <c r="I1943" s="24" t="s">
        <v>59</v>
      </c>
      <c r="J1943" s="24" t="s">
        <v>60</v>
      </c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">
        <v>60.0</v>
      </c>
      <c r="B1944" s="35" t="str">
        <f t="array" ref="B1944">INDEX('Báo cáo 75 trang đích'!$B$2:$B$76,$A1944)</f>
        <v>https://techcombank.com/thong-tin/blog/lai-suat-tiet-kiem</v>
      </c>
      <c r="C1944" s="5" t="str">
        <f t="array" ref="C1944">INDEX('Báo cáo 75 trang đích'!$C$2:$C$76,$A1944)</f>
        <v>TD</v>
      </c>
      <c r="D1944" s="20" t="s">
        <v>1152</v>
      </c>
      <c r="E1944" s="22" t="s">
        <v>358</v>
      </c>
      <c r="F1944" s="22" t="s">
        <v>81</v>
      </c>
      <c r="G1944" s="22" t="s">
        <v>1536</v>
      </c>
      <c r="H1944" s="24" t="s">
        <v>59</v>
      </c>
      <c r="I1944" s="24" t="s">
        <v>59</v>
      </c>
      <c r="J1944" s="24" t="s">
        <v>60</v>
      </c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">
        <v>60.0</v>
      </c>
      <c r="B1945" s="35" t="str">
        <f t="array" ref="B1945">INDEX('Báo cáo 75 trang đích'!$B$2:$B$76,$A1945)</f>
        <v>https://techcombank.com/thong-tin/blog/lai-suat-tiet-kiem</v>
      </c>
      <c r="C1945" s="5" t="str">
        <f t="array" ref="C1945">INDEX('Báo cáo 75 trang đích'!$C$2:$C$76,$A1945)</f>
        <v>TD</v>
      </c>
      <c r="D1945" s="20" t="s">
        <v>1155</v>
      </c>
      <c r="E1945" s="22" t="s">
        <v>1088</v>
      </c>
      <c r="F1945" s="22" t="s">
        <v>81</v>
      </c>
      <c r="G1945" s="22" t="s">
        <v>1536</v>
      </c>
      <c r="H1945" s="24" t="s">
        <v>59</v>
      </c>
      <c r="I1945" s="24" t="s">
        <v>59</v>
      </c>
      <c r="J1945" s="24" t="s">
        <v>60</v>
      </c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">
        <v>60.0</v>
      </c>
      <c r="B1946" s="35" t="str">
        <f t="array" ref="B1946">INDEX('Báo cáo 75 trang đích'!$B$2:$B$76,$A1946)</f>
        <v>https://techcombank.com/thong-tin/blog/lai-suat-tiet-kiem</v>
      </c>
      <c r="C1946" s="5" t="str">
        <f t="array" ref="C1946">INDEX('Báo cáo 75 trang đích'!$C$2:$C$76,$A1946)</f>
        <v>TD</v>
      </c>
      <c r="D1946" s="20" t="s">
        <v>1115</v>
      </c>
      <c r="E1946" s="22" t="s">
        <v>1091</v>
      </c>
      <c r="F1946" s="22" t="s">
        <v>81</v>
      </c>
      <c r="G1946" s="22" t="s">
        <v>1536</v>
      </c>
      <c r="H1946" s="24" t="s">
        <v>59</v>
      </c>
      <c r="I1946" s="24" t="s">
        <v>59</v>
      </c>
      <c r="J1946" s="24" t="s">
        <v>60</v>
      </c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">
        <v>60.0</v>
      </c>
      <c r="B1947" s="35" t="str">
        <f t="array" ref="B1947">INDEX('Báo cáo 75 trang đích'!$B$2:$B$76,$A1947)</f>
        <v>https://techcombank.com/thong-tin/blog/lai-suat-tiet-kiem</v>
      </c>
      <c r="C1947" s="5" t="str">
        <f t="array" ref="C1947">INDEX('Báo cáo 75 trang đích'!$C$2:$C$76,$A1947)</f>
        <v>TD</v>
      </c>
      <c r="D1947" s="20" t="s">
        <v>1550</v>
      </c>
      <c r="E1947" s="22" t="s">
        <v>358</v>
      </c>
      <c r="F1947" s="22" t="s">
        <v>81</v>
      </c>
      <c r="G1947" s="22" t="s">
        <v>1536</v>
      </c>
      <c r="H1947" s="24" t="s">
        <v>59</v>
      </c>
      <c r="I1947" s="24" t="s">
        <v>59</v>
      </c>
      <c r="J1947" s="24" t="s">
        <v>60</v>
      </c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">
        <v>60.0</v>
      </c>
      <c r="B1948" s="35" t="str">
        <f t="array" ref="B1948">INDEX('Báo cáo 75 trang đích'!$B$2:$B$76,$A1948)</f>
        <v>https://techcombank.com/thong-tin/blog/lai-suat-tiet-kiem</v>
      </c>
      <c r="C1948" s="5" t="str">
        <f t="array" ref="C1948">INDEX('Báo cáo 75 trang đích'!$C$2:$C$76,$A1948)</f>
        <v>TD</v>
      </c>
      <c r="D1948" s="20" t="s">
        <v>824</v>
      </c>
      <c r="E1948" s="22" t="s">
        <v>1088</v>
      </c>
      <c r="F1948" s="22" t="s">
        <v>81</v>
      </c>
      <c r="G1948" s="22" t="s">
        <v>1849</v>
      </c>
      <c r="H1948" s="24" t="s">
        <v>59</v>
      </c>
      <c r="I1948" s="24" t="s">
        <v>59</v>
      </c>
      <c r="J1948" s="24" t="s">
        <v>60</v>
      </c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">
        <v>60.0</v>
      </c>
      <c r="B1949" s="35" t="str">
        <f t="array" ref="B1949">INDEX('Báo cáo 75 trang đích'!$B$2:$B$76,$A1949)</f>
        <v>https://techcombank.com/thong-tin/blog/lai-suat-tiet-kiem</v>
      </c>
      <c r="C1949" s="5" t="str">
        <f t="array" ref="C1949">INDEX('Báo cáo 75 trang đích'!$C$2:$C$76,$A1949)</f>
        <v>TD</v>
      </c>
      <c r="D1949" s="20" t="s">
        <v>845</v>
      </c>
      <c r="E1949" s="22" t="s">
        <v>1091</v>
      </c>
      <c r="F1949" s="22" t="s">
        <v>81</v>
      </c>
      <c r="G1949" s="22" t="s">
        <v>1844</v>
      </c>
      <c r="H1949" s="24" t="s">
        <v>59</v>
      </c>
      <c r="I1949" s="24" t="s">
        <v>59</v>
      </c>
      <c r="J1949" s="24" t="s">
        <v>60</v>
      </c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">
        <v>60.0</v>
      </c>
      <c r="B1950" s="35" t="str">
        <f t="array" ref="B1950">INDEX('Báo cáo 75 trang đích'!$B$2:$B$76,$A1950)</f>
        <v>https://techcombank.com/thong-tin/blog/lai-suat-tiet-kiem</v>
      </c>
      <c r="C1950" s="5" t="str">
        <f t="array" ref="C1950">INDEX('Báo cáo 75 trang đích'!$C$2:$C$76,$A1950)</f>
        <v>TD</v>
      </c>
      <c r="D1950" s="20" t="s">
        <v>1551</v>
      </c>
      <c r="E1950" s="22" t="s">
        <v>358</v>
      </c>
      <c r="F1950" s="22" t="s">
        <v>81</v>
      </c>
      <c r="G1950" s="22" t="s">
        <v>1536</v>
      </c>
      <c r="H1950" s="24" t="s">
        <v>59</v>
      </c>
      <c r="I1950" s="24" t="s">
        <v>59</v>
      </c>
      <c r="J1950" s="24" t="s">
        <v>60</v>
      </c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">
        <v>60.0</v>
      </c>
      <c r="B1951" s="35" t="str">
        <f t="array" ref="B1951">INDEX('Báo cáo 75 trang đích'!$B$2:$B$76,$A1951)</f>
        <v>https://techcombank.com/thong-tin/blog/lai-suat-tiet-kiem</v>
      </c>
      <c r="C1951" s="5" t="str">
        <f t="array" ref="C1951">INDEX('Báo cáo 75 trang đích'!$C$2:$C$76,$A1951)</f>
        <v>TD</v>
      </c>
      <c r="D1951" s="20" t="s">
        <v>226</v>
      </c>
      <c r="E1951" s="22" t="s">
        <v>1088</v>
      </c>
      <c r="F1951" s="22" t="s">
        <v>81</v>
      </c>
      <c r="G1951" s="22" t="s">
        <v>1536</v>
      </c>
      <c r="H1951" s="24" t="s">
        <v>59</v>
      </c>
      <c r="I1951" s="24" t="s">
        <v>59</v>
      </c>
      <c r="J1951" s="24" t="s">
        <v>60</v>
      </c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">
        <v>60.0</v>
      </c>
      <c r="B1952" s="35" t="str">
        <f t="array" ref="B1952">INDEX('Báo cáo 75 trang đích'!$B$2:$B$76,$A1952)</f>
        <v>https://techcombank.com/thong-tin/blog/lai-suat-tiet-kiem</v>
      </c>
      <c r="C1952" s="5" t="str">
        <f t="array" ref="C1952">INDEX('Báo cáo 75 trang đích'!$C$2:$C$76,$A1952)</f>
        <v>TD</v>
      </c>
      <c r="D1952" s="20" t="s">
        <v>1821</v>
      </c>
      <c r="E1952" s="22" t="s">
        <v>1091</v>
      </c>
      <c r="F1952" s="22" t="s">
        <v>81</v>
      </c>
      <c r="G1952" s="22" t="s">
        <v>1844</v>
      </c>
      <c r="H1952" s="24" t="s">
        <v>59</v>
      </c>
      <c r="I1952" s="24" t="s">
        <v>59</v>
      </c>
      <c r="J1952" s="24" t="s">
        <v>60</v>
      </c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">
        <v>60.0</v>
      </c>
      <c r="B1953" s="35" t="str">
        <f t="array" ref="B1953">INDEX('Báo cáo 75 trang đích'!$B$2:$B$76,$A1953)</f>
        <v>https://techcombank.com/thong-tin/blog/lai-suat-tiet-kiem</v>
      </c>
      <c r="C1953" s="5" t="str">
        <f t="array" ref="C1953">INDEX('Báo cáo 75 trang đích'!$C$2:$C$76,$A1953)</f>
        <v>TD</v>
      </c>
      <c r="D1953" s="20" t="s">
        <v>872</v>
      </c>
      <c r="E1953" s="22" t="s">
        <v>358</v>
      </c>
      <c r="F1953" s="22" t="s">
        <v>81</v>
      </c>
      <c r="G1953" s="22" t="s">
        <v>1850</v>
      </c>
      <c r="H1953" s="24" t="s">
        <v>59</v>
      </c>
      <c r="I1953" s="24" t="s">
        <v>59</v>
      </c>
      <c r="J1953" s="24" t="s">
        <v>60</v>
      </c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">
        <v>60.0</v>
      </c>
      <c r="B1954" s="35" t="str">
        <f t="array" ref="B1954">INDEX('Báo cáo 75 trang đích'!$B$2:$B$76,$A1954)</f>
        <v>https://techcombank.com/thong-tin/blog/lai-suat-tiet-kiem</v>
      </c>
      <c r="C1954" s="5" t="str">
        <f t="array" ref="C1954">INDEX('Báo cáo 75 trang đích'!$C$2:$C$76,$A1954)</f>
        <v>TD</v>
      </c>
      <c r="D1954" s="20" t="s">
        <v>1552</v>
      </c>
      <c r="E1954" s="22" t="s">
        <v>1088</v>
      </c>
      <c r="F1954" s="22" t="s">
        <v>81</v>
      </c>
      <c r="G1954" s="22" t="s">
        <v>1536</v>
      </c>
      <c r="H1954" s="24" t="s">
        <v>59</v>
      </c>
      <c r="I1954" s="24" t="s">
        <v>59</v>
      </c>
      <c r="J1954" s="24" t="s">
        <v>60</v>
      </c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6">
        <v>60.0</v>
      </c>
      <c r="B1955" s="35" t="str">
        <f t="array" ref="B1955">INDEX('Báo cáo 75 trang đích'!$B$2:$B$76,$A1955)</f>
        <v>https://techcombank.com/thong-tin/blog/lai-suat-tiet-kiem</v>
      </c>
      <c r="C1955" s="5" t="str">
        <f t="array" ref="C1955">INDEX('Báo cáo 75 trang đích'!$C$2:$C$76,$A1955)</f>
        <v>TD</v>
      </c>
      <c r="D1955" s="20" t="s">
        <v>1661</v>
      </c>
      <c r="E1955" s="22" t="s">
        <v>1091</v>
      </c>
      <c r="F1955" s="22" t="s">
        <v>81</v>
      </c>
      <c r="G1955" s="22" t="s">
        <v>1844</v>
      </c>
      <c r="H1955" s="24" t="s">
        <v>59</v>
      </c>
      <c r="I1955" s="24" t="s">
        <v>59</v>
      </c>
      <c r="J1955" s="24" t="s">
        <v>60</v>
      </c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6">
        <v>61.0</v>
      </c>
      <c r="B1956" s="35" t="str">
        <f t="array" ref="B1956">INDEX('Báo cáo 75 trang đích'!$B$2:$B$76,$A1956)</f>
        <v>https://techcombank.com/thong-tin/blog/cach-tinh-lai-suat-tien-gui-tiet-kiem</v>
      </c>
      <c r="C1956" s="5" t="str">
        <f t="array" ref="C1956">INDEX('Báo cáo 75 trang đích'!$C$2:$C$76,$A1956)</f>
        <v>TD</v>
      </c>
      <c r="D1956" s="20" t="s">
        <v>1099</v>
      </c>
      <c r="E1956" s="22" t="s">
        <v>364</v>
      </c>
      <c r="F1956" s="22" t="s">
        <v>57</v>
      </c>
      <c r="G1956" s="22" t="s">
        <v>1851</v>
      </c>
      <c r="H1956" s="24" t="s">
        <v>59</v>
      </c>
      <c r="I1956" s="24" t="s">
        <v>59</v>
      </c>
      <c r="J1956" s="24" t="s">
        <v>60</v>
      </c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6">
        <v>61.0</v>
      </c>
      <c r="B1957" s="35" t="str">
        <f t="array" ref="B1957">INDEX('Báo cáo 75 trang đích'!$B$2:$B$76,$A1957)</f>
        <v>https://techcombank.com/thong-tin/blog/cach-tinh-lai-suat-tien-gui-tiet-kiem</v>
      </c>
      <c r="C1957" s="5" t="str">
        <f t="array" ref="C1957">INDEX('Báo cáo 75 trang đích'!$C$2:$C$76,$A1957)</f>
        <v>TD</v>
      </c>
      <c r="D1957" s="20" t="s">
        <v>1102</v>
      </c>
      <c r="E1957" s="22" t="s">
        <v>1104</v>
      </c>
      <c r="F1957" s="22" t="s">
        <v>57</v>
      </c>
      <c r="G1957" s="22" t="s">
        <v>1852</v>
      </c>
      <c r="H1957" s="24" t="s">
        <v>59</v>
      </c>
      <c r="I1957" s="24" t="s">
        <v>59</v>
      </c>
      <c r="J1957" s="24" t="s">
        <v>60</v>
      </c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6">
        <v>61.0</v>
      </c>
      <c r="B1958" s="35" t="str">
        <f t="array" ref="B1958">INDEX('Báo cáo 75 trang đích'!$B$2:$B$76,$A1958)</f>
        <v>https://techcombank.com/thong-tin/blog/cach-tinh-lai-suat-tien-gui-tiet-kiem</v>
      </c>
      <c r="C1958" s="5" t="str">
        <f t="array" ref="C1958">INDEX('Báo cáo 75 trang đích'!$C$2:$C$76,$A1958)</f>
        <v>TD</v>
      </c>
      <c r="D1958" s="20" t="s">
        <v>559</v>
      </c>
      <c r="E1958" s="22" t="s">
        <v>364</v>
      </c>
      <c r="F1958" s="22" t="s">
        <v>57</v>
      </c>
      <c r="G1958" s="22" t="s">
        <v>1853</v>
      </c>
      <c r="H1958" s="24" t="s">
        <v>59</v>
      </c>
      <c r="I1958" s="24" t="s">
        <v>59</v>
      </c>
      <c r="J1958" s="24" t="s">
        <v>60</v>
      </c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6">
        <v>61.0</v>
      </c>
      <c r="B1959" s="35" t="str">
        <f t="array" ref="B1959">INDEX('Báo cáo 75 trang đích'!$B$2:$B$76,$A1959)</f>
        <v>https://techcombank.com/thong-tin/blog/cach-tinh-lai-suat-tien-gui-tiet-kiem</v>
      </c>
      <c r="C1959" s="5" t="str">
        <f t="array" ref="C1959">INDEX('Báo cáo 75 trang đích'!$C$2:$C$76,$A1959)</f>
        <v>TD</v>
      </c>
      <c r="D1959" s="20" t="s">
        <v>1108</v>
      </c>
      <c r="E1959" s="22" t="s">
        <v>1104</v>
      </c>
      <c r="F1959" s="22" t="s">
        <v>76</v>
      </c>
      <c r="G1959" s="22" t="s">
        <v>1854</v>
      </c>
      <c r="H1959" s="24" t="s">
        <v>59</v>
      </c>
      <c r="I1959" s="24" t="s">
        <v>59</v>
      </c>
      <c r="J1959" s="24" t="s">
        <v>60</v>
      </c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6">
        <v>61.0</v>
      </c>
      <c r="B1960" s="35" t="str">
        <f t="array" ref="B1960">INDEX('Báo cáo 75 trang đích'!$B$2:$B$76,$A1960)</f>
        <v>https://techcombank.com/thong-tin/blog/cach-tinh-lai-suat-tien-gui-tiet-kiem</v>
      </c>
      <c r="C1960" s="5" t="str">
        <f t="array" ref="C1960">INDEX('Báo cáo 75 trang đích'!$C$2:$C$76,$A1960)</f>
        <v>TD</v>
      </c>
      <c r="D1960" s="20" t="s">
        <v>1110</v>
      </c>
      <c r="E1960" s="22" t="s">
        <v>364</v>
      </c>
      <c r="F1960" s="22" t="s">
        <v>76</v>
      </c>
      <c r="G1960" s="22" t="s">
        <v>1855</v>
      </c>
      <c r="H1960" s="24" t="s">
        <v>59</v>
      </c>
      <c r="I1960" s="24" t="s">
        <v>59</v>
      </c>
      <c r="J1960" s="24" t="s">
        <v>60</v>
      </c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6">
        <v>61.0</v>
      </c>
      <c r="B1961" s="35" t="str">
        <f t="array" ref="B1961">INDEX('Báo cáo 75 trang đích'!$B$2:$B$76,$A1961)</f>
        <v>https://techcombank.com/thong-tin/blog/cach-tinh-lai-suat-tien-gui-tiet-kiem</v>
      </c>
      <c r="C1961" s="5" t="str">
        <f t="array" ref="C1961">INDEX('Báo cáo 75 trang đích'!$C$2:$C$76,$A1961)</f>
        <v>TD</v>
      </c>
      <c r="D1961" s="20" t="s">
        <v>1753</v>
      </c>
      <c r="E1961" s="22" t="s">
        <v>1104</v>
      </c>
      <c r="F1961" s="22" t="s">
        <v>81</v>
      </c>
      <c r="G1961" s="22" t="s">
        <v>1856</v>
      </c>
      <c r="H1961" s="24" t="s">
        <v>59</v>
      </c>
      <c r="I1961" s="24" t="s">
        <v>59</v>
      </c>
      <c r="J1961" s="24" t="s">
        <v>60</v>
      </c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6">
        <v>61.0</v>
      </c>
      <c r="B1962" s="35" t="str">
        <f t="array" ref="B1962">INDEX('Báo cáo 75 trang đích'!$B$2:$B$76,$A1962)</f>
        <v>https://techcombank.com/thong-tin/blog/cach-tinh-lai-suat-tien-gui-tiet-kiem</v>
      </c>
      <c r="C1962" s="5" t="str">
        <f t="array" ref="C1962">INDEX('Báo cáo 75 trang đích'!$C$2:$C$76,$A1962)</f>
        <v>TD</v>
      </c>
      <c r="D1962" s="20" t="s">
        <v>1053</v>
      </c>
      <c r="E1962" s="22" t="s">
        <v>364</v>
      </c>
      <c r="F1962" s="22" t="s">
        <v>81</v>
      </c>
      <c r="G1962" s="22" t="s">
        <v>1856</v>
      </c>
      <c r="H1962" s="24" t="s">
        <v>59</v>
      </c>
      <c r="I1962" s="24" t="s">
        <v>59</v>
      </c>
      <c r="J1962" s="24" t="s">
        <v>60</v>
      </c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6">
        <v>61.0</v>
      </c>
      <c r="B1963" s="35" t="str">
        <f t="array" ref="B1963">INDEX('Báo cáo 75 trang đích'!$B$2:$B$76,$A1963)</f>
        <v>https://techcombank.com/thong-tin/blog/cach-tinh-lai-suat-tien-gui-tiet-kiem</v>
      </c>
      <c r="C1963" s="5" t="str">
        <f t="array" ref="C1963">INDEX('Báo cáo 75 trang đích'!$C$2:$C$76,$A1963)</f>
        <v>TD</v>
      </c>
      <c r="D1963" s="20" t="s">
        <v>1135</v>
      </c>
      <c r="E1963" s="22" t="s">
        <v>1104</v>
      </c>
      <c r="F1963" s="22" t="s">
        <v>81</v>
      </c>
      <c r="G1963" s="22" t="s">
        <v>1536</v>
      </c>
      <c r="H1963" s="24" t="s">
        <v>59</v>
      </c>
      <c r="I1963" s="24" t="s">
        <v>59</v>
      </c>
      <c r="J1963" s="24" t="s">
        <v>60</v>
      </c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6">
        <v>61.0</v>
      </c>
      <c r="B1964" s="35" t="str">
        <f t="array" ref="B1964">INDEX('Báo cáo 75 trang đích'!$B$2:$B$76,$A1964)</f>
        <v>https://techcombank.com/thong-tin/blog/cach-tinh-lai-suat-tien-gui-tiet-kiem</v>
      </c>
      <c r="C1964" s="5" t="str">
        <f t="array" ref="C1964">INDEX('Báo cáo 75 trang đích'!$C$2:$C$76,$A1964)</f>
        <v>TD</v>
      </c>
      <c r="D1964" s="20" t="s">
        <v>1537</v>
      </c>
      <c r="E1964" s="22" t="s">
        <v>364</v>
      </c>
      <c r="F1964" s="22" t="s">
        <v>81</v>
      </c>
      <c r="G1964" s="22" t="s">
        <v>1536</v>
      </c>
      <c r="H1964" s="24" t="s">
        <v>59</v>
      </c>
      <c r="I1964" s="24" t="s">
        <v>59</v>
      </c>
      <c r="J1964" s="24" t="s">
        <v>60</v>
      </c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6">
        <v>61.0</v>
      </c>
      <c r="B1965" s="35" t="str">
        <f t="array" ref="B1965">INDEX('Báo cáo 75 trang đích'!$B$2:$B$76,$A1965)</f>
        <v>https://techcombank.com/thong-tin/blog/cach-tinh-lai-suat-tien-gui-tiet-kiem</v>
      </c>
      <c r="C1965" s="5" t="str">
        <f t="array" ref="C1965">INDEX('Báo cáo 75 trang đích'!$C$2:$C$76,$A1965)</f>
        <v>TD</v>
      </c>
      <c r="D1965" s="20" t="s">
        <v>1538</v>
      </c>
      <c r="E1965" s="22" t="s">
        <v>1104</v>
      </c>
      <c r="F1965" s="22" t="s">
        <v>81</v>
      </c>
      <c r="G1965" s="22" t="s">
        <v>1536</v>
      </c>
      <c r="H1965" s="24" t="s">
        <v>59</v>
      </c>
      <c r="I1965" s="24" t="s">
        <v>59</v>
      </c>
      <c r="J1965" s="24" t="s">
        <v>60</v>
      </c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6">
        <v>61.0</v>
      </c>
      <c r="B1966" s="35" t="str">
        <f t="array" ref="B1966">INDEX('Báo cáo 75 trang đích'!$B$2:$B$76,$A1966)</f>
        <v>https://techcombank.com/thong-tin/blog/cach-tinh-lai-suat-tien-gui-tiet-kiem</v>
      </c>
      <c r="C1966" s="5" t="str">
        <f t="array" ref="C1966">INDEX('Báo cáo 75 trang đích'!$C$2:$C$76,$A1966)</f>
        <v>TD</v>
      </c>
      <c r="D1966" s="20" t="s">
        <v>1539</v>
      </c>
      <c r="E1966" s="22" t="s">
        <v>364</v>
      </c>
      <c r="F1966" s="22" t="s">
        <v>81</v>
      </c>
      <c r="G1966" s="22" t="s">
        <v>1536</v>
      </c>
      <c r="H1966" s="24" t="s">
        <v>59</v>
      </c>
      <c r="I1966" s="24" t="s">
        <v>59</v>
      </c>
      <c r="J1966" s="24" t="s">
        <v>60</v>
      </c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6">
        <v>61.0</v>
      </c>
      <c r="B1967" s="35" t="str">
        <f t="array" ref="B1967">INDEX('Báo cáo 75 trang đích'!$B$2:$B$76,$A1967)</f>
        <v>https://techcombank.com/thong-tin/blog/cach-tinh-lai-suat-tien-gui-tiet-kiem</v>
      </c>
      <c r="C1967" s="5" t="str">
        <f t="array" ref="C1967">INDEX('Báo cáo 75 trang đích'!$C$2:$C$76,$A1967)</f>
        <v>TD</v>
      </c>
      <c r="D1967" s="20" t="s">
        <v>1085</v>
      </c>
      <c r="E1967" s="22" t="s">
        <v>1104</v>
      </c>
      <c r="F1967" s="22" t="s">
        <v>81</v>
      </c>
      <c r="G1967" s="22" t="s">
        <v>1536</v>
      </c>
      <c r="H1967" s="24" t="s">
        <v>59</v>
      </c>
      <c r="I1967" s="24" t="s">
        <v>59</v>
      </c>
      <c r="J1967" s="24" t="s">
        <v>60</v>
      </c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6">
        <v>61.0</v>
      </c>
      <c r="B1968" s="35" t="str">
        <f t="array" ref="B1968">INDEX('Báo cáo 75 trang đích'!$B$2:$B$76,$A1968)</f>
        <v>https://techcombank.com/thong-tin/blog/cach-tinh-lai-suat-tien-gui-tiet-kiem</v>
      </c>
      <c r="C1968" s="5" t="str">
        <f t="array" ref="C1968">INDEX('Báo cáo 75 trang đích'!$C$2:$C$76,$A1968)</f>
        <v>TD</v>
      </c>
      <c r="D1968" s="20" t="s">
        <v>1679</v>
      </c>
      <c r="E1968" s="22" t="s">
        <v>364</v>
      </c>
      <c r="F1968" s="22" t="s">
        <v>81</v>
      </c>
      <c r="G1968" s="22" t="s">
        <v>1856</v>
      </c>
      <c r="H1968" s="24" t="s">
        <v>59</v>
      </c>
      <c r="I1968" s="24" t="s">
        <v>59</v>
      </c>
      <c r="J1968" s="24" t="s">
        <v>60</v>
      </c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6">
        <v>61.0</v>
      </c>
      <c r="B1969" s="35" t="str">
        <f t="array" ref="B1969">INDEX('Báo cáo 75 trang đích'!$B$2:$B$76,$A1969)</f>
        <v>https://techcombank.com/thong-tin/blog/cach-tinh-lai-suat-tien-gui-tiet-kiem</v>
      </c>
      <c r="C1969" s="5" t="str">
        <f t="array" ref="C1969">INDEX('Báo cáo 75 trang đích'!$C$2:$C$76,$A1969)</f>
        <v>TD</v>
      </c>
      <c r="D1969" s="20" t="s">
        <v>1185</v>
      </c>
      <c r="E1969" s="22" t="s">
        <v>1104</v>
      </c>
      <c r="F1969" s="22" t="s">
        <v>81</v>
      </c>
      <c r="G1969" s="22" t="s">
        <v>1536</v>
      </c>
      <c r="H1969" s="24" t="s">
        <v>59</v>
      </c>
      <c r="I1969" s="24" t="s">
        <v>59</v>
      </c>
      <c r="J1969" s="24" t="s">
        <v>60</v>
      </c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6">
        <v>61.0</v>
      </c>
      <c r="B1970" s="35" t="str">
        <f t="array" ref="B1970">INDEX('Báo cáo 75 trang đích'!$B$2:$B$76,$A1970)</f>
        <v>https://techcombank.com/thong-tin/blog/cach-tinh-lai-suat-tien-gui-tiet-kiem</v>
      </c>
      <c r="C1970" s="5" t="str">
        <f t="array" ref="C1970">INDEX('Báo cáo 75 trang đích'!$C$2:$C$76,$A1970)</f>
        <v>TD</v>
      </c>
      <c r="D1970" s="20" t="s">
        <v>1212</v>
      </c>
      <c r="E1970" s="22" t="s">
        <v>364</v>
      </c>
      <c r="F1970" s="22" t="s">
        <v>81</v>
      </c>
      <c r="G1970" s="22" t="s">
        <v>1856</v>
      </c>
      <c r="H1970" s="24" t="s">
        <v>59</v>
      </c>
      <c r="I1970" s="24" t="s">
        <v>59</v>
      </c>
      <c r="J1970" s="24" t="s">
        <v>60</v>
      </c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6">
        <v>61.0</v>
      </c>
      <c r="B1971" s="35" t="str">
        <f t="array" ref="B1971">INDEX('Báo cáo 75 trang đích'!$B$2:$B$76,$A1971)</f>
        <v>https://techcombank.com/thong-tin/blog/cach-tinh-lai-suat-tien-gui-tiet-kiem</v>
      </c>
      <c r="C1971" s="5" t="str">
        <f t="array" ref="C1971">INDEX('Báo cáo 75 trang đích'!$C$2:$C$76,$A1971)</f>
        <v>TD</v>
      </c>
      <c r="D1971" s="20" t="s">
        <v>813</v>
      </c>
      <c r="E1971" s="22" t="s">
        <v>1104</v>
      </c>
      <c r="F1971" s="22" t="s">
        <v>81</v>
      </c>
      <c r="G1971" s="22" t="s">
        <v>1856</v>
      </c>
      <c r="H1971" s="24" t="s">
        <v>59</v>
      </c>
      <c r="I1971" s="24" t="s">
        <v>59</v>
      </c>
      <c r="J1971" s="24" t="s">
        <v>60</v>
      </c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6">
        <v>61.0</v>
      </c>
      <c r="B1972" s="35" t="str">
        <f t="array" ref="B1972">INDEX('Báo cáo 75 trang đích'!$B$2:$B$76,$A1972)</f>
        <v>https://techcombank.com/thong-tin/blog/cach-tinh-lai-suat-tien-gui-tiet-kiem</v>
      </c>
      <c r="C1972" s="5" t="str">
        <f t="array" ref="C1972">INDEX('Báo cáo 75 trang đích'!$C$2:$C$76,$A1972)</f>
        <v>TD</v>
      </c>
      <c r="D1972" s="20" t="s">
        <v>1089</v>
      </c>
      <c r="E1972" s="22" t="s">
        <v>364</v>
      </c>
      <c r="F1972" s="22" t="s">
        <v>81</v>
      </c>
      <c r="G1972" s="22" t="s">
        <v>1536</v>
      </c>
      <c r="H1972" s="24" t="s">
        <v>59</v>
      </c>
      <c r="I1972" s="24" t="s">
        <v>59</v>
      </c>
      <c r="J1972" s="24" t="s">
        <v>60</v>
      </c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6">
        <v>61.0</v>
      </c>
      <c r="B1973" s="35" t="str">
        <f t="array" ref="B1973">INDEX('Báo cáo 75 trang đích'!$B$2:$B$76,$A1973)</f>
        <v>https://techcombank.com/thong-tin/blog/cach-tinh-lai-suat-tien-gui-tiet-kiem</v>
      </c>
      <c r="C1973" s="5" t="str">
        <f t="array" ref="C1973">INDEX('Báo cáo 75 trang đích'!$C$2:$C$76,$A1973)</f>
        <v>TD</v>
      </c>
      <c r="D1973" s="20" t="s">
        <v>212</v>
      </c>
      <c r="E1973" s="22" t="s">
        <v>1104</v>
      </c>
      <c r="F1973" s="22" t="s">
        <v>81</v>
      </c>
      <c r="G1973" s="22" t="s">
        <v>1857</v>
      </c>
      <c r="H1973" s="24" t="s">
        <v>59</v>
      </c>
      <c r="I1973" s="24" t="s">
        <v>59</v>
      </c>
      <c r="J1973" s="24" t="s">
        <v>60</v>
      </c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6">
        <v>61.0</v>
      </c>
      <c r="B1974" s="35" t="str">
        <f t="array" ref="B1974">INDEX('Báo cáo 75 trang đích'!$B$2:$B$76,$A1974)</f>
        <v>https://techcombank.com/thong-tin/blog/cach-tinh-lai-suat-tien-gui-tiet-kiem</v>
      </c>
      <c r="C1974" s="5" t="str">
        <f t="array" ref="C1974">INDEX('Báo cáo 75 trang đích'!$C$2:$C$76,$A1974)</f>
        <v>TD</v>
      </c>
      <c r="D1974" s="20" t="s">
        <v>1149</v>
      </c>
      <c r="E1974" s="22" t="s">
        <v>364</v>
      </c>
      <c r="F1974" s="22" t="s">
        <v>81</v>
      </c>
      <c r="G1974" s="22" t="s">
        <v>1536</v>
      </c>
      <c r="H1974" s="24" t="s">
        <v>59</v>
      </c>
      <c r="I1974" s="24" t="s">
        <v>59</v>
      </c>
      <c r="J1974" s="24" t="s">
        <v>60</v>
      </c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6">
        <v>61.0</v>
      </c>
      <c r="B1975" s="35" t="str">
        <f t="array" ref="B1975">INDEX('Báo cáo 75 trang đích'!$B$2:$B$76,$A1975)</f>
        <v>https://techcombank.com/thong-tin/blog/cach-tinh-lai-suat-tien-gui-tiet-kiem</v>
      </c>
      <c r="C1975" s="5" t="str">
        <f t="array" ref="C1975">INDEX('Báo cáo 75 trang đích'!$C$2:$C$76,$A1975)</f>
        <v>TD</v>
      </c>
      <c r="D1975" s="20" t="s">
        <v>1545</v>
      </c>
      <c r="E1975" s="22" t="s">
        <v>1104</v>
      </c>
      <c r="F1975" s="22" t="s">
        <v>81</v>
      </c>
      <c r="G1975" s="22" t="s">
        <v>1536</v>
      </c>
      <c r="H1975" s="24" t="s">
        <v>59</v>
      </c>
      <c r="I1975" s="24" t="s">
        <v>59</v>
      </c>
      <c r="J1975" s="24" t="s">
        <v>60</v>
      </c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6">
        <v>61.0</v>
      </c>
      <c r="B1976" s="35" t="str">
        <f t="array" ref="B1976">INDEX('Báo cáo 75 trang đích'!$B$2:$B$76,$A1976)</f>
        <v>https://techcombank.com/thong-tin/blog/cach-tinh-lai-suat-tien-gui-tiet-kiem</v>
      </c>
      <c r="C1976" s="5" t="str">
        <f t="array" ref="C1976">INDEX('Báo cáo 75 trang đích'!$C$2:$C$76,$A1976)</f>
        <v>TD</v>
      </c>
      <c r="D1976" s="20" t="s">
        <v>1158</v>
      </c>
      <c r="E1976" s="22" t="s">
        <v>364</v>
      </c>
      <c r="F1976" s="22" t="s">
        <v>81</v>
      </c>
      <c r="G1976" s="22" t="s">
        <v>1536</v>
      </c>
      <c r="H1976" s="24" t="s">
        <v>59</v>
      </c>
      <c r="I1976" s="24" t="s">
        <v>59</v>
      </c>
      <c r="J1976" s="24" t="s">
        <v>60</v>
      </c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6">
        <v>61.0</v>
      </c>
      <c r="B1977" s="35" t="str">
        <f t="array" ref="B1977">INDEX('Báo cáo 75 trang đích'!$B$2:$B$76,$A1977)</f>
        <v>https://techcombank.com/thong-tin/blog/cach-tinh-lai-suat-tien-gui-tiet-kiem</v>
      </c>
      <c r="C1977" s="5" t="str">
        <f t="array" ref="C1977">INDEX('Báo cáo 75 trang đích'!$C$2:$C$76,$A1977)</f>
        <v>TD</v>
      </c>
      <c r="D1977" s="20" t="s">
        <v>599</v>
      </c>
      <c r="E1977" s="22" t="s">
        <v>1104</v>
      </c>
      <c r="F1977" s="22" t="s">
        <v>81</v>
      </c>
      <c r="G1977" s="22" t="s">
        <v>1536</v>
      </c>
      <c r="H1977" s="24" t="s">
        <v>59</v>
      </c>
      <c r="I1977" s="24" t="s">
        <v>59</v>
      </c>
      <c r="J1977" s="24" t="s">
        <v>60</v>
      </c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6">
        <v>61.0</v>
      </c>
      <c r="B1978" s="35" t="str">
        <f t="array" ref="B1978">INDEX('Báo cáo 75 trang đích'!$B$2:$B$76,$A1978)</f>
        <v>https://techcombank.com/thong-tin/blog/cach-tinh-lai-suat-tien-gui-tiet-kiem</v>
      </c>
      <c r="C1978" s="5" t="str">
        <f t="array" ref="C1978">INDEX('Báo cáo 75 trang đích'!$C$2:$C$76,$A1978)</f>
        <v>TD</v>
      </c>
      <c r="D1978" s="20" t="s">
        <v>1547</v>
      </c>
      <c r="E1978" s="22" t="s">
        <v>364</v>
      </c>
      <c r="F1978" s="22" t="s">
        <v>81</v>
      </c>
      <c r="G1978" s="22" t="s">
        <v>1558</v>
      </c>
      <c r="H1978" s="24" t="s">
        <v>59</v>
      </c>
      <c r="I1978" s="24" t="s">
        <v>59</v>
      </c>
      <c r="J1978" s="24" t="s">
        <v>60</v>
      </c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6">
        <v>61.0</v>
      </c>
      <c r="B1979" s="35" t="str">
        <f t="array" ref="B1979">INDEX('Báo cáo 75 trang đích'!$B$2:$B$76,$A1979)</f>
        <v>https://techcombank.com/thong-tin/blog/cach-tinh-lai-suat-tien-gui-tiet-kiem</v>
      </c>
      <c r="C1979" s="5" t="str">
        <f t="array" ref="C1979">INDEX('Báo cáo 75 trang đích'!$C$2:$C$76,$A1979)</f>
        <v>TD</v>
      </c>
      <c r="D1979" s="20" t="s">
        <v>1081</v>
      </c>
      <c r="E1979" s="22" t="s">
        <v>1104</v>
      </c>
      <c r="F1979" s="22" t="s">
        <v>81</v>
      </c>
      <c r="G1979" s="22" t="s">
        <v>1536</v>
      </c>
      <c r="H1979" s="24" t="s">
        <v>59</v>
      </c>
      <c r="I1979" s="24" t="s">
        <v>59</v>
      </c>
      <c r="J1979" s="24" t="s">
        <v>60</v>
      </c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6">
        <v>61.0</v>
      </c>
      <c r="B1980" s="35" t="str">
        <f t="array" ref="B1980">INDEX('Báo cáo 75 trang đích'!$B$2:$B$76,$A1980)</f>
        <v>https://techcombank.com/thong-tin/blog/cach-tinh-lai-suat-tien-gui-tiet-kiem</v>
      </c>
      <c r="C1980" s="5" t="str">
        <f t="array" ref="C1980">INDEX('Báo cáo 75 trang đích'!$C$2:$C$76,$A1980)</f>
        <v>TD</v>
      </c>
      <c r="D1980" s="20" t="s">
        <v>749</v>
      </c>
      <c r="E1980" s="22" t="s">
        <v>364</v>
      </c>
      <c r="F1980" s="22" t="s">
        <v>81</v>
      </c>
      <c r="G1980" s="22" t="s">
        <v>1856</v>
      </c>
      <c r="H1980" s="24" t="s">
        <v>59</v>
      </c>
      <c r="I1980" s="24" t="s">
        <v>59</v>
      </c>
      <c r="J1980" s="24" t="s">
        <v>60</v>
      </c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6">
        <v>61.0</v>
      </c>
      <c r="B1981" s="35" t="str">
        <f t="array" ref="B1981">INDEX('Báo cáo 75 trang đích'!$B$2:$B$76,$A1981)</f>
        <v>https://techcombank.com/thong-tin/blog/cach-tinh-lai-suat-tien-gui-tiet-kiem</v>
      </c>
      <c r="C1981" s="5" t="str">
        <f t="array" ref="C1981">INDEX('Báo cáo 75 trang đích'!$C$2:$C$76,$A1981)</f>
        <v>TD</v>
      </c>
      <c r="D1981" s="20" t="s">
        <v>1181</v>
      </c>
      <c r="E1981" s="22" t="s">
        <v>1104</v>
      </c>
      <c r="F1981" s="22" t="s">
        <v>81</v>
      </c>
      <c r="G1981" s="22" t="s">
        <v>1536</v>
      </c>
      <c r="H1981" s="24" t="s">
        <v>59</v>
      </c>
      <c r="I1981" s="24" t="s">
        <v>59</v>
      </c>
      <c r="J1981" s="24" t="s">
        <v>60</v>
      </c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6">
        <v>61.0</v>
      </c>
      <c r="B1982" s="35" t="str">
        <f t="array" ref="B1982">INDEX('Báo cáo 75 trang đích'!$B$2:$B$76,$A1982)</f>
        <v>https://techcombank.com/thong-tin/blog/cach-tinh-lai-suat-tien-gui-tiet-kiem</v>
      </c>
      <c r="C1982" s="5" t="str">
        <f t="array" ref="C1982">INDEX('Báo cáo 75 trang đích'!$C$2:$C$76,$A1982)</f>
        <v>TD</v>
      </c>
      <c r="D1982" s="20" t="s">
        <v>128</v>
      </c>
      <c r="E1982" s="22" t="s">
        <v>364</v>
      </c>
      <c r="F1982" s="22" t="s">
        <v>81</v>
      </c>
      <c r="G1982" s="22" t="s">
        <v>1856</v>
      </c>
      <c r="H1982" s="24" t="s">
        <v>59</v>
      </c>
      <c r="I1982" s="24" t="s">
        <v>59</v>
      </c>
      <c r="J1982" s="24" t="s">
        <v>60</v>
      </c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6">
        <v>61.0</v>
      </c>
      <c r="B1983" s="35" t="str">
        <f t="array" ref="B1983">INDEX('Báo cáo 75 trang đích'!$B$2:$B$76,$A1983)</f>
        <v>https://techcombank.com/thong-tin/blog/cach-tinh-lai-suat-tien-gui-tiet-kiem</v>
      </c>
      <c r="C1983" s="5" t="str">
        <f t="array" ref="C1983">INDEX('Báo cáo 75 trang đích'!$C$2:$C$76,$A1983)</f>
        <v>TD</v>
      </c>
      <c r="D1983" s="20" t="s">
        <v>349</v>
      </c>
      <c r="E1983" s="22" t="s">
        <v>1104</v>
      </c>
      <c r="F1983" s="22" t="s">
        <v>81</v>
      </c>
      <c r="G1983" s="22" t="s">
        <v>1536</v>
      </c>
      <c r="H1983" s="24" t="s">
        <v>59</v>
      </c>
      <c r="I1983" s="24" t="s">
        <v>59</v>
      </c>
      <c r="J1983" s="24" t="s">
        <v>60</v>
      </c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6">
        <v>61.0</v>
      </c>
      <c r="B1984" s="35" t="str">
        <f t="array" ref="B1984">INDEX('Báo cáo 75 trang đích'!$B$2:$B$76,$A1984)</f>
        <v>https://techcombank.com/thong-tin/blog/cach-tinh-lai-suat-tien-gui-tiet-kiem</v>
      </c>
      <c r="C1984" s="5" t="str">
        <f t="array" ref="C1984">INDEX('Báo cáo 75 trang đích'!$C$2:$C$76,$A1984)</f>
        <v>TD</v>
      </c>
      <c r="D1984" s="20" t="s">
        <v>1049</v>
      </c>
      <c r="E1984" s="22" t="s">
        <v>364</v>
      </c>
      <c r="F1984" s="22" t="s">
        <v>81</v>
      </c>
      <c r="G1984" s="22" t="s">
        <v>1856</v>
      </c>
      <c r="H1984" s="24" t="s">
        <v>59</v>
      </c>
      <c r="I1984" s="24" t="s">
        <v>59</v>
      </c>
      <c r="J1984" s="24" t="s">
        <v>60</v>
      </c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6">
        <v>61.0</v>
      </c>
      <c r="B1985" s="35" t="str">
        <f t="array" ref="B1985">INDEX('Báo cáo 75 trang đích'!$B$2:$B$76,$A1985)</f>
        <v>https://techcombank.com/thong-tin/blog/cach-tinh-lai-suat-tien-gui-tiet-kiem</v>
      </c>
      <c r="C1985" s="5" t="str">
        <f t="array" ref="C1985">INDEX('Báo cáo 75 trang đích'!$C$2:$C$76,$A1985)</f>
        <v>TD</v>
      </c>
      <c r="D1985" s="20" t="s">
        <v>684</v>
      </c>
      <c r="E1985" s="22" t="s">
        <v>1104</v>
      </c>
      <c r="F1985" s="22" t="s">
        <v>81</v>
      </c>
      <c r="G1985" s="22" t="s">
        <v>1856</v>
      </c>
      <c r="H1985" s="24" t="s">
        <v>59</v>
      </c>
      <c r="I1985" s="24" t="s">
        <v>59</v>
      </c>
      <c r="J1985" s="24" t="s">
        <v>60</v>
      </c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6">
        <v>61.0</v>
      </c>
      <c r="B1986" s="35" t="str">
        <f t="array" ref="B1986">INDEX('Báo cáo 75 trang đích'!$B$2:$B$76,$A1986)</f>
        <v>https://techcombank.com/thong-tin/blog/cach-tinh-lai-suat-tien-gui-tiet-kiem</v>
      </c>
      <c r="C1986" s="5" t="str">
        <f t="array" ref="C1986">INDEX('Báo cáo 75 trang đích'!$C$2:$C$76,$A1986)</f>
        <v>TD</v>
      </c>
      <c r="D1986" s="20" t="s">
        <v>1549</v>
      </c>
      <c r="E1986" s="22" t="s">
        <v>364</v>
      </c>
      <c r="F1986" s="22" t="s">
        <v>81</v>
      </c>
      <c r="G1986" s="22" t="s">
        <v>1558</v>
      </c>
      <c r="H1986" s="24" t="s">
        <v>59</v>
      </c>
      <c r="I1986" s="24" t="s">
        <v>59</v>
      </c>
      <c r="J1986" s="24" t="s">
        <v>60</v>
      </c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6">
        <v>61.0</v>
      </c>
      <c r="B1987" s="35" t="str">
        <f t="array" ref="B1987">INDEX('Báo cáo 75 trang đích'!$B$2:$B$76,$A1987)</f>
        <v>https://techcombank.com/thong-tin/blog/cach-tinh-lai-suat-tien-gui-tiet-kiem</v>
      </c>
      <c r="C1987" s="5" t="str">
        <f t="array" ref="C1987">INDEX('Báo cáo 75 trang đích'!$C$2:$C$76,$A1987)</f>
        <v>TD</v>
      </c>
      <c r="D1987" s="20" t="s">
        <v>694</v>
      </c>
      <c r="E1987" s="22" t="s">
        <v>1104</v>
      </c>
      <c r="F1987" s="22" t="s">
        <v>81</v>
      </c>
      <c r="G1987" s="22" t="s">
        <v>1536</v>
      </c>
      <c r="H1987" s="24" t="s">
        <v>59</v>
      </c>
      <c r="I1987" s="24" t="s">
        <v>59</v>
      </c>
      <c r="J1987" s="24" t="s">
        <v>60</v>
      </c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6">
        <v>61.0</v>
      </c>
      <c r="B1988" s="35" t="str">
        <f t="array" ref="B1988">INDEX('Báo cáo 75 trang đích'!$B$2:$B$76,$A1988)</f>
        <v>https://techcombank.com/thong-tin/blog/cach-tinh-lai-suat-tien-gui-tiet-kiem</v>
      </c>
      <c r="C1988" s="5" t="str">
        <f t="array" ref="C1988">INDEX('Báo cáo 75 trang đích'!$C$2:$C$76,$A1988)</f>
        <v>TD</v>
      </c>
      <c r="D1988" s="20" t="s">
        <v>1525</v>
      </c>
      <c r="E1988" s="22" t="s">
        <v>364</v>
      </c>
      <c r="F1988" s="22" t="s">
        <v>81</v>
      </c>
      <c r="G1988" s="22" t="s">
        <v>1856</v>
      </c>
      <c r="H1988" s="24" t="s">
        <v>59</v>
      </c>
      <c r="I1988" s="24" t="s">
        <v>59</v>
      </c>
      <c r="J1988" s="24" t="s">
        <v>60</v>
      </c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6">
        <v>61.0</v>
      </c>
      <c r="B1989" s="35" t="str">
        <f t="array" ref="B1989">INDEX('Báo cáo 75 trang đích'!$B$2:$B$76,$A1989)</f>
        <v>https://techcombank.com/thong-tin/blog/cach-tinh-lai-suat-tien-gui-tiet-kiem</v>
      </c>
      <c r="C1989" s="5" t="str">
        <f t="array" ref="C1989">INDEX('Báo cáo 75 trang đích'!$C$2:$C$76,$A1989)</f>
        <v>TD</v>
      </c>
      <c r="D1989" s="20" t="s">
        <v>1160</v>
      </c>
      <c r="E1989" s="22" t="s">
        <v>1104</v>
      </c>
      <c r="F1989" s="22" t="s">
        <v>81</v>
      </c>
      <c r="G1989" s="22" t="s">
        <v>1536</v>
      </c>
      <c r="H1989" s="24" t="s">
        <v>59</v>
      </c>
      <c r="I1989" s="24" t="s">
        <v>59</v>
      </c>
      <c r="J1989" s="24" t="s">
        <v>60</v>
      </c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6">
        <v>61.0</v>
      </c>
      <c r="B1990" s="35" t="str">
        <f t="array" ref="B1990">INDEX('Báo cáo 75 trang đích'!$B$2:$B$76,$A1990)</f>
        <v>https://techcombank.com/thong-tin/blog/cach-tinh-lai-suat-tien-gui-tiet-kiem</v>
      </c>
      <c r="C1990" s="5" t="str">
        <f t="array" ref="C1990">INDEX('Báo cáo 75 trang đích'!$C$2:$C$76,$A1990)</f>
        <v>TD</v>
      </c>
      <c r="D1990" s="20" t="s">
        <v>1217</v>
      </c>
      <c r="E1990" s="22" t="s">
        <v>364</v>
      </c>
      <c r="F1990" s="22" t="s">
        <v>81</v>
      </c>
      <c r="G1990" s="22" t="s">
        <v>1856</v>
      </c>
      <c r="H1990" s="24" t="s">
        <v>59</v>
      </c>
      <c r="I1990" s="24" t="s">
        <v>59</v>
      </c>
      <c r="J1990" s="24" t="s">
        <v>60</v>
      </c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6">
        <v>61.0</v>
      </c>
      <c r="B1991" s="35" t="str">
        <f t="array" ref="B1991">INDEX('Báo cáo 75 trang đích'!$B$2:$B$76,$A1991)</f>
        <v>https://techcombank.com/thong-tin/blog/cach-tinh-lai-suat-tien-gui-tiet-kiem</v>
      </c>
      <c r="C1991" s="5" t="str">
        <f t="array" ref="C1991">INDEX('Báo cáo 75 trang đích'!$C$2:$C$76,$A1991)</f>
        <v>TD</v>
      </c>
      <c r="D1991" s="20" t="s">
        <v>316</v>
      </c>
      <c r="E1991" s="22" t="s">
        <v>1104</v>
      </c>
      <c r="F1991" s="22" t="s">
        <v>81</v>
      </c>
      <c r="G1991" s="22" t="s">
        <v>1856</v>
      </c>
      <c r="H1991" s="24" t="s">
        <v>59</v>
      </c>
      <c r="I1991" s="24" t="s">
        <v>59</v>
      </c>
      <c r="J1991" s="24" t="s">
        <v>60</v>
      </c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6">
        <v>61.0</v>
      </c>
      <c r="B1992" s="35" t="str">
        <f t="array" ref="B1992">INDEX('Báo cáo 75 trang đích'!$B$2:$B$76,$A1992)</f>
        <v>https://techcombank.com/thong-tin/blog/cach-tinh-lai-suat-tien-gui-tiet-kiem</v>
      </c>
      <c r="C1992" s="5" t="str">
        <f t="array" ref="C1992">INDEX('Báo cáo 75 trang đích'!$C$2:$C$76,$A1992)</f>
        <v>TD</v>
      </c>
      <c r="D1992" s="20" t="s">
        <v>1152</v>
      </c>
      <c r="E1992" s="22" t="s">
        <v>364</v>
      </c>
      <c r="F1992" s="22" t="s">
        <v>81</v>
      </c>
      <c r="G1992" s="22" t="s">
        <v>1536</v>
      </c>
      <c r="H1992" s="24" t="s">
        <v>59</v>
      </c>
      <c r="I1992" s="24" t="s">
        <v>59</v>
      </c>
      <c r="J1992" s="24" t="s">
        <v>60</v>
      </c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6">
        <v>61.0</v>
      </c>
      <c r="B1993" s="35" t="str">
        <f t="array" ref="B1993">INDEX('Báo cáo 75 trang đích'!$B$2:$B$76,$A1993)</f>
        <v>https://techcombank.com/thong-tin/blog/cach-tinh-lai-suat-tien-gui-tiet-kiem</v>
      </c>
      <c r="C1993" s="5" t="str">
        <f t="array" ref="C1993">INDEX('Báo cáo 75 trang đích'!$C$2:$C$76,$A1993)</f>
        <v>TD</v>
      </c>
      <c r="D1993" s="20" t="s">
        <v>1155</v>
      </c>
      <c r="E1993" s="22" t="s">
        <v>1104</v>
      </c>
      <c r="F1993" s="22" t="s">
        <v>81</v>
      </c>
      <c r="G1993" s="22" t="s">
        <v>1536</v>
      </c>
      <c r="H1993" s="24" t="s">
        <v>59</v>
      </c>
      <c r="I1993" s="24" t="s">
        <v>59</v>
      </c>
      <c r="J1993" s="24" t="s">
        <v>60</v>
      </c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6">
        <v>61.0</v>
      </c>
      <c r="B1994" s="35" t="str">
        <f t="array" ref="B1994">INDEX('Báo cáo 75 trang đích'!$B$2:$B$76,$A1994)</f>
        <v>https://techcombank.com/thong-tin/blog/cach-tinh-lai-suat-tien-gui-tiet-kiem</v>
      </c>
      <c r="C1994" s="5" t="str">
        <f t="array" ref="C1994">INDEX('Báo cáo 75 trang đích'!$C$2:$C$76,$A1994)</f>
        <v>TD</v>
      </c>
      <c r="D1994" s="20" t="s">
        <v>1120</v>
      </c>
      <c r="E1994" s="22" t="s">
        <v>364</v>
      </c>
      <c r="F1994" s="22" t="s">
        <v>81</v>
      </c>
      <c r="G1994" s="22" t="s">
        <v>1856</v>
      </c>
      <c r="H1994" s="24" t="s">
        <v>59</v>
      </c>
      <c r="I1994" s="24" t="s">
        <v>59</v>
      </c>
      <c r="J1994" s="24" t="s">
        <v>60</v>
      </c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6">
        <v>61.0</v>
      </c>
      <c r="B1995" s="35" t="str">
        <f t="array" ref="B1995">INDEX('Báo cáo 75 trang đích'!$B$2:$B$76,$A1995)</f>
        <v>https://techcombank.com/thong-tin/blog/cach-tinh-lai-suat-tien-gui-tiet-kiem</v>
      </c>
      <c r="C1995" s="5" t="str">
        <f t="array" ref="C1995">INDEX('Báo cáo 75 trang đích'!$C$2:$C$76,$A1995)</f>
        <v>TD</v>
      </c>
      <c r="D1995" s="20" t="s">
        <v>370</v>
      </c>
      <c r="E1995" s="22" t="s">
        <v>1104</v>
      </c>
      <c r="F1995" s="22" t="s">
        <v>81</v>
      </c>
      <c r="G1995" s="22" t="s">
        <v>1856</v>
      </c>
      <c r="H1995" s="24" t="s">
        <v>59</v>
      </c>
      <c r="I1995" s="24" t="s">
        <v>59</v>
      </c>
      <c r="J1995" s="24" t="s">
        <v>60</v>
      </c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6">
        <v>61.0</v>
      </c>
      <c r="B1996" s="35" t="str">
        <f t="array" ref="B1996">INDEX('Báo cáo 75 trang đích'!$B$2:$B$76,$A1996)</f>
        <v>https://techcombank.com/thong-tin/blog/cach-tinh-lai-suat-tien-gui-tiet-kiem</v>
      </c>
      <c r="C1996" s="5" t="str">
        <f t="array" ref="C1996">INDEX('Báo cáo 75 trang đích'!$C$2:$C$76,$A1996)</f>
        <v>TD</v>
      </c>
      <c r="D1996" s="20" t="s">
        <v>1115</v>
      </c>
      <c r="E1996" s="22" t="s">
        <v>364</v>
      </c>
      <c r="F1996" s="22" t="s">
        <v>81</v>
      </c>
      <c r="G1996" s="22" t="s">
        <v>1536</v>
      </c>
      <c r="H1996" s="24" t="s">
        <v>59</v>
      </c>
      <c r="I1996" s="24" t="s">
        <v>59</v>
      </c>
      <c r="J1996" s="24" t="s">
        <v>60</v>
      </c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6">
        <v>61.0</v>
      </c>
      <c r="B1997" s="35" t="str">
        <f t="array" ref="B1997">INDEX('Báo cáo 75 trang đích'!$B$2:$B$76,$A1997)</f>
        <v>https://techcombank.com/thong-tin/blog/cach-tinh-lai-suat-tien-gui-tiet-kiem</v>
      </c>
      <c r="C1997" s="5" t="str">
        <f t="array" ref="C1997">INDEX('Báo cáo 75 trang đích'!$C$2:$C$76,$A1997)</f>
        <v>TD</v>
      </c>
      <c r="D1997" s="20" t="s">
        <v>1550</v>
      </c>
      <c r="E1997" s="22" t="s">
        <v>1104</v>
      </c>
      <c r="F1997" s="22" t="s">
        <v>81</v>
      </c>
      <c r="G1997" s="22" t="s">
        <v>1536</v>
      </c>
      <c r="H1997" s="24" t="s">
        <v>59</v>
      </c>
      <c r="I1997" s="24" t="s">
        <v>59</v>
      </c>
      <c r="J1997" s="24" t="s">
        <v>60</v>
      </c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6">
        <v>61.0</v>
      </c>
      <c r="B1998" s="35" t="str">
        <f t="array" ref="B1998">INDEX('Báo cáo 75 trang đích'!$B$2:$B$76,$A1998)</f>
        <v>https://techcombank.com/thong-tin/blog/cach-tinh-lai-suat-tien-gui-tiet-kiem</v>
      </c>
      <c r="C1998" s="5" t="str">
        <f t="array" ref="C1998">INDEX('Báo cáo 75 trang đích'!$C$2:$C$76,$A1998)</f>
        <v>TD</v>
      </c>
      <c r="D1998" s="20" t="s">
        <v>824</v>
      </c>
      <c r="E1998" s="22" t="s">
        <v>364</v>
      </c>
      <c r="F1998" s="22" t="s">
        <v>81</v>
      </c>
      <c r="G1998" s="22" t="s">
        <v>1536</v>
      </c>
      <c r="H1998" s="24" t="s">
        <v>59</v>
      </c>
      <c r="I1998" s="24" t="s">
        <v>59</v>
      </c>
      <c r="J1998" s="24" t="s">
        <v>60</v>
      </c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6">
        <v>61.0</v>
      </c>
      <c r="B1999" s="35" t="str">
        <f t="array" ref="B1999">INDEX('Báo cáo 75 trang đích'!$B$2:$B$76,$A1999)</f>
        <v>https://techcombank.com/thong-tin/blog/cach-tinh-lai-suat-tien-gui-tiet-kiem</v>
      </c>
      <c r="C1999" s="5" t="str">
        <f t="array" ref="C1999">INDEX('Báo cáo 75 trang đích'!$C$2:$C$76,$A1999)</f>
        <v>TD</v>
      </c>
      <c r="D1999" s="20" t="s">
        <v>1411</v>
      </c>
      <c r="E1999" s="22" t="s">
        <v>1104</v>
      </c>
      <c r="F1999" s="22" t="s">
        <v>81</v>
      </c>
      <c r="G1999" s="22" t="s">
        <v>1858</v>
      </c>
      <c r="H1999" s="24" t="s">
        <v>59</v>
      </c>
      <c r="I1999" s="24" t="s">
        <v>59</v>
      </c>
      <c r="J1999" s="24" t="s">
        <v>60</v>
      </c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6">
        <v>61.0</v>
      </c>
      <c r="B2000" s="35" t="str">
        <f t="array" ref="B2000">INDEX('Báo cáo 75 trang đích'!$B$2:$B$76,$A2000)</f>
        <v>https://techcombank.com/thong-tin/blog/cach-tinh-lai-suat-tien-gui-tiet-kiem</v>
      </c>
      <c r="C2000" s="5" t="str">
        <f t="array" ref="C2000">INDEX('Báo cáo 75 trang đích'!$C$2:$C$76,$A2000)</f>
        <v>TD</v>
      </c>
      <c r="D2000" s="20" t="s">
        <v>1095</v>
      </c>
      <c r="E2000" s="22" t="s">
        <v>364</v>
      </c>
      <c r="F2000" s="22" t="s">
        <v>81</v>
      </c>
      <c r="G2000" s="22" t="s">
        <v>1536</v>
      </c>
      <c r="H2000" s="24" t="s">
        <v>59</v>
      </c>
      <c r="I2000" s="24" t="s">
        <v>59</v>
      </c>
      <c r="J2000" s="24" t="s">
        <v>60</v>
      </c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6">
        <v>61.0</v>
      </c>
      <c r="B2001" s="35" t="str">
        <f t="array" ref="B2001">INDEX('Báo cáo 75 trang đích'!$B$2:$B$76,$A2001)</f>
        <v>https://techcombank.com/thong-tin/blog/cach-tinh-lai-suat-tien-gui-tiet-kiem</v>
      </c>
      <c r="C2001" s="5" t="str">
        <f t="array" ref="C2001">INDEX('Báo cáo 75 trang đích'!$C$2:$C$76,$A2001)</f>
        <v>TD</v>
      </c>
      <c r="D2001" s="20" t="s">
        <v>728</v>
      </c>
      <c r="E2001" s="22" t="s">
        <v>1104</v>
      </c>
      <c r="F2001" s="22" t="s">
        <v>81</v>
      </c>
      <c r="G2001" s="22" t="s">
        <v>1856</v>
      </c>
      <c r="H2001" s="24" t="s">
        <v>59</v>
      </c>
      <c r="I2001" s="24" t="s">
        <v>59</v>
      </c>
      <c r="J2001" s="24" t="s">
        <v>60</v>
      </c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6">
        <v>61.0</v>
      </c>
      <c r="B2002" s="35" t="str">
        <f t="array" ref="B2002">INDEX('Báo cáo 75 trang đích'!$B$2:$B$76,$A2002)</f>
        <v>https://techcombank.com/thong-tin/blog/cach-tinh-lai-suat-tien-gui-tiet-kiem</v>
      </c>
      <c r="C2002" s="5" t="str">
        <f t="array" ref="C2002">INDEX('Báo cáo 75 trang đích'!$C$2:$C$76,$A2002)</f>
        <v>TD</v>
      </c>
      <c r="D2002" s="20" t="s">
        <v>1551</v>
      </c>
      <c r="E2002" s="22" t="s">
        <v>364</v>
      </c>
      <c r="F2002" s="22" t="s">
        <v>81</v>
      </c>
      <c r="G2002" s="22" t="s">
        <v>1536</v>
      </c>
      <c r="H2002" s="24" t="s">
        <v>59</v>
      </c>
      <c r="I2002" s="24" t="s">
        <v>59</v>
      </c>
      <c r="J2002" s="24" t="s">
        <v>60</v>
      </c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6">
        <v>61.0</v>
      </c>
      <c r="B2003" s="35" t="str">
        <f t="array" ref="B2003">INDEX('Báo cáo 75 trang đích'!$B$2:$B$76,$A2003)</f>
        <v>https://techcombank.com/thong-tin/blog/cach-tinh-lai-suat-tien-gui-tiet-kiem</v>
      </c>
      <c r="C2003" s="5" t="str">
        <f t="array" ref="C2003">INDEX('Báo cáo 75 trang đích'!$C$2:$C$76,$A2003)</f>
        <v>TD</v>
      </c>
      <c r="D2003" s="20" t="s">
        <v>226</v>
      </c>
      <c r="E2003" s="22" t="s">
        <v>1104</v>
      </c>
      <c r="F2003" s="22" t="s">
        <v>81</v>
      </c>
      <c r="G2003" s="22" t="s">
        <v>1536</v>
      </c>
      <c r="H2003" s="24" t="s">
        <v>59</v>
      </c>
      <c r="I2003" s="24" t="s">
        <v>59</v>
      </c>
      <c r="J2003" s="24" t="s">
        <v>60</v>
      </c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6">
        <v>61.0</v>
      </c>
      <c r="B2004" s="35" t="str">
        <f t="array" ref="B2004">INDEX('Báo cáo 75 trang đích'!$B$2:$B$76,$A2004)</f>
        <v>https://techcombank.com/thong-tin/blog/cach-tinh-lai-suat-tien-gui-tiet-kiem</v>
      </c>
      <c r="C2004" s="5" t="str">
        <f t="array" ref="C2004">INDEX('Báo cáo 75 trang đích'!$C$2:$C$76,$A2004)</f>
        <v>TD</v>
      </c>
      <c r="D2004" s="20" t="s">
        <v>1518</v>
      </c>
      <c r="E2004" s="22" t="s">
        <v>364</v>
      </c>
      <c r="F2004" s="22" t="s">
        <v>81</v>
      </c>
      <c r="G2004" s="22" t="s">
        <v>1856</v>
      </c>
      <c r="H2004" s="24" t="s">
        <v>59</v>
      </c>
      <c r="I2004" s="24" t="s">
        <v>59</v>
      </c>
      <c r="J2004" s="24" t="s">
        <v>60</v>
      </c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6">
        <v>61.0</v>
      </c>
      <c r="B2005" s="35" t="str">
        <f t="array" ref="B2005">INDEX('Báo cáo 75 trang đích'!$B$2:$B$76,$A2005)</f>
        <v>https://techcombank.com/thong-tin/blog/cach-tinh-lai-suat-tien-gui-tiet-kiem</v>
      </c>
      <c r="C2005" s="5" t="str">
        <f t="array" ref="C2005">INDEX('Báo cáo 75 trang đích'!$C$2:$C$76,$A2005)</f>
        <v>TD</v>
      </c>
      <c r="D2005" s="20" t="s">
        <v>1230</v>
      </c>
      <c r="E2005" s="22" t="s">
        <v>1104</v>
      </c>
      <c r="F2005" s="22" t="s">
        <v>81</v>
      </c>
      <c r="G2005" s="22" t="s">
        <v>1856</v>
      </c>
      <c r="H2005" s="24" t="s">
        <v>59</v>
      </c>
      <c r="I2005" s="24" t="s">
        <v>59</v>
      </c>
      <c r="J2005" s="24" t="s">
        <v>60</v>
      </c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6">
        <v>61.0</v>
      </c>
      <c r="B2006" s="35" t="str">
        <f t="array" ref="B2006">INDEX('Báo cáo 75 trang đích'!$B$2:$B$76,$A2006)</f>
        <v>https://techcombank.com/thong-tin/blog/cach-tinh-lai-suat-tien-gui-tiet-kiem</v>
      </c>
      <c r="C2006" s="5" t="str">
        <f t="array" ref="C2006">INDEX('Báo cáo 75 trang đích'!$C$2:$C$76,$A2006)</f>
        <v>TD</v>
      </c>
      <c r="D2006" s="20" t="s">
        <v>1093</v>
      </c>
      <c r="E2006" s="22" t="s">
        <v>364</v>
      </c>
      <c r="F2006" s="22" t="s">
        <v>81</v>
      </c>
      <c r="G2006" s="22" t="s">
        <v>1856</v>
      </c>
      <c r="H2006" s="24" t="s">
        <v>59</v>
      </c>
      <c r="I2006" s="24" t="s">
        <v>59</v>
      </c>
      <c r="J2006" s="24" t="s">
        <v>60</v>
      </c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6">
        <v>61.0</v>
      </c>
      <c r="B2007" s="35" t="str">
        <f t="array" ref="B2007">INDEX('Báo cáo 75 trang đích'!$B$2:$B$76,$A2007)</f>
        <v>https://techcombank.com/thong-tin/blog/cach-tinh-lai-suat-tien-gui-tiet-kiem</v>
      </c>
      <c r="C2007" s="5" t="str">
        <f t="array" ref="C2007">INDEX('Báo cáo 75 trang đích'!$C$2:$C$76,$A2007)</f>
        <v>TD</v>
      </c>
      <c r="D2007" s="20" t="s">
        <v>872</v>
      </c>
      <c r="E2007" s="22" t="s">
        <v>1104</v>
      </c>
      <c r="F2007" s="22" t="s">
        <v>81</v>
      </c>
      <c r="G2007" s="22" t="s">
        <v>1536</v>
      </c>
      <c r="H2007" s="24" t="s">
        <v>59</v>
      </c>
      <c r="I2007" s="24" t="s">
        <v>59</v>
      </c>
      <c r="J2007" s="24" t="s">
        <v>60</v>
      </c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6">
        <v>61.0</v>
      </c>
      <c r="B2008" s="35" t="str">
        <f t="array" ref="B2008">INDEX('Báo cáo 75 trang đích'!$B$2:$B$76,$A2008)</f>
        <v>https://techcombank.com/thong-tin/blog/cach-tinh-lai-suat-tien-gui-tiet-kiem</v>
      </c>
      <c r="C2008" s="5" t="str">
        <f t="array" ref="C2008">INDEX('Báo cáo 75 trang đích'!$C$2:$C$76,$A2008)</f>
        <v>TD</v>
      </c>
      <c r="D2008" s="20" t="s">
        <v>1552</v>
      </c>
      <c r="E2008" s="22" t="s">
        <v>364</v>
      </c>
      <c r="F2008" s="22" t="s">
        <v>81</v>
      </c>
      <c r="G2008" s="22" t="s">
        <v>1536</v>
      </c>
      <c r="H2008" s="24" t="s">
        <v>59</v>
      </c>
      <c r="I2008" s="24" t="s">
        <v>59</v>
      </c>
      <c r="J2008" s="24" t="s">
        <v>60</v>
      </c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6">
        <v>62.0</v>
      </c>
      <c r="B2009" s="35" t="str">
        <f t="array" ref="B2009">INDEX('Báo cáo 75 trang đích'!$B$2:$B$76,$A2009)</f>
        <v>https://techcombank.com/thong-tin/blog/rut-tien-tiet-kiem-truoc-thoi-han</v>
      </c>
      <c r="C2009" s="5" t="str">
        <f t="array" ref="C2009">INDEX('Báo cáo 75 trang đích'!$C$2:$C$76,$A2009)</f>
        <v>TD</v>
      </c>
      <c r="D2009" s="20" t="s">
        <v>1113</v>
      </c>
      <c r="E2009" s="22" t="s">
        <v>371</v>
      </c>
      <c r="F2009" s="22" t="s">
        <v>57</v>
      </c>
      <c r="G2009" s="22" t="s">
        <v>1859</v>
      </c>
      <c r="H2009" s="24" t="s">
        <v>59</v>
      </c>
      <c r="I2009" s="24" t="s">
        <v>59</v>
      </c>
      <c r="J2009" s="24" t="s">
        <v>60</v>
      </c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6">
        <v>62.0</v>
      </c>
      <c r="B2010" s="35" t="str">
        <f t="array" ref="B2010">INDEX('Báo cáo 75 trang đích'!$B$2:$B$76,$A2010)</f>
        <v>https://techcombank.com/thong-tin/blog/rut-tien-tiet-kiem-truoc-thoi-han</v>
      </c>
      <c r="C2010" s="5" t="str">
        <f t="array" ref="C2010">INDEX('Báo cáo 75 trang đích'!$C$2:$C$76,$A2010)</f>
        <v>TD</v>
      </c>
      <c r="D2010" s="20" t="s">
        <v>1115</v>
      </c>
      <c r="E2010" s="22" t="s">
        <v>1118</v>
      </c>
      <c r="F2010" s="22" t="s">
        <v>57</v>
      </c>
      <c r="G2010" s="22" t="s">
        <v>1860</v>
      </c>
      <c r="H2010" s="24" t="s">
        <v>59</v>
      </c>
      <c r="I2010" s="24" t="s">
        <v>59</v>
      </c>
      <c r="J2010" s="24" t="s">
        <v>60</v>
      </c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6">
        <v>62.0</v>
      </c>
      <c r="B2011" s="35" t="str">
        <f t="array" ref="B2011">INDEX('Báo cáo 75 trang đích'!$B$2:$B$76,$A2011)</f>
        <v>https://techcombank.com/thong-tin/blog/rut-tien-tiet-kiem-truoc-thoi-han</v>
      </c>
      <c r="C2011" s="5" t="str">
        <f t="array" ref="C2011">INDEX('Báo cáo 75 trang đích'!$C$2:$C$76,$A2011)</f>
        <v>TD</v>
      </c>
      <c r="D2011" s="20" t="s">
        <v>1120</v>
      </c>
      <c r="E2011" s="22" t="s">
        <v>371</v>
      </c>
      <c r="F2011" s="22" t="s">
        <v>57</v>
      </c>
      <c r="G2011" s="22" t="s">
        <v>1861</v>
      </c>
      <c r="H2011" s="24" t="s">
        <v>59</v>
      </c>
      <c r="I2011" s="24" t="s">
        <v>59</v>
      </c>
      <c r="J2011" s="24" t="s">
        <v>60</v>
      </c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6">
        <v>62.0</v>
      </c>
      <c r="B2012" s="35" t="str">
        <f t="array" ref="B2012">INDEX('Báo cáo 75 trang đích'!$B$2:$B$76,$A2012)</f>
        <v>https://techcombank.com/thong-tin/blog/rut-tien-tiet-kiem-truoc-thoi-han</v>
      </c>
      <c r="C2012" s="5" t="str">
        <f t="array" ref="C2012">INDEX('Báo cáo 75 trang đích'!$C$2:$C$76,$A2012)</f>
        <v>TD</v>
      </c>
      <c r="D2012" s="20" t="s">
        <v>1123</v>
      </c>
      <c r="E2012" s="22" t="s">
        <v>1118</v>
      </c>
      <c r="F2012" s="22" t="s">
        <v>76</v>
      </c>
      <c r="G2012" s="22" t="s">
        <v>1862</v>
      </c>
      <c r="H2012" s="24" t="s">
        <v>59</v>
      </c>
      <c r="I2012" s="24" t="s">
        <v>59</v>
      </c>
      <c r="J2012" s="24" t="s">
        <v>60</v>
      </c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6">
        <v>62.0</v>
      </c>
      <c r="B2013" s="35" t="str">
        <f t="array" ref="B2013">INDEX('Báo cáo 75 trang đích'!$B$2:$B$76,$A2013)</f>
        <v>https://techcombank.com/thong-tin/blog/rut-tien-tiet-kiem-truoc-thoi-han</v>
      </c>
      <c r="C2013" s="5" t="str">
        <f t="array" ref="C2013">INDEX('Báo cáo 75 trang đích'!$C$2:$C$76,$A2013)</f>
        <v>TD</v>
      </c>
      <c r="D2013" s="20" t="s">
        <v>1125</v>
      </c>
      <c r="E2013" s="22" t="s">
        <v>371</v>
      </c>
      <c r="F2013" s="22" t="s">
        <v>76</v>
      </c>
      <c r="G2013" s="22" t="s">
        <v>1863</v>
      </c>
      <c r="H2013" s="24" t="s">
        <v>59</v>
      </c>
      <c r="I2013" s="24" t="s">
        <v>59</v>
      </c>
      <c r="J2013" s="24" t="s">
        <v>60</v>
      </c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6">
        <v>62.0</v>
      </c>
      <c r="B2014" s="35" t="str">
        <f t="array" ref="B2014">INDEX('Báo cáo 75 trang đích'!$B$2:$B$76,$A2014)</f>
        <v>https://techcombank.com/thong-tin/blog/rut-tien-tiet-kiem-truoc-thoi-han</v>
      </c>
      <c r="C2014" s="5" t="str">
        <f t="array" ref="C2014">INDEX('Báo cáo 75 trang đích'!$C$2:$C$76,$A2014)</f>
        <v>TD</v>
      </c>
      <c r="D2014" s="20" t="s">
        <v>337</v>
      </c>
      <c r="E2014" s="22" t="s">
        <v>1118</v>
      </c>
      <c r="F2014" s="22" t="s">
        <v>81</v>
      </c>
      <c r="G2014" s="22" t="s">
        <v>1864</v>
      </c>
      <c r="H2014" s="24" t="s">
        <v>59</v>
      </c>
      <c r="I2014" s="24" t="s">
        <v>59</v>
      </c>
      <c r="J2014" s="24" t="s">
        <v>60</v>
      </c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6">
        <v>62.0</v>
      </c>
      <c r="B2015" s="35" t="str">
        <f t="array" ref="B2015">INDEX('Báo cáo 75 trang đích'!$B$2:$B$76,$A2015)</f>
        <v>https://techcombank.com/thong-tin/blog/rut-tien-tiet-kiem-truoc-thoi-han</v>
      </c>
      <c r="C2015" s="5" t="str">
        <f t="array" ref="C2015">INDEX('Báo cáo 75 trang đích'!$C$2:$C$76,$A2015)</f>
        <v>TD</v>
      </c>
      <c r="D2015" s="20" t="s">
        <v>1074</v>
      </c>
      <c r="E2015" s="22" t="s">
        <v>371</v>
      </c>
      <c r="F2015" s="22" t="s">
        <v>81</v>
      </c>
      <c r="G2015" s="22" t="s">
        <v>1865</v>
      </c>
      <c r="H2015" s="24" t="s">
        <v>59</v>
      </c>
      <c r="I2015" s="24" t="s">
        <v>59</v>
      </c>
      <c r="J2015" s="24" t="s">
        <v>60</v>
      </c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6">
        <v>62.0</v>
      </c>
      <c r="B2016" s="35" t="str">
        <f t="array" ref="B2016">INDEX('Báo cáo 75 trang đích'!$B$2:$B$76,$A2016)</f>
        <v>https://techcombank.com/thong-tin/blog/rut-tien-tiet-kiem-truoc-thoi-han</v>
      </c>
      <c r="C2016" s="5" t="str">
        <f t="array" ref="C2016">INDEX('Báo cáo 75 trang đích'!$C$2:$C$76,$A2016)</f>
        <v>TD</v>
      </c>
      <c r="D2016" s="20" t="s">
        <v>1110</v>
      </c>
      <c r="E2016" s="22" t="s">
        <v>1118</v>
      </c>
      <c r="F2016" s="22" t="s">
        <v>81</v>
      </c>
      <c r="G2016" s="22" t="s">
        <v>1864</v>
      </c>
      <c r="H2016" s="24" t="s">
        <v>59</v>
      </c>
      <c r="I2016" s="24" t="s">
        <v>59</v>
      </c>
      <c r="J2016" s="24" t="s">
        <v>60</v>
      </c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6">
        <v>62.0</v>
      </c>
      <c r="B2017" s="35" t="str">
        <f t="array" ref="B2017">INDEX('Báo cáo 75 trang đích'!$B$2:$B$76,$A2017)</f>
        <v>https://techcombank.com/thong-tin/blog/rut-tien-tiet-kiem-truoc-thoi-han</v>
      </c>
      <c r="C2017" s="5" t="str">
        <f t="array" ref="C2017">INDEX('Báo cáo 75 trang đích'!$C$2:$C$76,$A2017)</f>
        <v>TD</v>
      </c>
      <c r="D2017" s="20" t="s">
        <v>1072</v>
      </c>
      <c r="E2017" s="22" t="s">
        <v>371</v>
      </c>
      <c r="F2017" s="22" t="s">
        <v>81</v>
      </c>
      <c r="G2017" s="22" t="s">
        <v>1838</v>
      </c>
      <c r="H2017" s="24" t="s">
        <v>59</v>
      </c>
      <c r="I2017" s="24" t="s">
        <v>59</v>
      </c>
      <c r="J2017" s="24" t="s">
        <v>60</v>
      </c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6">
        <v>62.0</v>
      </c>
      <c r="B2018" s="35" t="str">
        <f t="array" ref="B2018">INDEX('Báo cáo 75 trang đích'!$B$2:$B$76,$A2018)</f>
        <v>https://techcombank.com/thong-tin/blog/rut-tien-tiet-kiem-truoc-thoi-han</v>
      </c>
      <c r="C2018" s="5" t="str">
        <f t="array" ref="C2018">INDEX('Báo cáo 75 trang đích'!$C$2:$C$76,$A2018)</f>
        <v>TD</v>
      </c>
      <c r="D2018" s="20" t="s">
        <v>840</v>
      </c>
      <c r="E2018" s="22" t="s">
        <v>1118</v>
      </c>
      <c r="F2018" s="22" t="s">
        <v>81</v>
      </c>
      <c r="G2018" s="22" t="s">
        <v>1838</v>
      </c>
      <c r="H2018" s="24" t="s">
        <v>59</v>
      </c>
      <c r="I2018" s="24" t="s">
        <v>59</v>
      </c>
      <c r="J2018" s="24" t="s">
        <v>60</v>
      </c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6">
        <v>62.0</v>
      </c>
      <c r="B2019" s="35" t="str">
        <f t="array" ref="B2019">INDEX('Báo cáo 75 trang đích'!$B$2:$B$76,$A2019)</f>
        <v>https://techcombank.com/thong-tin/blog/rut-tien-tiet-kiem-truoc-thoi-han</v>
      </c>
      <c r="C2019" s="5" t="str">
        <f t="array" ref="C2019">INDEX('Báo cáo 75 trang đích'!$C$2:$C$76,$A2019)</f>
        <v>TD</v>
      </c>
      <c r="D2019" s="20" t="s">
        <v>1128</v>
      </c>
      <c r="E2019" s="22" t="s">
        <v>371</v>
      </c>
      <c r="F2019" s="22" t="s">
        <v>81</v>
      </c>
      <c r="G2019" s="22" t="s">
        <v>1864</v>
      </c>
      <c r="H2019" s="24" t="s">
        <v>59</v>
      </c>
      <c r="I2019" s="24" t="s">
        <v>59</v>
      </c>
      <c r="J2019" s="24" t="s">
        <v>60</v>
      </c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6">
        <v>62.0</v>
      </c>
      <c r="B2020" s="35" t="str">
        <f t="array" ref="B2020">INDEX('Báo cáo 75 trang đích'!$B$2:$B$76,$A2020)</f>
        <v>https://techcombank.com/thong-tin/blog/rut-tien-tiet-kiem-truoc-thoi-han</v>
      </c>
      <c r="C2020" s="5" t="str">
        <f t="array" ref="C2020">INDEX('Báo cáo 75 trang đích'!$C$2:$C$76,$A2020)</f>
        <v>TD</v>
      </c>
      <c r="D2020" s="20" t="s">
        <v>848</v>
      </c>
      <c r="E2020" s="22" t="s">
        <v>1118</v>
      </c>
      <c r="F2020" s="22" t="s">
        <v>81</v>
      </c>
      <c r="G2020" s="22" t="s">
        <v>1866</v>
      </c>
      <c r="H2020" s="24" t="s">
        <v>59</v>
      </c>
      <c r="I2020" s="24" t="s">
        <v>59</v>
      </c>
      <c r="J2020" s="24" t="s">
        <v>60</v>
      </c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6">
        <v>62.0</v>
      </c>
      <c r="B2021" s="35" t="str">
        <f t="array" ref="B2021">INDEX('Báo cáo 75 trang đích'!$B$2:$B$76,$A2021)</f>
        <v>https://techcombank.com/thong-tin/blog/rut-tien-tiet-kiem-truoc-thoi-han</v>
      </c>
      <c r="C2021" s="5" t="str">
        <f t="array" ref="C2021">INDEX('Báo cáo 75 trang đích'!$C$2:$C$76,$A2021)</f>
        <v>TD</v>
      </c>
      <c r="D2021" s="20" t="s">
        <v>1223</v>
      </c>
      <c r="E2021" s="22" t="s">
        <v>371</v>
      </c>
      <c r="F2021" s="22" t="s">
        <v>81</v>
      </c>
      <c r="G2021" s="22" t="s">
        <v>1838</v>
      </c>
      <c r="H2021" s="24" t="s">
        <v>59</v>
      </c>
      <c r="I2021" s="24" t="s">
        <v>59</v>
      </c>
      <c r="J2021" s="24" t="s">
        <v>60</v>
      </c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6">
        <v>62.0</v>
      </c>
      <c r="B2022" s="35" t="str">
        <f t="array" ref="B2022">INDEX('Báo cáo 75 trang đích'!$B$2:$B$76,$A2022)</f>
        <v>https://techcombank.com/thong-tin/blog/rut-tien-tiet-kiem-truoc-thoi-han</v>
      </c>
      <c r="C2022" s="5" t="str">
        <f t="array" ref="C2022">INDEX('Báo cáo 75 trang đích'!$C$2:$C$76,$A2022)</f>
        <v>TD</v>
      </c>
      <c r="D2022" s="20" t="s">
        <v>1362</v>
      </c>
      <c r="E2022" s="22" t="s">
        <v>1118</v>
      </c>
      <c r="F2022" s="22" t="s">
        <v>81</v>
      </c>
      <c r="G2022" s="22" t="s">
        <v>1866</v>
      </c>
      <c r="H2022" s="24" t="s">
        <v>59</v>
      </c>
      <c r="I2022" s="24" t="s">
        <v>59</v>
      </c>
      <c r="J2022" s="24" t="s">
        <v>60</v>
      </c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6">
        <v>62.0</v>
      </c>
      <c r="B2023" s="35" t="str">
        <f t="array" ref="B2023">INDEX('Báo cáo 75 trang đích'!$B$2:$B$76,$A2023)</f>
        <v>https://techcombank.com/thong-tin/blog/rut-tien-tiet-kiem-truoc-thoi-han</v>
      </c>
      <c r="C2023" s="5" t="str">
        <f t="array" ref="C2023">INDEX('Báo cáo 75 trang đích'!$C$2:$C$76,$A2023)</f>
        <v>TD</v>
      </c>
      <c r="D2023" s="20" t="s">
        <v>760</v>
      </c>
      <c r="E2023" s="22" t="s">
        <v>371</v>
      </c>
      <c r="F2023" s="22" t="s">
        <v>81</v>
      </c>
      <c r="G2023" s="22" t="s">
        <v>1864</v>
      </c>
      <c r="H2023" s="24" t="s">
        <v>59</v>
      </c>
      <c r="I2023" s="24" t="s">
        <v>59</v>
      </c>
      <c r="J2023" s="24" t="s">
        <v>60</v>
      </c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6">
        <v>62.0</v>
      </c>
      <c r="B2024" s="35" t="str">
        <f t="array" ref="B2024">INDEX('Báo cáo 75 trang đích'!$B$2:$B$76,$A2024)</f>
        <v>https://techcombank.com/thong-tin/blog/rut-tien-tiet-kiem-truoc-thoi-han</v>
      </c>
      <c r="C2024" s="5" t="str">
        <f t="array" ref="C2024">INDEX('Báo cáo 75 trang đích'!$C$2:$C$76,$A2024)</f>
        <v>TD</v>
      </c>
      <c r="D2024" s="20" t="s">
        <v>824</v>
      </c>
      <c r="E2024" s="22" t="s">
        <v>1118</v>
      </c>
      <c r="F2024" s="22" t="s">
        <v>81</v>
      </c>
      <c r="G2024" s="22" t="s">
        <v>1864</v>
      </c>
      <c r="H2024" s="24" t="s">
        <v>59</v>
      </c>
      <c r="I2024" s="24" t="s">
        <v>59</v>
      </c>
      <c r="J2024" s="24" t="s">
        <v>60</v>
      </c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6">
        <v>62.0</v>
      </c>
      <c r="B2025" s="35" t="str">
        <f t="array" ref="B2025">INDEX('Báo cáo 75 trang đích'!$B$2:$B$76,$A2025)</f>
        <v>https://techcombank.com/thong-tin/blog/rut-tien-tiet-kiem-truoc-thoi-han</v>
      </c>
      <c r="C2025" s="5" t="str">
        <f t="array" ref="C2025">INDEX('Báo cáo 75 trang đích'!$C$2:$C$76,$A2025)</f>
        <v>TD</v>
      </c>
      <c r="D2025" s="20" t="s">
        <v>845</v>
      </c>
      <c r="E2025" s="22" t="s">
        <v>371</v>
      </c>
      <c r="F2025" s="22" t="s">
        <v>81</v>
      </c>
      <c r="G2025" s="22" t="s">
        <v>1867</v>
      </c>
      <c r="H2025" s="24" t="s">
        <v>59</v>
      </c>
      <c r="I2025" s="24" t="s">
        <v>59</v>
      </c>
      <c r="J2025" s="24" t="s">
        <v>60</v>
      </c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6">
        <v>62.0</v>
      </c>
      <c r="B2026" s="35" t="str">
        <f t="array" ref="B2026">INDEX('Báo cáo 75 trang đích'!$B$2:$B$76,$A2026)</f>
        <v>https://techcombank.com/thong-tin/blog/rut-tien-tiet-kiem-truoc-thoi-han</v>
      </c>
      <c r="C2026" s="5" t="str">
        <f t="array" ref="C2026">INDEX('Báo cáo 75 trang đích'!$C$2:$C$76,$A2026)</f>
        <v>TD</v>
      </c>
      <c r="D2026" s="20" t="s">
        <v>1518</v>
      </c>
      <c r="E2026" s="22" t="s">
        <v>1118</v>
      </c>
      <c r="F2026" s="22" t="s">
        <v>81</v>
      </c>
      <c r="G2026" s="22" t="s">
        <v>1866</v>
      </c>
      <c r="H2026" s="24" t="s">
        <v>59</v>
      </c>
      <c r="I2026" s="24" t="s">
        <v>59</v>
      </c>
      <c r="J2026" s="24" t="s">
        <v>60</v>
      </c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6">
        <v>62.0</v>
      </c>
      <c r="B2027" s="35" t="str">
        <f t="array" ref="B2027">INDEX('Báo cáo 75 trang đích'!$B$2:$B$76,$A2027)</f>
        <v>https://techcombank.com/thong-tin/blog/rut-tien-tiet-kiem-truoc-thoi-han</v>
      </c>
      <c r="C2027" s="5" t="str">
        <f t="array" ref="C2027">INDEX('Báo cáo 75 trang đích'!$C$2:$C$76,$A2027)</f>
        <v>TD</v>
      </c>
      <c r="D2027" s="20" t="s">
        <v>1093</v>
      </c>
      <c r="E2027" s="22" t="s">
        <v>371</v>
      </c>
      <c r="F2027" s="22" t="s">
        <v>81</v>
      </c>
      <c r="G2027" s="22" t="s">
        <v>1866</v>
      </c>
      <c r="H2027" s="24" t="s">
        <v>59</v>
      </c>
      <c r="I2027" s="24" t="s">
        <v>59</v>
      </c>
      <c r="J2027" s="24" t="s">
        <v>60</v>
      </c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6">
        <v>63.0</v>
      </c>
      <c r="B2028" s="35" t="str">
        <f t="array" ref="B2028">INDEX('Báo cáo 75 trang đích'!$B$2:$B$76,$A2028)</f>
        <v>https://techcombank.com/thong-tin/blog/so-tiet-kiem-ngan-hang</v>
      </c>
      <c r="C2028" s="5" t="str">
        <f t="array" ref="C2028">INDEX('Báo cáo 75 trang đích'!$C$2:$C$76,$A2028)</f>
        <v>TD</v>
      </c>
      <c r="D2028" s="20" t="s">
        <v>1128</v>
      </c>
      <c r="E2028" s="22" t="s">
        <v>377</v>
      </c>
      <c r="F2028" s="22" t="s">
        <v>57</v>
      </c>
      <c r="G2028" s="22" t="s">
        <v>1868</v>
      </c>
      <c r="H2028" s="24" t="s">
        <v>59</v>
      </c>
      <c r="I2028" s="24" t="s">
        <v>59</v>
      </c>
      <c r="J2028" s="24" t="s">
        <v>60</v>
      </c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6">
        <v>63.0</v>
      </c>
      <c r="B2029" s="35" t="str">
        <f t="array" ref="B2029">INDEX('Báo cáo 75 trang đích'!$B$2:$B$76,$A2029)</f>
        <v>https://techcombank.com/thong-tin/blog/so-tiet-kiem-ngan-hang</v>
      </c>
      <c r="C2029" s="5" t="str">
        <f t="array" ref="C2029">INDEX('Báo cáo 75 trang đích'!$C$2:$C$76,$A2029)</f>
        <v>TD</v>
      </c>
      <c r="D2029" s="20" t="s">
        <v>583</v>
      </c>
      <c r="E2029" s="22" t="s">
        <v>1131</v>
      </c>
      <c r="F2029" s="22" t="s">
        <v>57</v>
      </c>
      <c r="G2029" s="22" t="s">
        <v>1869</v>
      </c>
      <c r="H2029" s="24" t="s">
        <v>59</v>
      </c>
      <c r="I2029" s="24" t="s">
        <v>59</v>
      </c>
      <c r="J2029" s="24" t="s">
        <v>60</v>
      </c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6">
        <v>63.0</v>
      </c>
      <c r="B2030" s="35" t="str">
        <f t="array" ref="B2030">INDEX('Báo cáo 75 trang đích'!$B$2:$B$76,$A2030)</f>
        <v>https://techcombank.com/thong-tin/blog/so-tiet-kiem-ngan-hang</v>
      </c>
      <c r="C2030" s="5" t="str">
        <f t="array" ref="C2030">INDEX('Báo cáo 75 trang đích'!$C$2:$C$76,$A2030)</f>
        <v>TD</v>
      </c>
      <c r="D2030" s="20" t="s">
        <v>1123</v>
      </c>
      <c r="E2030" s="22" t="s">
        <v>377</v>
      </c>
      <c r="F2030" s="22" t="s">
        <v>57</v>
      </c>
      <c r="G2030" s="22" t="s">
        <v>1870</v>
      </c>
      <c r="H2030" s="24" t="s">
        <v>59</v>
      </c>
      <c r="I2030" s="24" t="s">
        <v>59</v>
      </c>
      <c r="J2030" s="24" t="s">
        <v>60</v>
      </c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6">
        <v>63.0</v>
      </c>
      <c r="B2031" s="35" t="str">
        <f t="array" ref="B2031">INDEX('Báo cáo 75 trang đích'!$B$2:$B$76,$A2031)</f>
        <v>https://techcombank.com/thong-tin/blog/so-tiet-kiem-ngan-hang</v>
      </c>
      <c r="C2031" s="5" t="str">
        <f t="array" ref="C2031">INDEX('Báo cáo 75 trang đích'!$C$2:$C$76,$A2031)</f>
        <v>TD</v>
      </c>
      <c r="D2031" s="20" t="s">
        <v>1125</v>
      </c>
      <c r="E2031" s="22" t="s">
        <v>1131</v>
      </c>
      <c r="F2031" s="22" t="s">
        <v>57</v>
      </c>
      <c r="G2031" s="22" t="s">
        <v>1871</v>
      </c>
      <c r="H2031" s="24" t="s">
        <v>59</v>
      </c>
      <c r="I2031" s="24" t="s">
        <v>59</v>
      </c>
      <c r="J2031" s="24" t="s">
        <v>60</v>
      </c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6">
        <v>63.0</v>
      </c>
      <c r="B2032" s="35" t="str">
        <f t="array" ref="B2032">INDEX('Báo cáo 75 trang đích'!$B$2:$B$76,$A2032)</f>
        <v>https://techcombank.com/thong-tin/blog/so-tiet-kiem-ngan-hang</v>
      </c>
      <c r="C2032" s="5" t="str">
        <f t="array" ref="C2032">INDEX('Báo cáo 75 trang đích'!$C$2:$C$76,$A2032)</f>
        <v>TD</v>
      </c>
      <c r="D2032" s="20" t="s">
        <v>1135</v>
      </c>
      <c r="E2032" s="22" t="s">
        <v>377</v>
      </c>
      <c r="F2032" s="22" t="s">
        <v>76</v>
      </c>
      <c r="G2032" s="22" t="s">
        <v>1872</v>
      </c>
      <c r="H2032" s="24" t="s">
        <v>59</v>
      </c>
      <c r="I2032" s="24" t="s">
        <v>59</v>
      </c>
      <c r="J2032" s="24" t="s">
        <v>60</v>
      </c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6">
        <v>63.0</v>
      </c>
      <c r="B2033" s="35" t="str">
        <f t="array" ref="B2033">INDEX('Báo cáo 75 trang đích'!$B$2:$B$76,$A2033)</f>
        <v>https://techcombank.com/thong-tin/blog/so-tiet-kiem-ngan-hang</v>
      </c>
      <c r="C2033" s="5" t="str">
        <f t="array" ref="C2033">INDEX('Báo cáo 75 trang đích'!$C$2:$C$76,$A2033)</f>
        <v>TD</v>
      </c>
      <c r="D2033" s="20" t="s">
        <v>1537</v>
      </c>
      <c r="E2033" s="22" t="s">
        <v>1131</v>
      </c>
      <c r="F2033" s="22" t="s">
        <v>81</v>
      </c>
      <c r="G2033" s="22" t="s">
        <v>1536</v>
      </c>
      <c r="H2033" s="24" t="s">
        <v>59</v>
      </c>
      <c r="I2033" s="24" t="s">
        <v>59</v>
      </c>
      <c r="J2033" s="24" t="s">
        <v>60</v>
      </c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6">
        <v>63.0</v>
      </c>
      <c r="B2034" s="35" t="str">
        <f t="array" ref="B2034">INDEX('Báo cáo 75 trang đích'!$B$2:$B$76,$A2034)</f>
        <v>https://techcombank.com/thong-tin/blog/so-tiet-kiem-ngan-hang</v>
      </c>
      <c r="C2034" s="5" t="str">
        <f t="array" ref="C2034">INDEX('Báo cáo 75 trang đích'!$C$2:$C$76,$A2034)</f>
        <v>TD</v>
      </c>
      <c r="D2034" s="20" t="s">
        <v>497</v>
      </c>
      <c r="E2034" s="22" t="s">
        <v>377</v>
      </c>
      <c r="F2034" s="22" t="s">
        <v>81</v>
      </c>
      <c r="G2034" s="22" t="s">
        <v>1873</v>
      </c>
      <c r="H2034" s="24" t="s">
        <v>59</v>
      </c>
      <c r="I2034" s="24" t="s">
        <v>59</v>
      </c>
      <c r="J2034" s="24" t="s">
        <v>60</v>
      </c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6">
        <v>63.0</v>
      </c>
      <c r="B2035" s="35" t="str">
        <f t="array" ref="B2035">INDEX('Báo cáo 75 trang đích'!$B$2:$B$76,$A2035)</f>
        <v>https://techcombank.com/thong-tin/blog/so-tiet-kiem-ngan-hang</v>
      </c>
      <c r="C2035" s="5" t="str">
        <f t="array" ref="C2035">INDEX('Báo cáo 75 trang đích'!$C$2:$C$76,$A2035)</f>
        <v>TD</v>
      </c>
      <c r="D2035" s="20" t="s">
        <v>1538</v>
      </c>
      <c r="E2035" s="22" t="s">
        <v>1131</v>
      </c>
      <c r="F2035" s="22" t="s">
        <v>81</v>
      </c>
      <c r="G2035" s="22" t="s">
        <v>1536</v>
      </c>
      <c r="H2035" s="24" t="s">
        <v>59</v>
      </c>
      <c r="I2035" s="24" t="s">
        <v>59</v>
      </c>
      <c r="J2035" s="24" t="s">
        <v>60</v>
      </c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6">
        <v>63.0</v>
      </c>
      <c r="B2036" s="35" t="str">
        <f t="array" ref="B2036">INDEX('Báo cáo 75 trang đích'!$B$2:$B$76,$A2036)</f>
        <v>https://techcombank.com/thong-tin/blog/so-tiet-kiem-ngan-hang</v>
      </c>
      <c r="C2036" s="5" t="str">
        <f t="array" ref="C2036">INDEX('Báo cáo 75 trang đích'!$C$2:$C$76,$A2036)</f>
        <v>TD</v>
      </c>
      <c r="D2036" s="20" t="s">
        <v>1539</v>
      </c>
      <c r="E2036" s="22" t="s">
        <v>377</v>
      </c>
      <c r="F2036" s="22" t="s">
        <v>81</v>
      </c>
      <c r="G2036" s="22" t="s">
        <v>1536</v>
      </c>
      <c r="H2036" s="24" t="s">
        <v>59</v>
      </c>
      <c r="I2036" s="24" t="s">
        <v>59</v>
      </c>
      <c r="J2036" s="24" t="s">
        <v>60</v>
      </c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6">
        <v>63.0</v>
      </c>
      <c r="B2037" s="35" t="str">
        <f t="array" ref="B2037">INDEX('Báo cáo 75 trang đích'!$B$2:$B$76,$A2037)</f>
        <v>https://techcombank.com/thong-tin/blog/so-tiet-kiem-ngan-hang</v>
      </c>
      <c r="C2037" s="5" t="str">
        <f t="array" ref="C2037">INDEX('Báo cáo 75 trang đích'!$C$2:$C$76,$A2037)</f>
        <v>TD</v>
      </c>
      <c r="D2037" s="20" t="s">
        <v>1085</v>
      </c>
      <c r="E2037" s="22" t="s">
        <v>1131</v>
      </c>
      <c r="F2037" s="22" t="s">
        <v>81</v>
      </c>
      <c r="G2037" s="22" t="s">
        <v>1536</v>
      </c>
      <c r="H2037" s="24" t="s">
        <v>59</v>
      </c>
      <c r="I2037" s="24" t="s">
        <v>59</v>
      </c>
      <c r="J2037" s="24" t="s">
        <v>60</v>
      </c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6">
        <v>63.0</v>
      </c>
      <c r="B2038" s="35" t="str">
        <f t="array" ref="B2038">INDEX('Báo cáo 75 trang đích'!$B$2:$B$76,$A2038)</f>
        <v>https://techcombank.com/thong-tin/blog/so-tiet-kiem-ngan-hang</v>
      </c>
      <c r="C2038" s="5" t="str">
        <f t="array" ref="C2038">INDEX('Báo cáo 75 trang đích'!$C$2:$C$76,$A2038)</f>
        <v>TD</v>
      </c>
      <c r="D2038" s="20" t="s">
        <v>1113</v>
      </c>
      <c r="E2038" s="22" t="s">
        <v>377</v>
      </c>
      <c r="F2038" s="22" t="s">
        <v>81</v>
      </c>
      <c r="G2038" s="22" t="s">
        <v>1864</v>
      </c>
      <c r="H2038" s="24" t="s">
        <v>59</v>
      </c>
      <c r="I2038" s="24" t="s">
        <v>59</v>
      </c>
      <c r="J2038" s="24" t="s">
        <v>60</v>
      </c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6">
        <v>63.0</v>
      </c>
      <c r="B2039" s="35" t="str">
        <f t="array" ref="B2039">INDEX('Báo cáo 75 trang đích'!$B$2:$B$76,$A2039)</f>
        <v>https://techcombank.com/thong-tin/blog/so-tiet-kiem-ngan-hang</v>
      </c>
      <c r="C2039" s="5" t="str">
        <f t="array" ref="C2039">INDEX('Báo cáo 75 trang đích'!$C$2:$C$76,$A2039)</f>
        <v>TD</v>
      </c>
      <c r="D2039" s="20" t="s">
        <v>1074</v>
      </c>
      <c r="E2039" s="22" t="s">
        <v>1131</v>
      </c>
      <c r="F2039" s="22" t="s">
        <v>81</v>
      </c>
      <c r="G2039" s="22" t="s">
        <v>1864</v>
      </c>
      <c r="H2039" s="24" t="s">
        <v>59</v>
      </c>
      <c r="I2039" s="24" t="s">
        <v>59</v>
      </c>
      <c r="J2039" s="24" t="s">
        <v>60</v>
      </c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6">
        <v>63.0</v>
      </c>
      <c r="B2040" s="35" t="str">
        <f t="array" ref="B2040">INDEX('Báo cáo 75 trang đích'!$B$2:$B$76,$A2040)</f>
        <v>https://techcombank.com/thong-tin/blog/so-tiet-kiem-ngan-hang</v>
      </c>
      <c r="C2040" s="5" t="str">
        <f t="array" ref="C2040">INDEX('Báo cáo 75 trang đích'!$C$2:$C$76,$A2040)</f>
        <v>TD</v>
      </c>
      <c r="D2040" s="20" t="s">
        <v>1110</v>
      </c>
      <c r="E2040" s="22" t="s">
        <v>377</v>
      </c>
      <c r="F2040" s="22" t="s">
        <v>81</v>
      </c>
      <c r="G2040" s="22" t="s">
        <v>1864</v>
      </c>
      <c r="H2040" s="24" t="s">
        <v>59</v>
      </c>
      <c r="I2040" s="24" t="s">
        <v>59</v>
      </c>
      <c r="J2040" s="24" t="s">
        <v>60</v>
      </c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6">
        <v>63.0</v>
      </c>
      <c r="B2041" s="35" t="str">
        <f t="array" ref="B2041">INDEX('Báo cáo 75 trang đích'!$B$2:$B$76,$A2041)</f>
        <v>https://techcombank.com/thong-tin/blog/so-tiet-kiem-ngan-hang</v>
      </c>
      <c r="C2041" s="5" t="str">
        <f t="array" ref="C2041">INDEX('Báo cáo 75 trang đích'!$C$2:$C$76,$A2041)</f>
        <v>TD</v>
      </c>
      <c r="D2041" s="20" t="s">
        <v>1185</v>
      </c>
      <c r="E2041" s="22" t="s">
        <v>1131</v>
      </c>
      <c r="F2041" s="22" t="s">
        <v>81</v>
      </c>
      <c r="G2041" s="22" t="s">
        <v>1536</v>
      </c>
      <c r="H2041" s="24" t="s">
        <v>59</v>
      </c>
      <c r="I2041" s="24" t="s">
        <v>59</v>
      </c>
      <c r="J2041" s="24" t="s">
        <v>60</v>
      </c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6">
        <v>63.0</v>
      </c>
      <c r="B2042" s="35" t="str">
        <f t="array" ref="B2042">INDEX('Báo cáo 75 trang đích'!$B$2:$B$76,$A2042)</f>
        <v>https://techcombank.com/thong-tin/blog/so-tiet-kiem-ngan-hang</v>
      </c>
      <c r="C2042" s="5" t="str">
        <f t="array" ref="C2042">INDEX('Báo cáo 75 trang đích'!$C$2:$C$76,$A2042)</f>
        <v>TD</v>
      </c>
      <c r="D2042" s="20" t="s">
        <v>1089</v>
      </c>
      <c r="E2042" s="22" t="s">
        <v>377</v>
      </c>
      <c r="F2042" s="22" t="s">
        <v>81</v>
      </c>
      <c r="G2042" s="22" t="s">
        <v>1536</v>
      </c>
      <c r="H2042" s="24" t="s">
        <v>59</v>
      </c>
      <c r="I2042" s="24" t="s">
        <v>59</v>
      </c>
      <c r="J2042" s="24" t="s">
        <v>60</v>
      </c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6">
        <v>63.0</v>
      </c>
      <c r="B2043" s="35" t="str">
        <f t="array" ref="B2043">INDEX('Báo cáo 75 trang đích'!$B$2:$B$76,$A2043)</f>
        <v>https://techcombank.com/thong-tin/blog/so-tiet-kiem-ngan-hang</v>
      </c>
      <c r="C2043" s="5" t="str">
        <f t="array" ref="C2043">INDEX('Báo cáo 75 trang đích'!$C$2:$C$76,$A2043)</f>
        <v>TD</v>
      </c>
      <c r="D2043" s="20" t="s">
        <v>212</v>
      </c>
      <c r="E2043" s="22" t="s">
        <v>1131</v>
      </c>
      <c r="F2043" s="22" t="s">
        <v>81</v>
      </c>
      <c r="G2043" s="22" t="s">
        <v>1536</v>
      </c>
      <c r="H2043" s="24" t="s">
        <v>59</v>
      </c>
      <c r="I2043" s="24" t="s">
        <v>59</v>
      </c>
      <c r="J2043" s="24" t="s">
        <v>60</v>
      </c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6">
        <v>63.0</v>
      </c>
      <c r="B2044" s="35" t="str">
        <f t="array" ref="B2044">INDEX('Báo cáo 75 trang đích'!$B$2:$B$76,$A2044)</f>
        <v>https://techcombank.com/thong-tin/blog/so-tiet-kiem-ngan-hang</v>
      </c>
      <c r="C2044" s="5" t="str">
        <f t="array" ref="C2044">INDEX('Báo cáo 75 trang đích'!$C$2:$C$76,$A2044)</f>
        <v>TD</v>
      </c>
      <c r="D2044" s="20" t="s">
        <v>1149</v>
      </c>
      <c r="E2044" s="22" t="s">
        <v>377</v>
      </c>
      <c r="F2044" s="22" t="s">
        <v>81</v>
      </c>
      <c r="G2044" s="22" t="s">
        <v>1536</v>
      </c>
      <c r="H2044" s="24" t="s">
        <v>59</v>
      </c>
      <c r="I2044" s="24" t="s">
        <v>59</v>
      </c>
      <c r="J2044" s="24" t="s">
        <v>60</v>
      </c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6">
        <v>63.0</v>
      </c>
      <c r="B2045" s="35" t="str">
        <f t="array" ref="B2045">INDEX('Báo cáo 75 trang đích'!$B$2:$B$76,$A2045)</f>
        <v>https://techcombank.com/thong-tin/blog/so-tiet-kiem-ngan-hang</v>
      </c>
      <c r="C2045" s="5" t="str">
        <f t="array" ref="C2045">INDEX('Báo cáo 75 trang đích'!$C$2:$C$76,$A2045)</f>
        <v>TD</v>
      </c>
      <c r="D2045" s="20" t="s">
        <v>1545</v>
      </c>
      <c r="E2045" s="22" t="s">
        <v>1131</v>
      </c>
      <c r="F2045" s="22" t="s">
        <v>81</v>
      </c>
      <c r="G2045" s="22" t="s">
        <v>1536</v>
      </c>
      <c r="H2045" s="24" t="s">
        <v>59</v>
      </c>
      <c r="I2045" s="24" t="s">
        <v>59</v>
      </c>
      <c r="J2045" s="24" t="s">
        <v>60</v>
      </c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6">
        <v>63.0</v>
      </c>
      <c r="B2046" s="35" t="str">
        <f t="array" ref="B2046">INDEX('Báo cáo 75 trang đích'!$B$2:$B$76,$A2046)</f>
        <v>https://techcombank.com/thong-tin/blog/so-tiet-kiem-ngan-hang</v>
      </c>
      <c r="C2046" s="5" t="str">
        <f t="array" ref="C2046">INDEX('Báo cáo 75 trang đích'!$C$2:$C$76,$A2046)</f>
        <v>TD</v>
      </c>
      <c r="D2046" s="20" t="s">
        <v>1158</v>
      </c>
      <c r="E2046" s="22" t="s">
        <v>377</v>
      </c>
      <c r="F2046" s="22" t="s">
        <v>81</v>
      </c>
      <c r="G2046" s="22" t="s">
        <v>1536</v>
      </c>
      <c r="H2046" s="24" t="s">
        <v>59</v>
      </c>
      <c r="I2046" s="24" t="s">
        <v>59</v>
      </c>
      <c r="J2046" s="24" t="s">
        <v>60</v>
      </c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6">
        <v>63.0</v>
      </c>
      <c r="B2047" s="35" t="str">
        <f t="array" ref="B2047">INDEX('Báo cáo 75 trang đích'!$B$2:$B$76,$A2047)</f>
        <v>https://techcombank.com/thong-tin/blog/so-tiet-kiem-ngan-hang</v>
      </c>
      <c r="C2047" s="5" t="str">
        <f t="array" ref="C2047">INDEX('Báo cáo 75 trang đích'!$C$2:$C$76,$A2047)</f>
        <v>TD</v>
      </c>
      <c r="D2047" s="20" t="s">
        <v>599</v>
      </c>
      <c r="E2047" s="22" t="s">
        <v>1131</v>
      </c>
      <c r="F2047" s="22" t="s">
        <v>81</v>
      </c>
      <c r="G2047" s="22" t="s">
        <v>1536</v>
      </c>
      <c r="H2047" s="24" t="s">
        <v>59</v>
      </c>
      <c r="I2047" s="24" t="s">
        <v>59</v>
      </c>
      <c r="J2047" s="24" t="s">
        <v>60</v>
      </c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6">
        <v>63.0</v>
      </c>
      <c r="B2048" s="35" t="str">
        <f t="array" ref="B2048">INDEX('Báo cáo 75 trang đích'!$B$2:$B$76,$A2048)</f>
        <v>https://techcombank.com/thong-tin/blog/so-tiet-kiem-ngan-hang</v>
      </c>
      <c r="C2048" s="5" t="str">
        <f t="array" ref="C2048">INDEX('Báo cáo 75 trang đích'!$C$2:$C$76,$A2048)</f>
        <v>TD</v>
      </c>
      <c r="D2048" s="20" t="s">
        <v>1081</v>
      </c>
      <c r="E2048" s="22" t="s">
        <v>377</v>
      </c>
      <c r="F2048" s="22" t="s">
        <v>81</v>
      </c>
      <c r="G2048" s="22" t="s">
        <v>1536</v>
      </c>
      <c r="H2048" s="24" t="s">
        <v>59</v>
      </c>
      <c r="I2048" s="24" t="s">
        <v>59</v>
      </c>
      <c r="J2048" s="24" t="s">
        <v>60</v>
      </c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6">
        <v>63.0</v>
      </c>
      <c r="B2049" s="35" t="str">
        <f t="array" ref="B2049">INDEX('Báo cáo 75 trang đích'!$B$2:$B$76,$A2049)</f>
        <v>https://techcombank.com/thong-tin/blog/so-tiet-kiem-ngan-hang</v>
      </c>
      <c r="C2049" s="5" t="str">
        <f t="array" ref="C2049">INDEX('Báo cáo 75 trang đích'!$C$2:$C$76,$A2049)</f>
        <v>TD</v>
      </c>
      <c r="D2049" s="20" t="s">
        <v>539</v>
      </c>
      <c r="E2049" s="22" t="s">
        <v>1131</v>
      </c>
      <c r="F2049" s="22" t="s">
        <v>81</v>
      </c>
      <c r="G2049" s="22" t="s">
        <v>1873</v>
      </c>
      <c r="H2049" s="24" t="s">
        <v>59</v>
      </c>
      <c r="I2049" s="24" t="s">
        <v>59</v>
      </c>
      <c r="J2049" s="24" t="s">
        <v>60</v>
      </c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6">
        <v>63.0</v>
      </c>
      <c r="B2050" s="35" t="str">
        <f t="array" ref="B2050">INDEX('Báo cáo 75 trang đích'!$B$2:$B$76,$A2050)</f>
        <v>https://techcombank.com/thong-tin/blog/so-tiet-kiem-ngan-hang</v>
      </c>
      <c r="C2050" s="5" t="str">
        <f t="array" ref="C2050">INDEX('Báo cáo 75 trang đích'!$C$2:$C$76,$A2050)</f>
        <v>TD</v>
      </c>
      <c r="D2050" s="20" t="s">
        <v>1181</v>
      </c>
      <c r="E2050" s="22" t="s">
        <v>377</v>
      </c>
      <c r="F2050" s="22" t="s">
        <v>81</v>
      </c>
      <c r="G2050" s="22" t="s">
        <v>1536</v>
      </c>
      <c r="H2050" s="24" t="s">
        <v>59</v>
      </c>
      <c r="I2050" s="24" t="s">
        <v>59</v>
      </c>
      <c r="J2050" s="24" t="s">
        <v>60</v>
      </c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6">
        <v>63.0</v>
      </c>
      <c r="B2051" s="35" t="str">
        <f t="array" ref="B2051">INDEX('Báo cáo 75 trang đích'!$B$2:$B$76,$A2051)</f>
        <v>https://techcombank.com/thong-tin/blog/so-tiet-kiem-ngan-hang</v>
      </c>
      <c r="C2051" s="5" t="str">
        <f t="array" ref="C2051">INDEX('Báo cáo 75 trang đích'!$C$2:$C$76,$A2051)</f>
        <v>TD</v>
      </c>
      <c r="D2051" s="20" t="s">
        <v>1102</v>
      </c>
      <c r="E2051" s="22" t="s">
        <v>1131</v>
      </c>
      <c r="F2051" s="22" t="s">
        <v>81</v>
      </c>
      <c r="G2051" s="22" t="s">
        <v>1536</v>
      </c>
      <c r="H2051" s="24" t="s">
        <v>59</v>
      </c>
      <c r="I2051" s="24" t="s">
        <v>59</v>
      </c>
      <c r="J2051" s="24" t="s">
        <v>60</v>
      </c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6">
        <v>63.0</v>
      </c>
      <c r="B2052" s="35" t="str">
        <f t="array" ref="B2052">INDEX('Báo cáo 75 trang đích'!$B$2:$B$76,$A2052)</f>
        <v>https://techcombank.com/thong-tin/blog/so-tiet-kiem-ngan-hang</v>
      </c>
      <c r="C2052" s="5" t="str">
        <f t="array" ref="C2052">INDEX('Báo cáo 75 trang đích'!$C$2:$C$76,$A2052)</f>
        <v>TD</v>
      </c>
      <c r="D2052" s="20" t="s">
        <v>349</v>
      </c>
      <c r="E2052" s="22" t="s">
        <v>377</v>
      </c>
      <c r="F2052" s="22" t="s">
        <v>81</v>
      </c>
      <c r="G2052" s="22" t="s">
        <v>1536</v>
      </c>
      <c r="H2052" s="24" t="s">
        <v>59</v>
      </c>
      <c r="I2052" s="24" t="s">
        <v>59</v>
      </c>
      <c r="J2052" s="24" t="s">
        <v>60</v>
      </c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6">
        <v>63.0</v>
      </c>
      <c r="B2053" s="35" t="str">
        <f t="array" ref="B2053">INDEX('Báo cáo 75 trang đích'!$B$2:$B$76,$A2053)</f>
        <v>https://techcombank.com/thong-tin/blog/so-tiet-kiem-ngan-hang</v>
      </c>
      <c r="C2053" s="5" t="str">
        <f t="array" ref="C2053">INDEX('Báo cáo 75 trang đích'!$C$2:$C$76,$A2053)</f>
        <v>TD</v>
      </c>
      <c r="D2053" s="20" t="s">
        <v>331</v>
      </c>
      <c r="E2053" s="22" t="s">
        <v>1131</v>
      </c>
      <c r="F2053" s="22" t="s">
        <v>81</v>
      </c>
      <c r="G2053" s="22" t="s">
        <v>1536</v>
      </c>
      <c r="H2053" s="24" t="s">
        <v>59</v>
      </c>
      <c r="I2053" s="24" t="s">
        <v>59</v>
      </c>
      <c r="J2053" s="24" t="s">
        <v>60</v>
      </c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6">
        <v>63.0</v>
      </c>
      <c r="B2054" s="35" t="str">
        <f t="array" ref="B2054">INDEX('Báo cáo 75 trang đích'!$B$2:$B$76,$A2054)</f>
        <v>https://techcombank.com/thong-tin/blog/so-tiet-kiem-ngan-hang</v>
      </c>
      <c r="C2054" s="5" t="str">
        <f t="array" ref="C2054">INDEX('Báo cáo 75 trang đích'!$C$2:$C$76,$A2054)</f>
        <v>TD</v>
      </c>
      <c r="D2054" s="20" t="s">
        <v>694</v>
      </c>
      <c r="E2054" s="22" t="s">
        <v>377</v>
      </c>
      <c r="F2054" s="22" t="s">
        <v>81</v>
      </c>
      <c r="G2054" s="22" t="s">
        <v>1536</v>
      </c>
      <c r="H2054" s="24" t="s">
        <v>59</v>
      </c>
      <c r="I2054" s="24" t="s">
        <v>59</v>
      </c>
      <c r="J2054" s="24" t="s">
        <v>60</v>
      </c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6">
        <v>63.0</v>
      </c>
      <c r="B2055" s="35" t="str">
        <f t="array" ref="B2055">INDEX('Báo cáo 75 trang đích'!$B$2:$B$76,$A2055)</f>
        <v>https://techcombank.com/thong-tin/blog/so-tiet-kiem-ngan-hang</v>
      </c>
      <c r="C2055" s="5" t="str">
        <f t="array" ref="C2055">INDEX('Báo cáo 75 trang đích'!$C$2:$C$76,$A2055)</f>
        <v>TD</v>
      </c>
      <c r="D2055" s="20" t="s">
        <v>1160</v>
      </c>
      <c r="E2055" s="22" t="s">
        <v>1131</v>
      </c>
      <c r="F2055" s="22" t="s">
        <v>81</v>
      </c>
      <c r="G2055" s="22" t="s">
        <v>1536</v>
      </c>
      <c r="H2055" s="24" t="s">
        <v>59</v>
      </c>
      <c r="I2055" s="24" t="s">
        <v>59</v>
      </c>
      <c r="J2055" s="24" t="s">
        <v>60</v>
      </c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6">
        <v>63.0</v>
      </c>
      <c r="B2056" s="35" t="str">
        <f t="array" ref="B2056">INDEX('Báo cáo 75 trang đích'!$B$2:$B$76,$A2056)</f>
        <v>https://techcombank.com/thong-tin/blog/so-tiet-kiem-ngan-hang</v>
      </c>
      <c r="C2056" s="5" t="str">
        <f t="array" ref="C2056">INDEX('Báo cáo 75 trang đích'!$C$2:$C$76,$A2056)</f>
        <v>TD</v>
      </c>
      <c r="D2056" s="20" t="s">
        <v>559</v>
      </c>
      <c r="E2056" s="22" t="s">
        <v>377</v>
      </c>
      <c r="F2056" s="22" t="s">
        <v>81</v>
      </c>
      <c r="G2056" s="22" t="s">
        <v>1536</v>
      </c>
      <c r="H2056" s="24" t="s">
        <v>59</v>
      </c>
      <c r="I2056" s="24" t="s">
        <v>59</v>
      </c>
      <c r="J2056" s="24" t="s">
        <v>60</v>
      </c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6">
        <v>63.0</v>
      </c>
      <c r="B2057" s="35" t="str">
        <f t="array" ref="B2057">INDEX('Báo cáo 75 trang đích'!$B$2:$B$76,$A2057)</f>
        <v>https://techcombank.com/thong-tin/blog/so-tiet-kiem-ngan-hang</v>
      </c>
      <c r="C2057" s="5" t="str">
        <f t="array" ref="C2057">INDEX('Báo cáo 75 trang đích'!$C$2:$C$76,$A2057)</f>
        <v>TD</v>
      </c>
      <c r="D2057" s="20" t="s">
        <v>1152</v>
      </c>
      <c r="E2057" s="22" t="s">
        <v>1131</v>
      </c>
      <c r="F2057" s="22" t="s">
        <v>81</v>
      </c>
      <c r="G2057" s="22" t="s">
        <v>1536</v>
      </c>
      <c r="H2057" s="24" t="s">
        <v>59</v>
      </c>
      <c r="I2057" s="24" t="s">
        <v>59</v>
      </c>
      <c r="J2057" s="24" t="s">
        <v>60</v>
      </c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6">
        <v>63.0</v>
      </c>
      <c r="B2058" s="35" t="str">
        <f t="array" ref="B2058">INDEX('Báo cáo 75 trang đích'!$B$2:$B$76,$A2058)</f>
        <v>https://techcombank.com/thong-tin/blog/so-tiet-kiem-ngan-hang</v>
      </c>
      <c r="C2058" s="5" t="str">
        <f t="array" ref="C2058">INDEX('Báo cáo 75 trang đích'!$C$2:$C$76,$A2058)</f>
        <v>TD</v>
      </c>
      <c r="D2058" s="20" t="s">
        <v>1155</v>
      </c>
      <c r="E2058" s="22" t="s">
        <v>377</v>
      </c>
      <c r="F2058" s="22" t="s">
        <v>81</v>
      </c>
      <c r="G2058" s="22" t="s">
        <v>1536</v>
      </c>
      <c r="H2058" s="24" t="s">
        <v>59</v>
      </c>
      <c r="I2058" s="24" t="s">
        <v>59</v>
      </c>
      <c r="J2058" s="24" t="s">
        <v>60</v>
      </c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6">
        <v>63.0</v>
      </c>
      <c r="B2059" s="35" t="str">
        <f t="array" ref="B2059">INDEX('Báo cáo 75 trang đích'!$B$2:$B$76,$A2059)</f>
        <v>https://techcombank.com/thong-tin/blog/so-tiet-kiem-ngan-hang</v>
      </c>
      <c r="C2059" s="5" t="str">
        <f t="array" ref="C2059">INDEX('Báo cáo 75 trang đích'!$C$2:$C$76,$A2059)</f>
        <v>TD</v>
      </c>
      <c r="D2059" s="20" t="s">
        <v>1120</v>
      </c>
      <c r="E2059" s="22" t="s">
        <v>1131</v>
      </c>
      <c r="F2059" s="22" t="s">
        <v>81</v>
      </c>
      <c r="G2059" s="22" t="s">
        <v>1864</v>
      </c>
      <c r="H2059" s="24" t="s">
        <v>59</v>
      </c>
      <c r="I2059" s="24" t="s">
        <v>59</v>
      </c>
      <c r="J2059" s="24" t="s">
        <v>60</v>
      </c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6">
        <v>63.0</v>
      </c>
      <c r="B2060" s="35" t="str">
        <f t="array" ref="B2060">INDEX('Báo cáo 75 trang đích'!$B$2:$B$76,$A2060)</f>
        <v>https://techcombank.com/thong-tin/blog/so-tiet-kiem-ngan-hang</v>
      </c>
      <c r="C2060" s="5" t="str">
        <f t="array" ref="C2060">INDEX('Báo cáo 75 trang đích'!$C$2:$C$76,$A2060)</f>
        <v>TD</v>
      </c>
      <c r="D2060" s="20" t="s">
        <v>1115</v>
      </c>
      <c r="E2060" s="22" t="s">
        <v>377</v>
      </c>
      <c r="F2060" s="22" t="s">
        <v>81</v>
      </c>
      <c r="G2060" s="22" t="s">
        <v>1536</v>
      </c>
      <c r="H2060" s="24" t="s">
        <v>59</v>
      </c>
      <c r="I2060" s="24" t="s">
        <v>59</v>
      </c>
      <c r="J2060" s="24" t="s">
        <v>60</v>
      </c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6">
        <v>63.0</v>
      </c>
      <c r="B2061" s="35" t="str">
        <f t="array" ref="B2061">INDEX('Báo cáo 75 trang đích'!$B$2:$B$76,$A2061)</f>
        <v>https://techcombank.com/thong-tin/blog/so-tiet-kiem-ngan-hang</v>
      </c>
      <c r="C2061" s="5" t="str">
        <f t="array" ref="C2061">INDEX('Báo cáo 75 trang đích'!$C$2:$C$76,$A2061)</f>
        <v>TD</v>
      </c>
      <c r="D2061" s="20" t="s">
        <v>760</v>
      </c>
      <c r="E2061" s="22" t="s">
        <v>1131</v>
      </c>
      <c r="F2061" s="22" t="s">
        <v>81</v>
      </c>
      <c r="G2061" s="22" t="s">
        <v>1864</v>
      </c>
      <c r="H2061" s="24" t="s">
        <v>59</v>
      </c>
      <c r="I2061" s="24" t="s">
        <v>59</v>
      </c>
      <c r="J2061" s="24" t="s">
        <v>60</v>
      </c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6">
        <v>63.0</v>
      </c>
      <c r="B2062" s="35" t="str">
        <f t="array" ref="B2062">INDEX('Báo cáo 75 trang đích'!$B$2:$B$76,$A2062)</f>
        <v>https://techcombank.com/thong-tin/blog/so-tiet-kiem-ngan-hang</v>
      </c>
      <c r="C2062" s="5" t="str">
        <f t="array" ref="C2062">INDEX('Báo cáo 75 trang đích'!$C$2:$C$76,$A2062)</f>
        <v>TD</v>
      </c>
      <c r="D2062" s="20" t="s">
        <v>1550</v>
      </c>
      <c r="E2062" s="22" t="s">
        <v>377</v>
      </c>
      <c r="F2062" s="22" t="s">
        <v>81</v>
      </c>
      <c r="G2062" s="22" t="s">
        <v>1536</v>
      </c>
      <c r="H2062" s="24" t="s">
        <v>59</v>
      </c>
      <c r="I2062" s="24" t="s">
        <v>59</v>
      </c>
      <c r="J2062" s="24" t="s">
        <v>60</v>
      </c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6">
        <v>63.0</v>
      </c>
      <c r="B2063" s="35" t="str">
        <f t="array" ref="B2063">INDEX('Báo cáo 75 trang đích'!$B$2:$B$76,$A2063)</f>
        <v>https://techcombank.com/thong-tin/blog/so-tiet-kiem-ngan-hang</v>
      </c>
      <c r="C2063" s="5" t="str">
        <f t="array" ref="C2063">INDEX('Báo cáo 75 trang đích'!$C$2:$C$76,$A2063)</f>
        <v>TD</v>
      </c>
      <c r="D2063" s="20" t="s">
        <v>824</v>
      </c>
      <c r="E2063" s="22" t="s">
        <v>1131</v>
      </c>
      <c r="F2063" s="22" t="s">
        <v>81</v>
      </c>
      <c r="G2063" s="22" t="s">
        <v>1874</v>
      </c>
      <c r="H2063" s="24" t="s">
        <v>59</v>
      </c>
      <c r="I2063" s="24" t="s">
        <v>59</v>
      </c>
      <c r="J2063" s="24" t="s">
        <v>60</v>
      </c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6">
        <v>63.0</v>
      </c>
      <c r="B2064" s="35" t="str">
        <f t="array" ref="B2064">INDEX('Báo cáo 75 trang đích'!$B$2:$B$76,$A2064)</f>
        <v>https://techcombank.com/thong-tin/blog/so-tiet-kiem-ngan-hang</v>
      </c>
      <c r="C2064" s="5" t="str">
        <f t="array" ref="C2064">INDEX('Báo cáo 75 trang đích'!$C$2:$C$76,$A2064)</f>
        <v>TD</v>
      </c>
      <c r="D2064" s="20" t="s">
        <v>1095</v>
      </c>
      <c r="E2064" s="22" t="s">
        <v>377</v>
      </c>
      <c r="F2064" s="22" t="s">
        <v>81</v>
      </c>
      <c r="G2064" s="22" t="s">
        <v>1536</v>
      </c>
      <c r="H2064" s="24" t="s">
        <v>59</v>
      </c>
      <c r="I2064" s="24" t="s">
        <v>59</v>
      </c>
      <c r="J2064" s="24" t="s">
        <v>60</v>
      </c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6">
        <v>63.0</v>
      </c>
      <c r="B2065" s="35" t="str">
        <f t="array" ref="B2065">INDEX('Báo cáo 75 trang đích'!$B$2:$B$76,$A2065)</f>
        <v>https://techcombank.com/thong-tin/blog/so-tiet-kiem-ngan-hang</v>
      </c>
      <c r="C2065" s="5" t="str">
        <f t="array" ref="C2065">INDEX('Báo cáo 75 trang đích'!$C$2:$C$76,$A2065)</f>
        <v>TD</v>
      </c>
      <c r="D2065" s="20" t="s">
        <v>1551</v>
      </c>
      <c r="E2065" s="22" t="s">
        <v>1131</v>
      </c>
      <c r="F2065" s="22" t="s">
        <v>81</v>
      </c>
      <c r="G2065" s="22" t="s">
        <v>1536</v>
      </c>
      <c r="H2065" s="24" t="s">
        <v>59</v>
      </c>
      <c r="I2065" s="24" t="s">
        <v>59</v>
      </c>
      <c r="J2065" s="24" t="s">
        <v>60</v>
      </c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6">
        <v>63.0</v>
      </c>
      <c r="B2066" s="35" t="str">
        <f t="array" ref="B2066">INDEX('Báo cáo 75 trang đích'!$B$2:$B$76,$A2066)</f>
        <v>https://techcombank.com/thong-tin/blog/so-tiet-kiem-ngan-hang</v>
      </c>
      <c r="C2066" s="5" t="str">
        <f t="array" ref="C2066">INDEX('Báo cáo 75 trang đích'!$C$2:$C$76,$A2066)</f>
        <v>TD</v>
      </c>
      <c r="D2066" s="20" t="s">
        <v>226</v>
      </c>
      <c r="E2066" s="22" t="s">
        <v>377</v>
      </c>
      <c r="F2066" s="22" t="s">
        <v>81</v>
      </c>
      <c r="G2066" s="22" t="s">
        <v>1536</v>
      </c>
      <c r="H2066" s="24" t="s">
        <v>59</v>
      </c>
      <c r="I2066" s="24" t="s">
        <v>59</v>
      </c>
      <c r="J2066" s="24" t="s">
        <v>60</v>
      </c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6">
        <v>63.0</v>
      </c>
      <c r="B2067" s="35" t="str">
        <f t="array" ref="B2067">INDEX('Báo cáo 75 trang đích'!$B$2:$B$76,$A2067)</f>
        <v>https://techcombank.com/thong-tin/blog/so-tiet-kiem-ngan-hang</v>
      </c>
      <c r="C2067" s="5" t="str">
        <f t="array" ref="C2067">INDEX('Báo cáo 75 trang đích'!$C$2:$C$76,$A2067)</f>
        <v>TD</v>
      </c>
      <c r="D2067" s="20" t="s">
        <v>872</v>
      </c>
      <c r="E2067" s="22" t="s">
        <v>1131</v>
      </c>
      <c r="F2067" s="22" t="s">
        <v>81</v>
      </c>
      <c r="G2067" s="22" t="s">
        <v>1536</v>
      </c>
      <c r="H2067" s="24" t="s">
        <v>59</v>
      </c>
      <c r="I2067" s="24" t="s">
        <v>59</v>
      </c>
      <c r="J2067" s="24" t="s">
        <v>60</v>
      </c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6">
        <v>63.0</v>
      </c>
      <c r="B2068" s="35" t="str">
        <f t="array" ref="B2068">INDEX('Báo cáo 75 trang đích'!$B$2:$B$76,$A2068)</f>
        <v>https://techcombank.com/thong-tin/blog/so-tiet-kiem-ngan-hang</v>
      </c>
      <c r="C2068" s="5" t="str">
        <f t="array" ref="C2068">INDEX('Báo cáo 75 trang đích'!$C$2:$C$76,$A2068)</f>
        <v>TD</v>
      </c>
      <c r="D2068" s="20" t="s">
        <v>1552</v>
      </c>
      <c r="E2068" s="22" t="s">
        <v>377</v>
      </c>
      <c r="F2068" s="22" t="s">
        <v>81</v>
      </c>
      <c r="G2068" s="22" t="s">
        <v>1536</v>
      </c>
      <c r="H2068" s="24" t="s">
        <v>59</v>
      </c>
      <c r="I2068" s="24" t="s">
        <v>59</v>
      </c>
      <c r="J2068" s="24" t="s">
        <v>60</v>
      </c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6">
        <v>64.0</v>
      </c>
      <c r="B2069" s="35" t="str">
        <f t="array" ref="B2069">INDEX('Báo cáo 75 trang đích'!$B$2:$B$76,$A2069)</f>
        <v>https://techcombank.com/thong-tin/blog/cach-tiet-kiem-tien</v>
      </c>
      <c r="C2069" s="5" t="str">
        <f t="array" ref="C2069">INDEX('Báo cáo 75 trang đích'!$C$2:$C$76,$A2069)</f>
        <v>TD</v>
      </c>
      <c r="D2069" s="20" t="s">
        <v>1137</v>
      </c>
      <c r="E2069" s="22" t="s">
        <v>385</v>
      </c>
      <c r="F2069" s="22" t="s">
        <v>57</v>
      </c>
      <c r="G2069" s="22" t="s">
        <v>1875</v>
      </c>
      <c r="H2069" s="24" t="s">
        <v>59</v>
      </c>
      <c r="I2069" s="24" t="s">
        <v>59</v>
      </c>
      <c r="J2069" s="24" t="s">
        <v>60</v>
      </c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6">
        <v>64.0</v>
      </c>
      <c r="B2070" s="35" t="str">
        <f t="array" ref="B2070">INDEX('Báo cáo 75 trang đích'!$B$2:$B$76,$A2070)</f>
        <v>https://techcombank.com/thong-tin/blog/cach-tiet-kiem-tien</v>
      </c>
      <c r="C2070" s="5" t="str">
        <f t="array" ref="C2070">INDEX('Báo cáo 75 trang đích'!$C$2:$C$76,$A2070)</f>
        <v>TD</v>
      </c>
      <c r="D2070" s="20" t="s">
        <v>1140</v>
      </c>
      <c r="E2070" s="22" t="s">
        <v>1142</v>
      </c>
      <c r="F2070" s="22" t="s">
        <v>57</v>
      </c>
      <c r="G2070" s="22" t="s">
        <v>1876</v>
      </c>
      <c r="H2070" s="24" t="s">
        <v>59</v>
      </c>
      <c r="I2070" s="24" t="s">
        <v>59</v>
      </c>
      <c r="J2070" s="24" t="s">
        <v>60</v>
      </c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6">
        <v>64.0</v>
      </c>
      <c r="B2071" s="35" t="str">
        <f t="array" ref="B2071">INDEX('Báo cáo 75 trang đích'!$B$2:$B$76,$A2071)</f>
        <v>https://techcombank.com/thong-tin/blog/cach-tiet-kiem-tien</v>
      </c>
      <c r="C2071" s="5" t="str">
        <f t="array" ref="C2071">INDEX('Báo cáo 75 trang đích'!$C$2:$C$76,$A2071)</f>
        <v>TD</v>
      </c>
      <c r="D2071" s="20" t="s">
        <v>461</v>
      </c>
      <c r="E2071" s="22" t="s">
        <v>385</v>
      </c>
      <c r="F2071" s="22" t="s">
        <v>57</v>
      </c>
      <c r="G2071" s="22" t="s">
        <v>1877</v>
      </c>
      <c r="H2071" s="24" t="s">
        <v>59</v>
      </c>
      <c r="I2071" s="24" t="s">
        <v>59</v>
      </c>
      <c r="J2071" s="24" t="s">
        <v>60</v>
      </c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6">
        <v>64.0</v>
      </c>
      <c r="B2072" s="35" t="str">
        <f t="array" ref="B2072">INDEX('Báo cáo 75 trang đích'!$B$2:$B$76,$A2072)</f>
        <v>https://techcombank.com/thong-tin/blog/cach-tiet-kiem-tien</v>
      </c>
      <c r="C2072" s="5" t="str">
        <f t="array" ref="C2072">INDEX('Báo cáo 75 trang đích'!$C$2:$C$76,$A2072)</f>
        <v>TD</v>
      </c>
      <c r="D2072" s="20" t="s">
        <v>1144</v>
      </c>
      <c r="E2072" s="22" t="s">
        <v>1142</v>
      </c>
      <c r="F2072" s="22" t="s">
        <v>57</v>
      </c>
      <c r="G2072" s="22" t="s">
        <v>1878</v>
      </c>
      <c r="H2072" s="24" t="s">
        <v>59</v>
      </c>
      <c r="I2072" s="24" t="s">
        <v>59</v>
      </c>
      <c r="J2072" s="24" t="s">
        <v>60</v>
      </c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6">
        <v>64.0</v>
      </c>
      <c r="B2073" s="35" t="str">
        <f t="array" ref="B2073">INDEX('Báo cáo 75 trang đích'!$B$2:$B$76,$A2073)</f>
        <v>https://techcombank.com/thong-tin/blog/cach-tiet-kiem-tien</v>
      </c>
      <c r="C2073" s="5" t="str">
        <f t="array" ref="C2073">INDEX('Báo cáo 75 trang đích'!$C$2:$C$76,$A2073)</f>
        <v>TD</v>
      </c>
      <c r="D2073" s="20" t="s">
        <v>1146</v>
      </c>
      <c r="E2073" s="22" t="s">
        <v>385</v>
      </c>
      <c r="F2073" s="22" t="s">
        <v>57</v>
      </c>
      <c r="G2073" s="22" t="s">
        <v>1879</v>
      </c>
      <c r="H2073" s="24" t="s">
        <v>59</v>
      </c>
      <c r="I2073" s="24" t="s">
        <v>59</v>
      </c>
      <c r="J2073" s="24" t="s">
        <v>60</v>
      </c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6">
        <v>64.0</v>
      </c>
      <c r="B2074" s="35" t="str">
        <f t="array" ref="B2074">INDEX('Báo cáo 75 trang đích'!$B$2:$B$76,$A2074)</f>
        <v>https://techcombank.com/thong-tin/blog/cach-tiet-kiem-tien</v>
      </c>
      <c r="C2074" s="5" t="str">
        <f t="array" ref="C2074">INDEX('Báo cáo 75 trang đích'!$C$2:$C$76,$A2074)</f>
        <v>TD</v>
      </c>
      <c r="D2074" s="20" t="s">
        <v>338</v>
      </c>
      <c r="E2074" s="22" t="s">
        <v>1142</v>
      </c>
      <c r="F2074" s="22" t="s">
        <v>81</v>
      </c>
      <c r="G2074" s="22" t="s">
        <v>1880</v>
      </c>
      <c r="H2074" s="24" t="s">
        <v>59</v>
      </c>
      <c r="I2074" s="24" t="s">
        <v>59</v>
      </c>
      <c r="J2074" s="24" t="s">
        <v>60</v>
      </c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6">
        <v>64.0</v>
      </c>
      <c r="B2075" s="35" t="str">
        <f t="array" ref="B2075">INDEX('Báo cáo 75 trang đích'!$B$2:$B$76,$A2075)</f>
        <v>https://techcombank.com/thong-tin/blog/cach-tiet-kiem-tien</v>
      </c>
      <c r="C2075" s="5" t="str">
        <f t="array" ref="C2075">INDEX('Báo cáo 75 trang đích'!$C$2:$C$76,$A2075)</f>
        <v>TD</v>
      </c>
      <c r="D2075" s="20" t="s">
        <v>1434</v>
      </c>
      <c r="E2075" s="22" t="s">
        <v>385</v>
      </c>
      <c r="F2075" s="22" t="s">
        <v>81</v>
      </c>
      <c r="G2075" s="22" t="s">
        <v>1881</v>
      </c>
      <c r="H2075" s="24" t="s">
        <v>59</v>
      </c>
      <c r="I2075" s="24" t="s">
        <v>59</v>
      </c>
      <c r="J2075" s="24" t="s">
        <v>60</v>
      </c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6">
        <v>64.0</v>
      </c>
      <c r="B2076" s="35" t="str">
        <f t="array" ref="B2076">INDEX('Báo cáo 75 trang đích'!$B$2:$B$76,$A2076)</f>
        <v>https://techcombank.com/thong-tin/blog/cach-tiet-kiem-tien</v>
      </c>
      <c r="C2076" s="5" t="str">
        <f t="array" ref="C2076">INDEX('Báo cáo 75 trang đích'!$C$2:$C$76,$A2076)</f>
        <v>TD</v>
      </c>
      <c r="D2076" s="20" t="s">
        <v>1882</v>
      </c>
      <c r="E2076" s="22" t="s">
        <v>1142</v>
      </c>
      <c r="F2076" s="22" t="s">
        <v>81</v>
      </c>
      <c r="G2076" s="22" t="s">
        <v>1883</v>
      </c>
      <c r="H2076" s="24" t="s">
        <v>59</v>
      </c>
      <c r="I2076" s="24" t="s">
        <v>59</v>
      </c>
      <c r="J2076" s="24" t="s">
        <v>60</v>
      </c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6">
        <v>64.0</v>
      </c>
      <c r="B2077" s="35" t="str">
        <f t="array" ref="B2077">INDEX('Báo cáo 75 trang đích'!$B$2:$B$76,$A2077)</f>
        <v>https://techcombank.com/thong-tin/blog/cach-tiet-kiem-tien</v>
      </c>
      <c r="C2077" s="5" t="str">
        <f t="array" ref="C2077">INDEX('Báo cáo 75 trang đích'!$C$2:$C$76,$A2077)</f>
        <v>TD</v>
      </c>
      <c r="D2077" s="20" t="s">
        <v>1272</v>
      </c>
      <c r="E2077" s="22" t="s">
        <v>385</v>
      </c>
      <c r="F2077" s="22" t="s">
        <v>81</v>
      </c>
      <c r="G2077" s="22" t="s">
        <v>1273</v>
      </c>
      <c r="H2077" s="24" t="s">
        <v>59</v>
      </c>
      <c r="I2077" s="24" t="s">
        <v>59</v>
      </c>
      <c r="J2077" s="24" t="s">
        <v>60</v>
      </c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6">
        <v>64.0</v>
      </c>
      <c r="B2078" s="35" t="str">
        <f t="array" ref="B2078">INDEX('Báo cáo 75 trang đích'!$B$2:$B$76,$A2078)</f>
        <v>https://techcombank.com/thong-tin/blog/cach-tiet-kiem-tien</v>
      </c>
      <c r="C2078" s="5" t="str">
        <f t="array" ref="C2078">INDEX('Báo cáo 75 trang đích'!$C$2:$C$76,$A2078)</f>
        <v>TD</v>
      </c>
      <c r="D2078" s="20" t="s">
        <v>323</v>
      </c>
      <c r="E2078" s="22" t="s">
        <v>1142</v>
      </c>
      <c r="F2078" s="22" t="s">
        <v>81</v>
      </c>
      <c r="G2078" s="22" t="s">
        <v>1881</v>
      </c>
      <c r="H2078" s="24" t="s">
        <v>59</v>
      </c>
      <c r="I2078" s="24" t="s">
        <v>59</v>
      </c>
      <c r="J2078" s="24" t="s">
        <v>60</v>
      </c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6">
        <v>64.0</v>
      </c>
      <c r="B2079" s="35" t="str">
        <f t="array" ref="B2079">INDEX('Báo cáo 75 trang đích'!$B$2:$B$76,$A2079)</f>
        <v>https://techcombank.com/thong-tin/blog/cach-tiet-kiem-tien</v>
      </c>
      <c r="C2079" s="5" t="str">
        <f t="array" ref="C2079">INDEX('Báo cáo 75 trang đích'!$C$2:$C$76,$A2079)</f>
        <v>TD</v>
      </c>
      <c r="D2079" s="20" t="s">
        <v>1270</v>
      </c>
      <c r="E2079" s="22" t="s">
        <v>385</v>
      </c>
      <c r="F2079" s="22" t="s">
        <v>81</v>
      </c>
      <c r="G2079" s="22" t="s">
        <v>1884</v>
      </c>
      <c r="H2079" s="24" t="s">
        <v>59</v>
      </c>
      <c r="I2079" s="24" t="s">
        <v>59</v>
      </c>
      <c r="J2079" s="24" t="s">
        <v>60</v>
      </c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6">
        <v>64.0</v>
      </c>
      <c r="B2080" s="35" t="str">
        <f t="array" ref="B2080">INDEX('Báo cáo 75 trang đích'!$B$2:$B$76,$A2080)</f>
        <v>https://techcombank.com/thong-tin/blog/cach-tiet-kiem-tien</v>
      </c>
      <c r="C2080" s="5" t="str">
        <f t="array" ref="C2080">INDEX('Báo cáo 75 trang đích'!$C$2:$C$76,$A2080)</f>
        <v>TD</v>
      </c>
      <c r="D2080" s="20" t="s">
        <v>1274</v>
      </c>
      <c r="E2080" s="22" t="s">
        <v>1142</v>
      </c>
      <c r="F2080" s="22" t="s">
        <v>81</v>
      </c>
      <c r="G2080" s="22" t="s">
        <v>1273</v>
      </c>
      <c r="H2080" s="24" t="s">
        <v>59</v>
      </c>
      <c r="I2080" s="24" t="s">
        <v>59</v>
      </c>
      <c r="J2080" s="24" t="s">
        <v>60</v>
      </c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6">
        <v>64.0</v>
      </c>
      <c r="B2081" s="35" t="str">
        <f t="array" ref="B2081">INDEX('Báo cáo 75 trang đích'!$B$2:$B$76,$A2081)</f>
        <v>https://techcombank.com/thong-tin/blog/cach-tiet-kiem-tien</v>
      </c>
      <c r="C2081" s="5" t="str">
        <f t="array" ref="C2081">INDEX('Báo cáo 75 trang đích'!$C$2:$C$76,$A2081)</f>
        <v>TD</v>
      </c>
      <c r="D2081" s="20" t="s">
        <v>307</v>
      </c>
      <c r="E2081" s="22" t="s">
        <v>385</v>
      </c>
      <c r="F2081" s="22" t="s">
        <v>81</v>
      </c>
      <c r="G2081" s="22" t="s">
        <v>1881</v>
      </c>
      <c r="H2081" s="24" t="s">
        <v>59</v>
      </c>
      <c r="I2081" s="24" t="s">
        <v>59</v>
      </c>
      <c r="J2081" s="24" t="s">
        <v>60</v>
      </c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6">
        <v>64.0</v>
      </c>
      <c r="B2082" s="35" t="str">
        <f t="array" ref="B2082">INDEX('Báo cáo 75 trang đích'!$B$2:$B$76,$A2082)</f>
        <v>https://techcombank.com/thong-tin/blog/cach-tiet-kiem-tien</v>
      </c>
      <c r="C2082" s="5" t="str">
        <f t="array" ref="C2082">INDEX('Báo cáo 75 trang đích'!$C$2:$C$76,$A2082)</f>
        <v>TD</v>
      </c>
      <c r="D2082" s="20" t="s">
        <v>1390</v>
      </c>
      <c r="E2082" s="22" t="s">
        <v>1142</v>
      </c>
      <c r="F2082" s="22" t="s">
        <v>81</v>
      </c>
      <c r="G2082" s="22" t="s">
        <v>1881</v>
      </c>
      <c r="H2082" s="24" t="s">
        <v>59</v>
      </c>
      <c r="I2082" s="24" t="s">
        <v>59</v>
      </c>
      <c r="J2082" s="24" t="s">
        <v>60</v>
      </c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6">
        <v>64.0</v>
      </c>
      <c r="B2083" s="35" t="str">
        <f t="array" ref="B2083">INDEX('Báo cáo 75 trang đích'!$B$2:$B$76,$A2083)</f>
        <v>https://techcombank.com/thong-tin/blog/cach-tiet-kiem-tien</v>
      </c>
      <c r="C2083" s="5" t="str">
        <f t="array" ref="C2083">INDEX('Báo cáo 75 trang đích'!$C$2:$C$76,$A2083)</f>
        <v>TD</v>
      </c>
      <c r="D2083" s="20" t="s">
        <v>456</v>
      </c>
      <c r="E2083" s="22" t="s">
        <v>385</v>
      </c>
      <c r="F2083" s="22" t="s">
        <v>81</v>
      </c>
      <c r="G2083" s="22" t="s">
        <v>1881</v>
      </c>
      <c r="H2083" s="24" t="s">
        <v>59</v>
      </c>
      <c r="I2083" s="24" t="s">
        <v>59</v>
      </c>
      <c r="J2083" s="24" t="s">
        <v>60</v>
      </c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6">
        <v>64.0</v>
      </c>
      <c r="B2084" s="35" t="str">
        <f t="array" ref="B2084">INDEX('Báo cáo 75 trang đích'!$B$2:$B$76,$A2084)</f>
        <v>https://techcombank.com/thong-tin/blog/cach-tiet-kiem-tien</v>
      </c>
      <c r="C2084" s="5" t="str">
        <f t="array" ref="C2084">INDEX('Báo cáo 75 trang đích'!$C$2:$C$76,$A2084)</f>
        <v>TD</v>
      </c>
      <c r="D2084" s="20" t="s">
        <v>1885</v>
      </c>
      <c r="E2084" s="22" t="s">
        <v>1142</v>
      </c>
      <c r="F2084" s="22" t="s">
        <v>81</v>
      </c>
      <c r="G2084" s="22" t="s">
        <v>1881</v>
      </c>
      <c r="H2084" s="24" t="s">
        <v>59</v>
      </c>
      <c r="I2084" s="24" t="s">
        <v>59</v>
      </c>
      <c r="J2084" s="24" t="s">
        <v>60</v>
      </c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6">
        <v>64.0</v>
      </c>
      <c r="B2085" s="35" t="str">
        <f t="array" ref="B2085">INDEX('Báo cáo 75 trang đích'!$B$2:$B$76,$A2085)</f>
        <v>https://techcombank.com/thong-tin/blog/cach-tiet-kiem-tien</v>
      </c>
      <c r="C2085" s="5" t="str">
        <f t="array" ref="C2085">INDEX('Báo cáo 75 trang đích'!$C$2:$C$76,$A2085)</f>
        <v>TD</v>
      </c>
      <c r="D2085" s="20" t="s">
        <v>1886</v>
      </c>
      <c r="E2085" s="22" t="s">
        <v>385</v>
      </c>
      <c r="F2085" s="22" t="s">
        <v>81</v>
      </c>
      <c r="G2085" s="22" t="s">
        <v>1881</v>
      </c>
      <c r="H2085" s="24" t="s">
        <v>59</v>
      </c>
      <c r="I2085" s="24" t="s">
        <v>59</v>
      </c>
      <c r="J2085" s="24" t="s">
        <v>60</v>
      </c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6">
        <v>64.0</v>
      </c>
      <c r="B2086" s="35" t="str">
        <f t="array" ref="B2086">INDEX('Báo cáo 75 trang đích'!$B$2:$B$76,$A2086)</f>
        <v>https://techcombank.com/thong-tin/blog/cach-tiet-kiem-tien</v>
      </c>
      <c r="C2086" s="5" t="str">
        <f t="array" ref="C2086">INDEX('Báo cáo 75 trang đích'!$C$2:$C$76,$A2086)</f>
        <v>TD</v>
      </c>
      <c r="D2086" s="20" t="s">
        <v>1887</v>
      </c>
      <c r="E2086" s="22" t="s">
        <v>1142</v>
      </c>
      <c r="F2086" s="22" t="s">
        <v>81</v>
      </c>
      <c r="G2086" s="22" t="s">
        <v>1880</v>
      </c>
      <c r="H2086" s="24" t="s">
        <v>59</v>
      </c>
      <c r="I2086" s="24" t="s">
        <v>59</v>
      </c>
      <c r="J2086" s="24" t="s">
        <v>60</v>
      </c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6">
        <v>64.0</v>
      </c>
      <c r="B2087" s="35" t="str">
        <f t="array" ref="B2087">INDEX('Báo cáo 75 trang đích'!$B$2:$B$76,$A2087)</f>
        <v>https://techcombank.com/thong-tin/blog/cach-tiet-kiem-tien</v>
      </c>
      <c r="C2087" s="5" t="str">
        <f t="array" ref="C2087">INDEX('Báo cáo 75 trang đích'!$C$2:$C$76,$A2087)</f>
        <v>TD</v>
      </c>
      <c r="D2087" s="20" t="s">
        <v>206</v>
      </c>
      <c r="E2087" s="22" t="s">
        <v>385</v>
      </c>
      <c r="F2087" s="22" t="s">
        <v>81</v>
      </c>
      <c r="G2087" s="22" t="s">
        <v>1881</v>
      </c>
      <c r="H2087" s="24" t="s">
        <v>59</v>
      </c>
      <c r="I2087" s="24" t="s">
        <v>59</v>
      </c>
      <c r="J2087" s="24" t="s">
        <v>60</v>
      </c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6">
        <v>64.0</v>
      </c>
      <c r="B2088" s="35" t="str">
        <f t="array" ref="B2088">INDEX('Báo cáo 75 trang đích'!$B$2:$B$76,$A2088)</f>
        <v>https://techcombank.com/thong-tin/blog/cach-tiet-kiem-tien</v>
      </c>
      <c r="C2088" s="5" t="str">
        <f t="array" ref="C2088">INDEX('Báo cáo 75 trang đích'!$C$2:$C$76,$A2088)</f>
        <v>TD</v>
      </c>
      <c r="D2088" s="20" t="s">
        <v>1888</v>
      </c>
      <c r="E2088" s="22" t="s">
        <v>1142</v>
      </c>
      <c r="F2088" s="22" t="s">
        <v>81</v>
      </c>
      <c r="G2088" s="22" t="s">
        <v>1883</v>
      </c>
      <c r="H2088" s="24" t="s">
        <v>59</v>
      </c>
      <c r="I2088" s="24" t="s">
        <v>59</v>
      </c>
      <c r="J2088" s="24" t="s">
        <v>60</v>
      </c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6">
        <v>64.0</v>
      </c>
      <c r="B2089" s="35" t="str">
        <f t="array" ref="B2089">INDEX('Báo cáo 75 trang đích'!$B$2:$B$76,$A2089)</f>
        <v>https://techcombank.com/thong-tin/blog/cach-tiet-kiem-tien</v>
      </c>
      <c r="C2089" s="5" t="str">
        <f t="array" ref="C2089">INDEX('Báo cáo 75 trang đích'!$C$2:$C$76,$A2089)</f>
        <v>TD</v>
      </c>
      <c r="D2089" s="20" t="s">
        <v>1275</v>
      </c>
      <c r="E2089" s="22" t="s">
        <v>385</v>
      </c>
      <c r="F2089" s="22" t="s">
        <v>81</v>
      </c>
      <c r="G2089" s="22" t="s">
        <v>1273</v>
      </c>
      <c r="H2089" s="24" t="s">
        <v>59</v>
      </c>
      <c r="I2089" s="24" t="s">
        <v>59</v>
      </c>
      <c r="J2089" s="24" t="s">
        <v>60</v>
      </c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6">
        <v>64.0</v>
      </c>
      <c r="B2090" s="35" t="str">
        <f t="array" ref="B2090">INDEX('Báo cáo 75 trang đích'!$B$2:$B$76,$A2090)</f>
        <v>https://techcombank.com/thong-tin/blog/cach-tiet-kiem-tien</v>
      </c>
      <c r="C2090" s="5" t="str">
        <f t="array" ref="C2090">INDEX('Báo cáo 75 trang đích'!$C$2:$C$76,$A2090)</f>
        <v>TD</v>
      </c>
      <c r="D2090" s="20" t="s">
        <v>1889</v>
      </c>
      <c r="E2090" s="22" t="s">
        <v>1142</v>
      </c>
      <c r="F2090" s="22" t="s">
        <v>81</v>
      </c>
      <c r="G2090" s="22" t="s">
        <v>1883</v>
      </c>
      <c r="H2090" s="24" t="s">
        <v>59</v>
      </c>
      <c r="I2090" s="24" t="s">
        <v>59</v>
      </c>
      <c r="J2090" s="24" t="s">
        <v>60</v>
      </c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6">
        <v>64.0</v>
      </c>
      <c r="B2091" s="35" t="str">
        <f t="array" ref="B2091">INDEX('Báo cáo 75 trang đích'!$B$2:$B$76,$A2091)</f>
        <v>https://techcombank.com/thong-tin/blog/cach-tiet-kiem-tien</v>
      </c>
      <c r="C2091" s="5" t="str">
        <f t="array" ref="C2091">INDEX('Báo cáo 75 trang đích'!$C$2:$C$76,$A2091)</f>
        <v>TD</v>
      </c>
      <c r="D2091" s="20" t="s">
        <v>1582</v>
      </c>
      <c r="E2091" s="22" t="s">
        <v>385</v>
      </c>
      <c r="F2091" s="22" t="s">
        <v>81</v>
      </c>
      <c r="G2091" s="22" t="s">
        <v>1890</v>
      </c>
      <c r="H2091" s="24" t="s">
        <v>59</v>
      </c>
      <c r="I2091" s="24" t="s">
        <v>59</v>
      </c>
      <c r="J2091" s="24" t="s">
        <v>60</v>
      </c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6">
        <v>64.0</v>
      </c>
      <c r="B2092" s="35" t="str">
        <f t="array" ref="B2092">INDEX('Báo cáo 75 trang đích'!$B$2:$B$76,$A2092)</f>
        <v>https://techcombank.com/thong-tin/blog/cach-tiet-kiem-tien</v>
      </c>
      <c r="C2092" s="5" t="str">
        <f t="array" ref="C2092">INDEX('Báo cáo 75 trang đích'!$C$2:$C$76,$A2092)</f>
        <v>TD</v>
      </c>
      <c r="D2092" s="20" t="s">
        <v>1013</v>
      </c>
      <c r="E2092" s="22" t="s">
        <v>1142</v>
      </c>
      <c r="F2092" s="22" t="s">
        <v>81</v>
      </c>
      <c r="G2092" s="22" t="s">
        <v>1880</v>
      </c>
      <c r="H2092" s="24" t="s">
        <v>59</v>
      </c>
      <c r="I2092" s="24" t="s">
        <v>59</v>
      </c>
      <c r="J2092" s="24" t="s">
        <v>60</v>
      </c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6">
        <v>64.0</v>
      </c>
      <c r="B2093" s="35" t="str">
        <f t="array" ref="B2093">INDEX('Báo cáo 75 trang đích'!$B$2:$B$76,$A2093)</f>
        <v>https://techcombank.com/thong-tin/blog/cach-tiet-kiem-tien</v>
      </c>
      <c r="C2093" s="5" t="str">
        <f t="array" ref="C2093">INDEX('Báo cáo 75 trang đích'!$C$2:$C$76,$A2093)</f>
        <v>TD</v>
      </c>
      <c r="D2093" s="20" t="s">
        <v>1891</v>
      </c>
      <c r="E2093" s="22" t="s">
        <v>385</v>
      </c>
      <c r="F2093" s="22" t="s">
        <v>81</v>
      </c>
      <c r="G2093" s="22" t="s">
        <v>1880</v>
      </c>
      <c r="H2093" s="24" t="s">
        <v>59</v>
      </c>
      <c r="I2093" s="24" t="s">
        <v>59</v>
      </c>
      <c r="J2093" s="24" t="s">
        <v>60</v>
      </c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6">
        <v>64.0</v>
      </c>
      <c r="B2094" s="35" t="str">
        <f t="array" ref="B2094">INDEX('Báo cáo 75 trang đích'!$B$2:$B$76,$A2094)</f>
        <v>https://techcombank.com/thong-tin/blog/cach-tiet-kiem-tien</v>
      </c>
      <c r="C2094" s="5" t="str">
        <f t="array" ref="C2094">INDEX('Báo cáo 75 trang đích'!$C$2:$C$76,$A2094)</f>
        <v>TD</v>
      </c>
      <c r="D2094" s="20" t="s">
        <v>1121</v>
      </c>
      <c r="E2094" s="22" t="s">
        <v>1142</v>
      </c>
      <c r="F2094" s="22" t="s">
        <v>81</v>
      </c>
      <c r="G2094" s="22" t="s">
        <v>1892</v>
      </c>
      <c r="H2094" s="24" t="s">
        <v>59</v>
      </c>
      <c r="I2094" s="24" t="s">
        <v>59</v>
      </c>
      <c r="J2094" s="24" t="s">
        <v>60</v>
      </c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6">
        <v>64.0</v>
      </c>
      <c r="B2095" s="35" t="str">
        <f t="array" ref="B2095">INDEX('Báo cáo 75 trang đích'!$B$2:$B$76,$A2095)</f>
        <v>https://techcombank.com/thong-tin/blog/cach-tiet-kiem-tien</v>
      </c>
      <c r="C2095" s="5" t="str">
        <f t="array" ref="C2095">INDEX('Báo cáo 75 trang đích'!$C$2:$C$76,$A2095)</f>
        <v>TD</v>
      </c>
      <c r="D2095" s="20" t="s">
        <v>712</v>
      </c>
      <c r="E2095" s="22" t="s">
        <v>385</v>
      </c>
      <c r="F2095" s="22" t="s">
        <v>81</v>
      </c>
      <c r="G2095" s="22" t="s">
        <v>1273</v>
      </c>
      <c r="H2095" s="24" t="s">
        <v>59</v>
      </c>
      <c r="I2095" s="24" t="s">
        <v>59</v>
      </c>
      <c r="J2095" s="24" t="s">
        <v>60</v>
      </c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6">
        <v>64.0</v>
      </c>
      <c r="B2096" s="35" t="str">
        <f t="array" ref="B2096">INDEX('Báo cáo 75 trang đích'!$B$2:$B$76,$A2096)</f>
        <v>https://techcombank.com/thong-tin/blog/cach-tiet-kiem-tien</v>
      </c>
      <c r="C2096" s="5" t="str">
        <f t="array" ref="C2096">INDEX('Báo cáo 75 trang đích'!$C$2:$C$76,$A2096)</f>
        <v>TD</v>
      </c>
      <c r="D2096" s="20" t="s">
        <v>631</v>
      </c>
      <c r="E2096" s="22" t="s">
        <v>1142</v>
      </c>
      <c r="F2096" s="22" t="s">
        <v>81</v>
      </c>
      <c r="G2096" s="22" t="s">
        <v>1883</v>
      </c>
      <c r="H2096" s="24" t="s">
        <v>59</v>
      </c>
      <c r="I2096" s="24" t="s">
        <v>59</v>
      </c>
      <c r="J2096" s="24" t="s">
        <v>60</v>
      </c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6">
        <v>64.0</v>
      </c>
      <c r="B2097" s="35" t="str">
        <f t="array" ref="B2097">INDEX('Báo cáo 75 trang đích'!$B$2:$B$76,$A2097)</f>
        <v>https://techcombank.com/thong-tin/blog/cach-tiet-kiem-tien</v>
      </c>
      <c r="C2097" s="5" t="str">
        <f t="array" ref="C2097">INDEX('Báo cáo 75 trang đích'!$C$2:$C$76,$A2097)</f>
        <v>TD</v>
      </c>
      <c r="D2097" s="20" t="s">
        <v>1276</v>
      </c>
      <c r="E2097" s="22" t="s">
        <v>385</v>
      </c>
      <c r="F2097" s="22" t="s">
        <v>81</v>
      </c>
      <c r="G2097" s="22" t="s">
        <v>1273</v>
      </c>
      <c r="H2097" s="24" t="s">
        <v>59</v>
      </c>
      <c r="I2097" s="24" t="s">
        <v>59</v>
      </c>
      <c r="J2097" s="24" t="s">
        <v>60</v>
      </c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6">
        <v>64.0</v>
      </c>
      <c r="B2098" s="35" t="str">
        <f t="array" ref="B2098">INDEX('Báo cáo 75 trang đích'!$B$2:$B$76,$A2098)</f>
        <v>https://techcombank.com/thong-tin/blog/cach-tiet-kiem-tien</v>
      </c>
      <c r="C2098" s="5" t="str">
        <f t="array" ref="C2098">INDEX('Báo cáo 75 trang đích'!$C$2:$C$76,$A2098)</f>
        <v>TD</v>
      </c>
      <c r="D2098" s="20" t="s">
        <v>1893</v>
      </c>
      <c r="E2098" s="22" t="s">
        <v>1142</v>
      </c>
      <c r="F2098" s="22" t="s">
        <v>81</v>
      </c>
      <c r="G2098" s="22" t="s">
        <v>1881</v>
      </c>
      <c r="H2098" s="24" t="s">
        <v>59</v>
      </c>
      <c r="I2098" s="24" t="s">
        <v>59</v>
      </c>
      <c r="J2098" s="24" t="s">
        <v>60</v>
      </c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6">
        <v>64.0</v>
      </c>
      <c r="B2099" s="35" t="str">
        <f t="array" ref="B2099">INDEX('Báo cáo 75 trang đích'!$B$2:$B$76,$A2099)</f>
        <v>https://techcombank.com/thong-tin/blog/cach-tiet-kiem-tien</v>
      </c>
      <c r="C2099" s="5" t="str">
        <f t="array" ref="C2099">INDEX('Báo cáo 75 trang đích'!$C$2:$C$76,$A2099)</f>
        <v>TD</v>
      </c>
      <c r="D2099" s="20" t="s">
        <v>1542</v>
      </c>
      <c r="E2099" s="22" t="s">
        <v>385</v>
      </c>
      <c r="F2099" s="22" t="s">
        <v>81</v>
      </c>
      <c r="G2099" s="22" t="s">
        <v>1881</v>
      </c>
      <c r="H2099" s="24" t="s">
        <v>59</v>
      </c>
      <c r="I2099" s="24" t="s">
        <v>59</v>
      </c>
      <c r="J2099" s="24" t="s">
        <v>60</v>
      </c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6">
        <v>64.0</v>
      </c>
      <c r="B2100" s="35" t="str">
        <f t="array" ref="B2100">INDEX('Báo cáo 75 trang đích'!$B$2:$B$76,$A2100)</f>
        <v>https://techcombank.com/thong-tin/blog/cach-tiet-kiem-tien</v>
      </c>
      <c r="C2100" s="5" t="str">
        <f t="array" ref="C2100">INDEX('Báo cáo 75 trang đích'!$C$2:$C$76,$A2100)</f>
        <v>TD</v>
      </c>
      <c r="D2100" s="20" t="s">
        <v>1894</v>
      </c>
      <c r="E2100" s="22" t="s">
        <v>1142</v>
      </c>
      <c r="F2100" s="22" t="s">
        <v>81</v>
      </c>
      <c r="G2100" s="22" t="s">
        <v>1880</v>
      </c>
      <c r="H2100" s="24" t="s">
        <v>59</v>
      </c>
      <c r="I2100" s="24" t="s">
        <v>59</v>
      </c>
      <c r="J2100" s="24" t="s">
        <v>60</v>
      </c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6">
        <v>64.0</v>
      </c>
      <c r="B2101" s="35" t="str">
        <f t="array" ref="B2101">INDEX('Báo cáo 75 trang đích'!$B$2:$B$76,$A2101)</f>
        <v>https://techcombank.com/thong-tin/blog/cach-tiet-kiem-tien</v>
      </c>
      <c r="C2101" s="5" t="str">
        <f t="array" ref="C2101">INDEX('Báo cáo 75 trang đích'!$C$2:$C$76,$A2101)</f>
        <v>TD</v>
      </c>
      <c r="D2101" s="20" t="s">
        <v>1277</v>
      </c>
      <c r="E2101" s="22" t="s">
        <v>385</v>
      </c>
      <c r="F2101" s="22" t="s">
        <v>81</v>
      </c>
      <c r="G2101" s="22" t="s">
        <v>1273</v>
      </c>
      <c r="H2101" s="24" t="s">
        <v>59</v>
      </c>
      <c r="I2101" s="24" t="s">
        <v>59</v>
      </c>
      <c r="J2101" s="24" t="s">
        <v>60</v>
      </c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6">
        <v>64.0</v>
      </c>
      <c r="B2102" s="35" t="str">
        <f t="array" ref="B2102">INDEX('Báo cáo 75 trang đích'!$B$2:$B$76,$A2102)</f>
        <v>https://techcombank.com/thong-tin/blog/cach-tiet-kiem-tien</v>
      </c>
      <c r="C2102" s="5" t="str">
        <f t="array" ref="C2102">INDEX('Báo cáo 75 trang đích'!$C$2:$C$76,$A2102)</f>
        <v>TD</v>
      </c>
      <c r="D2102" s="20" t="s">
        <v>1278</v>
      </c>
      <c r="E2102" s="22" t="s">
        <v>1142</v>
      </c>
      <c r="F2102" s="22" t="s">
        <v>81</v>
      </c>
      <c r="G2102" s="22" t="s">
        <v>1273</v>
      </c>
      <c r="H2102" s="24" t="s">
        <v>59</v>
      </c>
      <c r="I2102" s="24" t="s">
        <v>59</v>
      </c>
      <c r="J2102" s="24" t="s">
        <v>60</v>
      </c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6">
        <v>64.0</v>
      </c>
      <c r="B2103" s="35" t="str">
        <f t="array" ref="B2103">INDEX('Báo cáo 75 trang đích'!$B$2:$B$76,$A2103)</f>
        <v>https://techcombank.com/thong-tin/blog/cach-tiet-kiem-tien</v>
      </c>
      <c r="C2103" s="5" t="str">
        <f t="array" ref="C2103">INDEX('Báo cáo 75 trang đích'!$C$2:$C$76,$A2103)</f>
        <v>TD</v>
      </c>
      <c r="D2103" s="20" t="s">
        <v>1081</v>
      </c>
      <c r="E2103" s="22" t="s">
        <v>385</v>
      </c>
      <c r="F2103" s="22" t="s">
        <v>81</v>
      </c>
      <c r="G2103" s="22" t="s">
        <v>1880</v>
      </c>
      <c r="H2103" s="24" t="s">
        <v>59</v>
      </c>
      <c r="I2103" s="24" t="s">
        <v>59</v>
      </c>
      <c r="J2103" s="24" t="s">
        <v>60</v>
      </c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6">
        <v>64.0</v>
      </c>
      <c r="B2104" s="35" t="str">
        <f t="array" ref="B2104">INDEX('Báo cáo 75 trang đích'!$B$2:$B$76,$A2104)</f>
        <v>https://techcombank.com/thong-tin/blog/cach-tiet-kiem-tien</v>
      </c>
      <c r="C2104" s="5" t="str">
        <f t="array" ref="C2104">INDEX('Báo cáo 75 trang đích'!$C$2:$C$76,$A2104)</f>
        <v>TD</v>
      </c>
      <c r="D2104" s="20" t="s">
        <v>1279</v>
      </c>
      <c r="E2104" s="22" t="s">
        <v>1142</v>
      </c>
      <c r="F2104" s="22" t="s">
        <v>81</v>
      </c>
      <c r="G2104" s="22" t="s">
        <v>1895</v>
      </c>
      <c r="H2104" s="24" t="s">
        <v>59</v>
      </c>
      <c r="I2104" s="24" t="s">
        <v>59</v>
      </c>
      <c r="J2104" s="24" t="s">
        <v>60</v>
      </c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6">
        <v>64.0</v>
      </c>
      <c r="B2105" s="35" t="str">
        <f t="array" ref="B2105">INDEX('Báo cáo 75 trang đích'!$B$2:$B$76,$A2105)</f>
        <v>https://techcombank.com/thong-tin/blog/cach-tiet-kiem-tien</v>
      </c>
      <c r="C2105" s="5" t="str">
        <f t="array" ref="C2105">INDEX('Báo cáo 75 trang đích'!$C$2:$C$76,$A2105)</f>
        <v>TD</v>
      </c>
      <c r="D2105" s="20" t="s">
        <v>1280</v>
      </c>
      <c r="E2105" s="22" t="s">
        <v>385</v>
      </c>
      <c r="F2105" s="22" t="s">
        <v>81</v>
      </c>
      <c r="G2105" s="22" t="s">
        <v>1273</v>
      </c>
      <c r="H2105" s="24" t="s">
        <v>59</v>
      </c>
      <c r="I2105" s="24" t="s">
        <v>59</v>
      </c>
      <c r="J2105" s="24" t="s">
        <v>60</v>
      </c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6">
        <v>64.0</v>
      </c>
      <c r="B2106" s="35" t="str">
        <f t="array" ref="B2106">INDEX('Báo cáo 75 trang đích'!$B$2:$B$76,$A2106)</f>
        <v>https://techcombank.com/thong-tin/blog/cach-tiet-kiem-tien</v>
      </c>
      <c r="C2106" s="5" t="str">
        <f t="array" ref="C2106">INDEX('Báo cáo 75 trang đích'!$C$2:$C$76,$A2106)</f>
        <v>TD</v>
      </c>
      <c r="D2106" s="20" t="s">
        <v>771</v>
      </c>
      <c r="E2106" s="22" t="s">
        <v>1142</v>
      </c>
      <c r="F2106" s="22" t="s">
        <v>81</v>
      </c>
      <c r="G2106" s="22" t="s">
        <v>1273</v>
      </c>
      <c r="H2106" s="24" t="s">
        <v>59</v>
      </c>
      <c r="I2106" s="24" t="s">
        <v>59</v>
      </c>
      <c r="J2106" s="24" t="s">
        <v>60</v>
      </c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6">
        <v>64.0</v>
      </c>
      <c r="B2107" s="35" t="str">
        <f t="array" ref="B2107">INDEX('Báo cáo 75 trang đích'!$B$2:$B$76,$A2107)</f>
        <v>https://techcombank.com/thong-tin/blog/cach-tiet-kiem-tien</v>
      </c>
      <c r="C2107" s="5" t="str">
        <f t="array" ref="C2107">INDEX('Báo cáo 75 trang đích'!$C$2:$C$76,$A2107)</f>
        <v>TD</v>
      </c>
      <c r="D2107" s="20" t="s">
        <v>1896</v>
      </c>
      <c r="E2107" s="22" t="s">
        <v>385</v>
      </c>
      <c r="F2107" s="22" t="s">
        <v>81</v>
      </c>
      <c r="G2107" s="22" t="s">
        <v>1883</v>
      </c>
      <c r="H2107" s="24" t="s">
        <v>59</v>
      </c>
      <c r="I2107" s="24" t="s">
        <v>59</v>
      </c>
      <c r="J2107" s="24" t="s">
        <v>60</v>
      </c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6">
        <v>64.0</v>
      </c>
      <c r="B2108" s="35" t="str">
        <f t="array" ref="B2108">INDEX('Báo cáo 75 trang đích'!$B$2:$B$76,$A2108)</f>
        <v>https://techcombank.com/thong-tin/blog/cach-tiet-kiem-tien</v>
      </c>
      <c r="C2108" s="5" t="str">
        <f t="array" ref="C2108">INDEX('Báo cáo 75 trang đích'!$C$2:$C$76,$A2108)</f>
        <v>TD</v>
      </c>
      <c r="D2108" s="20" t="s">
        <v>217</v>
      </c>
      <c r="E2108" s="22" t="s">
        <v>1142</v>
      </c>
      <c r="F2108" s="22" t="s">
        <v>81</v>
      </c>
      <c r="G2108" s="22" t="s">
        <v>1880</v>
      </c>
      <c r="H2108" s="24" t="s">
        <v>59</v>
      </c>
      <c r="I2108" s="24" t="s">
        <v>59</v>
      </c>
      <c r="J2108" s="24" t="s">
        <v>60</v>
      </c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6">
        <v>64.0</v>
      </c>
      <c r="B2109" s="35" t="str">
        <f t="array" ref="B2109">INDEX('Báo cáo 75 trang đích'!$B$2:$B$76,$A2109)</f>
        <v>https://techcombank.com/thong-tin/blog/cach-tiet-kiem-tien</v>
      </c>
      <c r="C2109" s="5" t="str">
        <f t="array" ref="C2109">INDEX('Báo cáo 75 trang đích'!$C$2:$C$76,$A2109)</f>
        <v>TD</v>
      </c>
      <c r="D2109" s="20" t="s">
        <v>1163</v>
      </c>
      <c r="E2109" s="22" t="s">
        <v>385</v>
      </c>
      <c r="F2109" s="22" t="s">
        <v>81</v>
      </c>
      <c r="G2109" s="22" t="s">
        <v>1880</v>
      </c>
      <c r="H2109" s="24" t="s">
        <v>59</v>
      </c>
      <c r="I2109" s="24" t="s">
        <v>59</v>
      </c>
      <c r="J2109" s="24" t="s">
        <v>60</v>
      </c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6">
        <v>64.0</v>
      </c>
      <c r="B2110" s="35" t="str">
        <f t="array" ref="B2110">INDEX('Báo cáo 75 trang đích'!$B$2:$B$76,$A2110)</f>
        <v>https://techcombank.com/thong-tin/blog/cach-tiet-kiem-tien</v>
      </c>
      <c r="C2110" s="5" t="str">
        <f t="array" ref="C2110">INDEX('Báo cáo 75 trang đích'!$C$2:$C$76,$A2110)</f>
        <v>TD</v>
      </c>
      <c r="D2110" s="20" t="s">
        <v>1897</v>
      </c>
      <c r="E2110" s="22" t="s">
        <v>1142</v>
      </c>
      <c r="F2110" s="22" t="s">
        <v>81</v>
      </c>
      <c r="G2110" s="22" t="s">
        <v>1880</v>
      </c>
      <c r="H2110" s="24" t="s">
        <v>59</v>
      </c>
      <c r="I2110" s="24" t="s">
        <v>59</v>
      </c>
      <c r="J2110" s="24" t="s">
        <v>60</v>
      </c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6">
        <v>64.0</v>
      </c>
      <c r="B2111" s="35" t="str">
        <f t="array" ref="B2111">INDEX('Báo cáo 75 trang đích'!$B$2:$B$76,$A2111)</f>
        <v>https://techcombank.com/thong-tin/blog/cach-tiet-kiem-tien</v>
      </c>
      <c r="C2111" s="5" t="str">
        <f t="array" ref="C2111">INDEX('Báo cáo 75 trang đích'!$C$2:$C$76,$A2111)</f>
        <v>TD</v>
      </c>
      <c r="D2111" s="20" t="s">
        <v>1686</v>
      </c>
      <c r="E2111" s="22" t="s">
        <v>385</v>
      </c>
      <c r="F2111" s="22" t="s">
        <v>81</v>
      </c>
      <c r="G2111" s="22" t="s">
        <v>1890</v>
      </c>
      <c r="H2111" s="24" t="s">
        <v>59</v>
      </c>
      <c r="I2111" s="24" t="s">
        <v>59</v>
      </c>
      <c r="J2111" s="24" t="s">
        <v>60</v>
      </c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6">
        <v>64.0</v>
      </c>
      <c r="B2112" s="35" t="str">
        <f t="array" ref="B2112">INDEX('Báo cáo 75 trang đích'!$B$2:$B$76,$A2112)</f>
        <v>https://techcombank.com/thong-tin/blog/cach-tiet-kiem-tien</v>
      </c>
      <c r="C2112" s="5" t="str">
        <f t="array" ref="C2112">INDEX('Báo cáo 75 trang đích'!$C$2:$C$76,$A2112)</f>
        <v>TD</v>
      </c>
      <c r="D2112" s="20" t="s">
        <v>653</v>
      </c>
      <c r="E2112" s="22" t="s">
        <v>1142</v>
      </c>
      <c r="F2112" s="22" t="s">
        <v>81</v>
      </c>
      <c r="G2112" s="22" t="s">
        <v>1881</v>
      </c>
      <c r="H2112" s="24" t="s">
        <v>59</v>
      </c>
      <c r="I2112" s="24" t="s">
        <v>59</v>
      </c>
      <c r="J2112" s="24" t="s">
        <v>60</v>
      </c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6">
        <v>64.0</v>
      </c>
      <c r="B2113" s="35" t="str">
        <f t="array" ref="B2113">INDEX('Báo cáo 75 trang đích'!$B$2:$B$76,$A2113)</f>
        <v>https://techcombank.com/thong-tin/blog/cach-tiet-kiem-tien</v>
      </c>
      <c r="C2113" s="5" t="str">
        <f t="array" ref="C2113">INDEX('Báo cáo 75 trang đích'!$C$2:$C$76,$A2113)</f>
        <v>TD</v>
      </c>
      <c r="D2113" s="20" t="s">
        <v>1281</v>
      </c>
      <c r="E2113" s="22" t="s">
        <v>385</v>
      </c>
      <c r="F2113" s="22" t="s">
        <v>81</v>
      </c>
      <c r="G2113" s="22" t="s">
        <v>1884</v>
      </c>
      <c r="H2113" s="24" t="s">
        <v>59</v>
      </c>
      <c r="I2113" s="24" t="s">
        <v>59</v>
      </c>
      <c r="J2113" s="24" t="s">
        <v>60</v>
      </c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6">
        <v>64.0</v>
      </c>
      <c r="B2114" s="35" t="str">
        <f t="array" ref="B2114">INDEX('Báo cáo 75 trang đích'!$B$2:$B$76,$A2114)</f>
        <v>https://techcombank.com/thong-tin/blog/cach-tiet-kiem-tien</v>
      </c>
      <c r="C2114" s="5" t="str">
        <f t="array" ref="C2114">INDEX('Báo cáo 75 trang đích'!$C$2:$C$76,$A2114)</f>
        <v>TD</v>
      </c>
      <c r="D2114" s="20" t="s">
        <v>1898</v>
      </c>
      <c r="E2114" s="22" t="s">
        <v>1142</v>
      </c>
      <c r="F2114" s="22" t="s">
        <v>81</v>
      </c>
      <c r="G2114" s="22" t="s">
        <v>1890</v>
      </c>
      <c r="H2114" s="24" t="s">
        <v>59</v>
      </c>
      <c r="I2114" s="24" t="s">
        <v>59</v>
      </c>
      <c r="J2114" s="24" t="s">
        <v>60</v>
      </c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6">
        <v>64.0</v>
      </c>
      <c r="B2115" s="35" t="str">
        <f t="array" ref="B2115">INDEX('Báo cáo 75 trang đích'!$B$2:$B$76,$A2115)</f>
        <v>https://techcombank.com/thong-tin/blog/cach-tiet-kiem-tien</v>
      </c>
      <c r="C2115" s="5" t="str">
        <f t="array" ref="C2115">INDEX('Báo cáo 75 trang đích'!$C$2:$C$76,$A2115)</f>
        <v>TD</v>
      </c>
      <c r="D2115" s="20" t="s">
        <v>727</v>
      </c>
      <c r="E2115" s="22" t="s">
        <v>385</v>
      </c>
      <c r="F2115" s="22" t="s">
        <v>81</v>
      </c>
      <c r="G2115" s="22" t="s">
        <v>1881</v>
      </c>
      <c r="H2115" s="24" t="s">
        <v>59</v>
      </c>
      <c r="I2115" s="24" t="s">
        <v>59</v>
      </c>
      <c r="J2115" s="24" t="s">
        <v>60</v>
      </c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6">
        <v>64.0</v>
      </c>
      <c r="B2116" s="35" t="str">
        <f t="array" ref="B2116">INDEX('Báo cáo 75 trang đích'!$B$2:$B$76,$A2116)</f>
        <v>https://techcombank.com/thong-tin/blog/cach-tiet-kiem-tien</v>
      </c>
      <c r="C2116" s="5" t="str">
        <f t="array" ref="C2116">INDEX('Báo cáo 75 trang đích'!$C$2:$C$76,$A2116)</f>
        <v>TD</v>
      </c>
      <c r="D2116" s="20" t="s">
        <v>817</v>
      </c>
      <c r="E2116" s="22" t="s">
        <v>1142</v>
      </c>
      <c r="F2116" s="22" t="s">
        <v>81</v>
      </c>
      <c r="G2116" s="22" t="s">
        <v>1881</v>
      </c>
      <c r="H2116" s="24" t="s">
        <v>59</v>
      </c>
      <c r="I2116" s="24" t="s">
        <v>59</v>
      </c>
      <c r="J2116" s="24" t="s">
        <v>60</v>
      </c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6">
        <v>64.0</v>
      </c>
      <c r="B2117" s="35" t="str">
        <f t="array" ref="B2117">INDEX('Báo cáo 75 trang đích'!$B$2:$B$76,$A2117)</f>
        <v>https://techcombank.com/thong-tin/blog/cach-tiet-kiem-tien</v>
      </c>
      <c r="C2117" s="5" t="str">
        <f t="array" ref="C2117">INDEX('Báo cáo 75 trang đích'!$C$2:$C$76,$A2117)</f>
        <v>TD</v>
      </c>
      <c r="D2117" s="20" t="s">
        <v>779</v>
      </c>
      <c r="E2117" s="22" t="s">
        <v>385</v>
      </c>
      <c r="F2117" s="22" t="s">
        <v>81</v>
      </c>
      <c r="G2117" s="22" t="s">
        <v>1273</v>
      </c>
      <c r="H2117" s="24" t="s">
        <v>59</v>
      </c>
      <c r="I2117" s="24" t="s">
        <v>59</v>
      </c>
      <c r="J2117" s="24" t="s">
        <v>60</v>
      </c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6">
        <v>64.0</v>
      </c>
      <c r="B2118" s="35" t="str">
        <f t="array" ref="B2118">INDEX('Báo cáo 75 trang đích'!$B$2:$B$76,$A2118)</f>
        <v>https://techcombank.com/thong-tin/blog/cach-tiet-kiem-tien</v>
      </c>
      <c r="C2118" s="5" t="str">
        <f t="array" ref="C2118">INDEX('Báo cáo 75 trang đích'!$C$2:$C$76,$A2118)</f>
        <v>TD</v>
      </c>
      <c r="D2118" s="20" t="s">
        <v>1283</v>
      </c>
      <c r="E2118" s="22" t="s">
        <v>1142</v>
      </c>
      <c r="F2118" s="22" t="s">
        <v>81</v>
      </c>
      <c r="G2118" s="22" t="s">
        <v>1273</v>
      </c>
      <c r="H2118" s="24" t="s">
        <v>59</v>
      </c>
      <c r="I2118" s="24" t="s">
        <v>59</v>
      </c>
      <c r="J2118" s="24" t="s">
        <v>60</v>
      </c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6">
        <v>64.0</v>
      </c>
      <c r="B2119" s="35" t="str">
        <f t="array" ref="B2119">INDEX('Báo cáo 75 trang đích'!$B$2:$B$76,$A2119)</f>
        <v>https://techcombank.com/thong-tin/blog/cach-tiet-kiem-tien</v>
      </c>
      <c r="C2119" s="5" t="str">
        <f t="array" ref="C2119">INDEX('Báo cáo 75 trang đích'!$C$2:$C$76,$A2119)</f>
        <v>TD</v>
      </c>
      <c r="D2119" s="20" t="s">
        <v>1899</v>
      </c>
      <c r="E2119" s="22" t="s">
        <v>385</v>
      </c>
      <c r="F2119" s="22" t="s">
        <v>81</v>
      </c>
      <c r="G2119" s="22" t="s">
        <v>1880</v>
      </c>
      <c r="H2119" s="24" t="s">
        <v>59</v>
      </c>
      <c r="I2119" s="24" t="s">
        <v>59</v>
      </c>
      <c r="J2119" s="24" t="s">
        <v>60</v>
      </c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6">
        <v>64.0</v>
      </c>
      <c r="B2120" s="35" t="str">
        <f t="array" ref="B2120">INDEX('Báo cáo 75 trang đích'!$B$2:$B$76,$A2120)</f>
        <v>https://techcombank.com/thong-tin/blog/cach-tiet-kiem-tien</v>
      </c>
      <c r="C2120" s="5" t="str">
        <f t="array" ref="C2120">INDEX('Báo cáo 75 trang đích'!$C$2:$C$76,$A2120)</f>
        <v>TD</v>
      </c>
      <c r="D2120" s="20" t="s">
        <v>1527</v>
      </c>
      <c r="E2120" s="22" t="s">
        <v>1142</v>
      </c>
      <c r="F2120" s="22" t="s">
        <v>81</v>
      </c>
      <c r="G2120" s="22" t="s">
        <v>1883</v>
      </c>
      <c r="H2120" s="24" t="s">
        <v>59</v>
      </c>
      <c r="I2120" s="24" t="s">
        <v>59</v>
      </c>
      <c r="J2120" s="24" t="s">
        <v>60</v>
      </c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6">
        <v>64.0</v>
      </c>
      <c r="B2121" s="35" t="str">
        <f t="array" ref="B2121">INDEX('Báo cáo 75 trang đích'!$B$2:$B$76,$A2121)</f>
        <v>https://techcombank.com/thong-tin/blog/cach-tiet-kiem-tien</v>
      </c>
      <c r="C2121" s="5" t="str">
        <f t="array" ref="C2121">INDEX('Báo cáo 75 trang đích'!$C$2:$C$76,$A2121)</f>
        <v>TD</v>
      </c>
      <c r="D2121" s="20" t="s">
        <v>1900</v>
      </c>
      <c r="E2121" s="22" t="s">
        <v>385</v>
      </c>
      <c r="F2121" s="22" t="s">
        <v>81</v>
      </c>
      <c r="G2121" s="22" t="s">
        <v>1881</v>
      </c>
      <c r="H2121" s="24" t="s">
        <v>59</v>
      </c>
      <c r="I2121" s="24" t="s">
        <v>59</v>
      </c>
      <c r="J2121" s="24" t="s">
        <v>60</v>
      </c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6">
        <v>64.0</v>
      </c>
      <c r="B2122" s="35" t="str">
        <f t="array" ref="B2122">INDEX('Báo cáo 75 trang đích'!$B$2:$B$76,$A2122)</f>
        <v>https://techcombank.com/thong-tin/blog/cach-tiet-kiem-tien</v>
      </c>
      <c r="C2122" s="5" t="str">
        <f t="array" ref="C2122">INDEX('Báo cáo 75 trang đích'!$C$2:$C$76,$A2122)</f>
        <v>TD</v>
      </c>
      <c r="D2122" s="20" t="s">
        <v>640</v>
      </c>
      <c r="E2122" s="22" t="s">
        <v>1142</v>
      </c>
      <c r="F2122" s="22" t="s">
        <v>81</v>
      </c>
      <c r="G2122" s="22" t="s">
        <v>1273</v>
      </c>
      <c r="H2122" s="24" t="s">
        <v>59</v>
      </c>
      <c r="I2122" s="24" t="s">
        <v>59</v>
      </c>
      <c r="J2122" s="24" t="s">
        <v>60</v>
      </c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6">
        <v>64.0</v>
      </c>
      <c r="B2123" s="35" t="str">
        <f t="array" ref="B2123">INDEX('Báo cáo 75 trang đích'!$B$2:$B$76,$A2123)</f>
        <v>https://techcombank.com/thong-tin/blog/cach-tiet-kiem-tien</v>
      </c>
      <c r="C2123" s="5" t="str">
        <f t="array" ref="C2123">INDEX('Báo cáo 75 trang đích'!$C$2:$C$76,$A2123)</f>
        <v>TD</v>
      </c>
      <c r="D2123" s="20" t="s">
        <v>768</v>
      </c>
      <c r="E2123" s="22" t="s">
        <v>385</v>
      </c>
      <c r="F2123" s="22" t="s">
        <v>81</v>
      </c>
      <c r="G2123" s="22" t="s">
        <v>1273</v>
      </c>
      <c r="H2123" s="24" t="s">
        <v>59</v>
      </c>
      <c r="I2123" s="24" t="s">
        <v>59</v>
      </c>
      <c r="J2123" s="24" t="s">
        <v>60</v>
      </c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6">
        <v>64.0</v>
      </c>
      <c r="B2124" s="35" t="str">
        <f t="array" ref="B2124">INDEX('Báo cáo 75 trang đích'!$B$2:$B$76,$A2124)</f>
        <v>https://techcombank.com/thong-tin/blog/cach-tiet-kiem-tien</v>
      </c>
      <c r="C2124" s="5" t="str">
        <f t="array" ref="C2124">INDEX('Báo cáo 75 trang đích'!$C$2:$C$76,$A2124)</f>
        <v>TD</v>
      </c>
      <c r="D2124" s="20" t="s">
        <v>1285</v>
      </c>
      <c r="E2124" s="22" t="s">
        <v>1142</v>
      </c>
      <c r="F2124" s="22" t="s">
        <v>81</v>
      </c>
      <c r="G2124" s="22" t="s">
        <v>1884</v>
      </c>
      <c r="H2124" s="24" t="s">
        <v>59</v>
      </c>
      <c r="I2124" s="24" t="s">
        <v>59</v>
      </c>
      <c r="J2124" s="24" t="s">
        <v>60</v>
      </c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6">
        <v>64.0</v>
      </c>
      <c r="B2125" s="35" t="str">
        <f t="array" ref="B2125">INDEX('Báo cáo 75 trang đích'!$B$2:$B$76,$A2125)</f>
        <v>https://techcombank.com/thong-tin/blog/cach-tiet-kiem-tien</v>
      </c>
      <c r="C2125" s="5" t="str">
        <f t="array" ref="C2125">INDEX('Báo cáo 75 trang đích'!$C$2:$C$76,$A2125)</f>
        <v>TD</v>
      </c>
      <c r="D2125" s="20" t="s">
        <v>1244</v>
      </c>
      <c r="E2125" s="22" t="s">
        <v>385</v>
      </c>
      <c r="F2125" s="22" t="s">
        <v>81</v>
      </c>
      <c r="G2125" s="22" t="s">
        <v>1883</v>
      </c>
      <c r="H2125" s="24" t="s">
        <v>59</v>
      </c>
      <c r="I2125" s="24" t="s">
        <v>59</v>
      </c>
      <c r="J2125" s="24" t="s">
        <v>60</v>
      </c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6">
        <v>64.0</v>
      </c>
      <c r="B2126" s="35" t="str">
        <f t="array" ref="B2126">INDEX('Báo cáo 75 trang đích'!$B$2:$B$76,$A2126)</f>
        <v>https://techcombank.com/thong-tin/blog/cach-tiet-kiem-tien</v>
      </c>
      <c r="C2126" s="5" t="str">
        <f t="array" ref="C2126">INDEX('Báo cáo 75 trang đích'!$C$2:$C$76,$A2126)</f>
        <v>TD</v>
      </c>
      <c r="D2126" s="20" t="s">
        <v>1286</v>
      </c>
      <c r="E2126" s="22" t="s">
        <v>1142</v>
      </c>
      <c r="F2126" s="22" t="s">
        <v>81</v>
      </c>
      <c r="G2126" s="22" t="s">
        <v>1273</v>
      </c>
      <c r="H2126" s="24" t="s">
        <v>59</v>
      </c>
      <c r="I2126" s="24" t="s">
        <v>59</v>
      </c>
      <c r="J2126" s="24" t="s">
        <v>60</v>
      </c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6">
        <v>64.0</v>
      </c>
      <c r="B2127" s="35" t="str">
        <f t="array" ref="B2127">INDEX('Báo cáo 75 trang đích'!$B$2:$B$76,$A2127)</f>
        <v>https://techcombank.com/thong-tin/blog/cach-tiet-kiem-tien</v>
      </c>
      <c r="C2127" s="5" t="str">
        <f t="array" ref="C2127">INDEX('Báo cáo 75 trang đích'!$C$2:$C$76,$A2127)</f>
        <v>TD</v>
      </c>
      <c r="D2127" s="20" t="s">
        <v>1287</v>
      </c>
      <c r="E2127" s="22" t="s">
        <v>385</v>
      </c>
      <c r="F2127" s="22" t="s">
        <v>81</v>
      </c>
      <c r="G2127" s="22" t="s">
        <v>1895</v>
      </c>
      <c r="H2127" s="24" t="s">
        <v>59</v>
      </c>
      <c r="I2127" s="24" t="s">
        <v>59</v>
      </c>
      <c r="J2127" s="24" t="s">
        <v>60</v>
      </c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6">
        <v>64.0</v>
      </c>
      <c r="B2128" s="35" t="str">
        <f t="array" ref="B2128">INDEX('Báo cáo 75 trang đích'!$B$2:$B$76,$A2128)</f>
        <v>https://techcombank.com/thong-tin/blog/cach-tiet-kiem-tien</v>
      </c>
      <c r="C2128" s="5" t="str">
        <f t="array" ref="C2128">INDEX('Báo cáo 75 trang đích'!$C$2:$C$76,$A2128)</f>
        <v>TD</v>
      </c>
      <c r="D2128" s="20" t="s">
        <v>1288</v>
      </c>
      <c r="E2128" s="22" t="s">
        <v>1142</v>
      </c>
      <c r="F2128" s="22" t="s">
        <v>81</v>
      </c>
      <c r="G2128" s="22" t="s">
        <v>1895</v>
      </c>
      <c r="H2128" s="24" t="s">
        <v>59</v>
      </c>
      <c r="I2128" s="24" t="s">
        <v>59</v>
      </c>
      <c r="J2128" s="24" t="s">
        <v>60</v>
      </c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6">
        <v>64.0</v>
      </c>
      <c r="B2129" s="35" t="str">
        <f t="array" ref="B2129">INDEX('Báo cáo 75 trang đích'!$B$2:$B$76,$A2129)</f>
        <v>https://techcombank.com/thong-tin/blog/cach-tiet-kiem-tien</v>
      </c>
      <c r="C2129" s="5" t="str">
        <f t="array" ref="C2129">INDEX('Báo cáo 75 trang đích'!$C$2:$C$76,$A2129)</f>
        <v>TD</v>
      </c>
      <c r="D2129" s="20" t="s">
        <v>1289</v>
      </c>
      <c r="E2129" s="22" t="s">
        <v>385</v>
      </c>
      <c r="F2129" s="22" t="s">
        <v>81</v>
      </c>
      <c r="G2129" s="22" t="s">
        <v>1884</v>
      </c>
      <c r="H2129" s="24" t="s">
        <v>59</v>
      </c>
      <c r="I2129" s="24" t="s">
        <v>59</v>
      </c>
      <c r="J2129" s="24" t="s">
        <v>60</v>
      </c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6">
        <v>64.0</v>
      </c>
      <c r="B2130" s="35" t="str">
        <f t="array" ref="B2130">INDEX('Báo cáo 75 trang đích'!$B$2:$B$76,$A2130)</f>
        <v>https://techcombank.com/thong-tin/blog/cach-tiet-kiem-tien</v>
      </c>
      <c r="C2130" s="5" t="str">
        <f t="array" ref="C2130">INDEX('Báo cáo 75 trang đích'!$C$2:$C$76,$A2130)</f>
        <v>TD</v>
      </c>
      <c r="D2130" s="20" t="s">
        <v>1901</v>
      </c>
      <c r="E2130" s="22" t="s">
        <v>1142</v>
      </c>
      <c r="F2130" s="22" t="s">
        <v>81</v>
      </c>
      <c r="G2130" s="22" t="s">
        <v>1883</v>
      </c>
      <c r="H2130" s="24" t="s">
        <v>59</v>
      </c>
      <c r="I2130" s="24" t="s">
        <v>59</v>
      </c>
      <c r="J2130" s="24" t="s">
        <v>60</v>
      </c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6">
        <v>64.0</v>
      </c>
      <c r="B2131" s="35" t="str">
        <f t="array" ref="B2131">INDEX('Báo cáo 75 trang đích'!$B$2:$B$76,$A2131)</f>
        <v>https://techcombank.com/thong-tin/blog/cach-tiet-kiem-tien</v>
      </c>
      <c r="C2131" s="5" t="str">
        <f t="array" ref="C2131">INDEX('Báo cáo 75 trang đích'!$C$2:$C$76,$A2131)</f>
        <v>TD</v>
      </c>
      <c r="D2131" s="20" t="s">
        <v>1290</v>
      </c>
      <c r="E2131" s="22" t="s">
        <v>385</v>
      </c>
      <c r="F2131" s="22" t="s">
        <v>81</v>
      </c>
      <c r="G2131" s="22" t="s">
        <v>1273</v>
      </c>
      <c r="H2131" s="24" t="s">
        <v>59</v>
      </c>
      <c r="I2131" s="24" t="s">
        <v>59</v>
      </c>
      <c r="J2131" s="24" t="s">
        <v>60</v>
      </c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6">
        <v>64.0</v>
      </c>
      <c r="B2132" s="35" t="str">
        <f t="array" ref="B2132">INDEX('Báo cáo 75 trang đích'!$B$2:$B$76,$A2132)</f>
        <v>https://techcombank.com/thong-tin/blog/cach-tiet-kiem-tien</v>
      </c>
      <c r="C2132" s="5" t="str">
        <f t="array" ref="C2132">INDEX('Báo cáo 75 trang đích'!$C$2:$C$76,$A2132)</f>
        <v>TD</v>
      </c>
      <c r="D2132" s="20" t="s">
        <v>1551</v>
      </c>
      <c r="E2132" s="22" t="s">
        <v>1142</v>
      </c>
      <c r="F2132" s="22" t="s">
        <v>81</v>
      </c>
      <c r="G2132" s="22" t="s">
        <v>1890</v>
      </c>
      <c r="H2132" s="24" t="s">
        <v>59</v>
      </c>
      <c r="I2132" s="24" t="s">
        <v>59</v>
      </c>
      <c r="J2132" s="24" t="s">
        <v>60</v>
      </c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6">
        <v>64.0</v>
      </c>
      <c r="B2133" s="35" t="str">
        <f t="array" ref="B2133">INDEX('Báo cáo 75 trang đích'!$B$2:$B$76,$A2133)</f>
        <v>https://techcombank.com/thong-tin/blog/cach-tiet-kiem-tien</v>
      </c>
      <c r="C2133" s="5" t="str">
        <f t="array" ref="C2133">INDEX('Báo cáo 75 trang đích'!$C$2:$C$76,$A2133)</f>
        <v>TD</v>
      </c>
      <c r="D2133" s="20" t="s">
        <v>1293</v>
      </c>
      <c r="E2133" s="22" t="s">
        <v>385</v>
      </c>
      <c r="F2133" s="22" t="s">
        <v>81</v>
      </c>
      <c r="G2133" s="22" t="s">
        <v>1273</v>
      </c>
      <c r="H2133" s="24" t="s">
        <v>59</v>
      </c>
      <c r="I2133" s="24" t="s">
        <v>59</v>
      </c>
      <c r="J2133" s="24" t="s">
        <v>60</v>
      </c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6">
        <v>64.0</v>
      </c>
      <c r="B2134" s="35" t="str">
        <f t="array" ref="B2134">INDEX('Báo cáo 75 trang đích'!$B$2:$B$76,$A2134)</f>
        <v>https://techcombank.com/thong-tin/blog/cach-tiet-kiem-tien</v>
      </c>
      <c r="C2134" s="5" t="str">
        <f t="array" ref="C2134">INDEX('Báo cáo 75 trang đích'!$C$2:$C$76,$A2134)</f>
        <v>TD</v>
      </c>
      <c r="D2134" s="20" t="s">
        <v>1413</v>
      </c>
      <c r="E2134" s="22" t="s">
        <v>1142</v>
      </c>
      <c r="F2134" s="22" t="s">
        <v>81</v>
      </c>
      <c r="G2134" s="22" t="s">
        <v>1883</v>
      </c>
      <c r="H2134" s="24" t="s">
        <v>59</v>
      </c>
      <c r="I2134" s="24" t="s">
        <v>59</v>
      </c>
      <c r="J2134" s="24" t="s">
        <v>60</v>
      </c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6">
        <v>64.0</v>
      </c>
      <c r="B2135" s="35" t="str">
        <f t="array" ref="B2135">INDEX('Báo cáo 75 trang đích'!$B$2:$B$76,$A2135)</f>
        <v>https://techcombank.com/thong-tin/blog/cach-tiet-kiem-tien</v>
      </c>
      <c r="C2135" s="5" t="str">
        <f t="array" ref="C2135">INDEX('Báo cáo 75 trang đích'!$C$2:$C$76,$A2135)</f>
        <v>TD</v>
      </c>
      <c r="D2135" s="20" t="s">
        <v>1294</v>
      </c>
      <c r="E2135" s="22" t="s">
        <v>385</v>
      </c>
      <c r="F2135" s="22" t="s">
        <v>81</v>
      </c>
      <c r="G2135" s="22" t="s">
        <v>1884</v>
      </c>
      <c r="H2135" s="24" t="s">
        <v>59</v>
      </c>
      <c r="I2135" s="24" t="s">
        <v>59</v>
      </c>
      <c r="J2135" s="24" t="s">
        <v>60</v>
      </c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6">
        <v>64.0</v>
      </c>
      <c r="B2136" s="35" t="str">
        <f t="array" ref="B2136">INDEX('Báo cáo 75 trang đích'!$B$2:$B$76,$A2136)</f>
        <v>https://techcombank.com/thong-tin/blog/cach-tiet-kiem-tien</v>
      </c>
      <c r="C2136" s="5" t="str">
        <f t="array" ref="C2136">INDEX('Báo cáo 75 trang đích'!$C$2:$C$76,$A2136)</f>
        <v>TD</v>
      </c>
      <c r="D2136" s="20" t="s">
        <v>931</v>
      </c>
      <c r="E2136" s="22" t="s">
        <v>1142</v>
      </c>
      <c r="F2136" s="22" t="s">
        <v>81</v>
      </c>
      <c r="G2136" s="22" t="s">
        <v>1273</v>
      </c>
      <c r="H2136" s="24" t="s">
        <v>59</v>
      </c>
      <c r="I2136" s="24" t="s">
        <v>59</v>
      </c>
      <c r="J2136" s="24" t="s">
        <v>60</v>
      </c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6">
        <v>64.0</v>
      </c>
      <c r="B2137" s="35" t="str">
        <f t="array" ref="B2137">INDEX('Báo cáo 75 trang đích'!$B$2:$B$76,$A2137)</f>
        <v>https://techcombank.com/thong-tin/blog/cach-tiet-kiem-tien</v>
      </c>
      <c r="C2137" s="5" t="str">
        <f t="array" ref="C2137">INDEX('Báo cáo 75 trang đích'!$C$2:$C$76,$A2137)</f>
        <v>TD</v>
      </c>
      <c r="D2137" s="20" t="s">
        <v>1902</v>
      </c>
      <c r="E2137" s="22" t="s">
        <v>385</v>
      </c>
      <c r="F2137" s="22" t="s">
        <v>81</v>
      </c>
      <c r="G2137" s="22" t="s">
        <v>1881</v>
      </c>
      <c r="H2137" s="24" t="s">
        <v>59</v>
      </c>
      <c r="I2137" s="24" t="s">
        <v>59</v>
      </c>
      <c r="J2137" s="24" t="s">
        <v>60</v>
      </c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6">
        <v>64.0</v>
      </c>
      <c r="B2138" s="35" t="str">
        <f t="array" ref="B2138">INDEX('Báo cáo 75 trang đích'!$B$2:$B$76,$A2138)</f>
        <v>https://techcombank.com/thong-tin/blog/cach-tiet-kiem-tien</v>
      </c>
      <c r="C2138" s="5" t="str">
        <f t="array" ref="C2138">INDEX('Báo cáo 75 trang đích'!$C$2:$C$76,$A2138)</f>
        <v>TD</v>
      </c>
      <c r="D2138" s="20" t="s">
        <v>898</v>
      </c>
      <c r="E2138" s="22" t="s">
        <v>1142</v>
      </c>
      <c r="F2138" s="22" t="s">
        <v>81</v>
      </c>
      <c r="G2138" s="22" t="s">
        <v>1273</v>
      </c>
      <c r="H2138" s="24" t="s">
        <v>59</v>
      </c>
      <c r="I2138" s="24" t="s">
        <v>59</v>
      </c>
      <c r="J2138" s="24" t="s">
        <v>60</v>
      </c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6">
        <v>64.0</v>
      </c>
      <c r="B2139" s="35" t="str">
        <f t="array" ref="B2139">INDEX('Báo cáo 75 trang đích'!$B$2:$B$76,$A2139)</f>
        <v>https://techcombank.com/thong-tin/blog/cach-tiet-kiem-tien</v>
      </c>
      <c r="C2139" s="5" t="str">
        <f t="array" ref="C2139">INDEX('Báo cáo 75 trang đích'!$C$2:$C$76,$A2139)</f>
        <v>TD</v>
      </c>
      <c r="D2139" s="20" t="s">
        <v>1295</v>
      </c>
      <c r="E2139" s="22" t="s">
        <v>385</v>
      </c>
      <c r="F2139" s="22" t="s">
        <v>81</v>
      </c>
      <c r="G2139" s="22" t="s">
        <v>1273</v>
      </c>
      <c r="H2139" s="24" t="s">
        <v>59</v>
      </c>
      <c r="I2139" s="24" t="s">
        <v>59</v>
      </c>
      <c r="J2139" s="24" t="s">
        <v>60</v>
      </c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6">
        <v>64.0</v>
      </c>
      <c r="B2140" s="35" t="str">
        <f t="array" ref="B2140">INDEX('Báo cáo 75 trang đích'!$B$2:$B$76,$A2140)</f>
        <v>https://techcombank.com/thong-tin/blog/cach-tiet-kiem-tien</v>
      </c>
      <c r="C2140" s="5" t="str">
        <f t="array" ref="C2140">INDEX('Báo cáo 75 trang đích'!$C$2:$C$76,$A2140)</f>
        <v>TD</v>
      </c>
      <c r="D2140" s="20" t="s">
        <v>1296</v>
      </c>
      <c r="E2140" s="22" t="s">
        <v>1142</v>
      </c>
      <c r="F2140" s="22" t="s">
        <v>81</v>
      </c>
      <c r="G2140" s="22" t="s">
        <v>1273</v>
      </c>
      <c r="H2140" s="24" t="s">
        <v>59</v>
      </c>
      <c r="I2140" s="24" t="s">
        <v>59</v>
      </c>
      <c r="J2140" s="24" t="s">
        <v>60</v>
      </c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6">
        <v>64.0</v>
      </c>
      <c r="B2141" s="35" t="str">
        <f t="array" ref="B2141">INDEX('Báo cáo 75 trang đích'!$B$2:$B$76,$A2141)</f>
        <v>https://techcombank.com/thong-tin/blog/cach-tiet-kiem-tien</v>
      </c>
      <c r="C2141" s="5" t="str">
        <f t="array" ref="C2141">INDEX('Báo cáo 75 trang đích'!$C$2:$C$76,$A2141)</f>
        <v>TD</v>
      </c>
      <c r="D2141" s="20" t="s">
        <v>1297</v>
      </c>
      <c r="E2141" s="22" t="s">
        <v>385</v>
      </c>
      <c r="F2141" s="22" t="s">
        <v>81</v>
      </c>
      <c r="G2141" s="22" t="s">
        <v>1273</v>
      </c>
      <c r="H2141" s="24" t="s">
        <v>59</v>
      </c>
      <c r="I2141" s="24" t="s">
        <v>59</v>
      </c>
      <c r="J2141" s="24" t="s">
        <v>60</v>
      </c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6">
        <v>65.0</v>
      </c>
      <c r="B2142" s="35" t="str">
        <f t="array" ref="B2142">INDEX('Báo cáo 75 trang đích'!$B$2:$B$76,$A2142)</f>
        <v>https://techcombank.com/thong-tin/blog/rui-ro-khi-gui-tiet-kiem-online</v>
      </c>
      <c r="C2142" s="5" t="str">
        <f t="array" ref="C2142">INDEX('Báo cáo 75 trang đích'!$C$2:$C$76,$A2142)</f>
        <v>TD</v>
      </c>
      <c r="D2142" s="20" t="s">
        <v>1149</v>
      </c>
      <c r="E2142" s="22" t="s">
        <v>390</v>
      </c>
      <c r="F2142" s="22" t="s">
        <v>57</v>
      </c>
      <c r="G2142" s="22" t="s">
        <v>1903</v>
      </c>
      <c r="H2142" s="24" t="s">
        <v>59</v>
      </c>
      <c r="I2142" s="24" t="s">
        <v>59</v>
      </c>
      <c r="J2142" s="24" t="s">
        <v>60</v>
      </c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6">
        <v>65.0</v>
      </c>
      <c r="B2143" s="35" t="str">
        <f t="array" ref="B2143">INDEX('Báo cáo 75 trang đích'!$B$2:$B$76,$A2143)</f>
        <v>https://techcombank.com/thong-tin/blog/rui-ro-khi-gui-tiet-kiem-online</v>
      </c>
      <c r="C2143" s="5" t="str">
        <f t="array" ref="C2143">INDEX('Báo cáo 75 trang đích'!$C$2:$C$76,$A2143)</f>
        <v>TD</v>
      </c>
      <c r="D2143" s="20" t="s">
        <v>1152</v>
      </c>
      <c r="E2143" s="22" t="s">
        <v>1154</v>
      </c>
      <c r="F2143" s="22" t="s">
        <v>57</v>
      </c>
      <c r="G2143" s="22" t="s">
        <v>1904</v>
      </c>
      <c r="H2143" s="24" t="s">
        <v>59</v>
      </c>
      <c r="I2143" s="24" t="s">
        <v>59</v>
      </c>
      <c r="J2143" s="24" t="s">
        <v>60</v>
      </c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6">
        <v>65.0</v>
      </c>
      <c r="B2144" s="35" t="str">
        <f t="array" ref="B2144">INDEX('Báo cáo 75 trang đích'!$B$2:$B$76,$A2144)</f>
        <v>https://techcombank.com/thong-tin/blog/rui-ro-khi-gui-tiet-kiem-online</v>
      </c>
      <c r="C2144" s="5" t="str">
        <f t="array" ref="C2144">INDEX('Báo cáo 75 trang đích'!$C$2:$C$76,$A2144)</f>
        <v>TD</v>
      </c>
      <c r="D2144" s="20" t="s">
        <v>1155</v>
      </c>
      <c r="E2144" s="22" t="s">
        <v>390</v>
      </c>
      <c r="F2144" s="22" t="s">
        <v>57</v>
      </c>
      <c r="G2144" s="22" t="s">
        <v>1905</v>
      </c>
      <c r="H2144" s="24" t="s">
        <v>59</v>
      </c>
      <c r="I2144" s="24" t="s">
        <v>59</v>
      </c>
      <c r="J2144" s="24" t="s">
        <v>60</v>
      </c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6">
        <v>65.0</v>
      </c>
      <c r="B2145" s="35" t="str">
        <f t="array" ref="B2145">INDEX('Báo cáo 75 trang đích'!$B$2:$B$76,$A2145)</f>
        <v>https://techcombank.com/thong-tin/blog/rui-ro-khi-gui-tiet-kiem-online</v>
      </c>
      <c r="C2145" s="5" t="str">
        <f t="array" ref="C2145">INDEX('Báo cáo 75 trang đích'!$C$2:$C$76,$A2145)</f>
        <v>TD</v>
      </c>
      <c r="D2145" s="20" t="s">
        <v>1158</v>
      </c>
      <c r="E2145" s="22" t="s">
        <v>1154</v>
      </c>
      <c r="F2145" s="22" t="s">
        <v>57</v>
      </c>
      <c r="G2145" s="22" t="s">
        <v>1906</v>
      </c>
      <c r="H2145" s="24" t="s">
        <v>59</v>
      </c>
      <c r="I2145" s="24" t="s">
        <v>59</v>
      </c>
      <c r="J2145" s="24" t="s">
        <v>60</v>
      </c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6">
        <v>65.0</v>
      </c>
      <c r="B2146" s="35" t="str">
        <f t="array" ref="B2146">INDEX('Báo cáo 75 trang đích'!$B$2:$B$76,$A2146)</f>
        <v>https://techcombank.com/thong-tin/blog/rui-ro-khi-gui-tiet-kiem-online</v>
      </c>
      <c r="C2146" s="5" t="str">
        <f t="array" ref="C2146">INDEX('Báo cáo 75 trang đích'!$C$2:$C$76,$A2146)</f>
        <v>TD</v>
      </c>
      <c r="D2146" s="20" t="s">
        <v>1160</v>
      </c>
      <c r="E2146" s="22" t="s">
        <v>390</v>
      </c>
      <c r="F2146" s="22" t="s">
        <v>57</v>
      </c>
      <c r="G2146" s="22" t="s">
        <v>1907</v>
      </c>
      <c r="H2146" s="24" t="s">
        <v>59</v>
      </c>
      <c r="I2146" s="24" t="s">
        <v>59</v>
      </c>
      <c r="J2146" s="24" t="s">
        <v>60</v>
      </c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6">
        <v>65.0</v>
      </c>
      <c r="B2147" s="35" t="str">
        <f t="array" ref="B2147">INDEX('Báo cáo 75 trang đích'!$B$2:$B$76,$A2147)</f>
        <v>https://techcombank.com/thong-tin/blog/rui-ro-khi-gui-tiet-kiem-online</v>
      </c>
      <c r="C2147" s="5" t="str">
        <f t="array" ref="C2147">INDEX('Báo cáo 75 trang đích'!$C$2:$C$76,$A2147)</f>
        <v>TD</v>
      </c>
      <c r="D2147" s="20" t="s">
        <v>350</v>
      </c>
      <c r="E2147" s="22" t="s">
        <v>1154</v>
      </c>
      <c r="F2147" s="22" t="s">
        <v>81</v>
      </c>
      <c r="G2147" s="22" t="s">
        <v>1908</v>
      </c>
      <c r="H2147" s="24" t="s">
        <v>59</v>
      </c>
      <c r="I2147" s="24" t="s">
        <v>59</v>
      </c>
      <c r="J2147" s="24" t="s">
        <v>60</v>
      </c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6">
        <v>65.0</v>
      </c>
      <c r="B2148" s="35" t="str">
        <f t="array" ref="B2148">INDEX('Báo cáo 75 trang đích'!$B$2:$B$76,$A2148)</f>
        <v>https://techcombank.com/thong-tin/blog/rui-ro-khi-gui-tiet-kiem-online</v>
      </c>
      <c r="C2148" s="5" t="str">
        <f t="array" ref="C2148">INDEX('Báo cáo 75 trang đích'!$C$2:$C$76,$A2148)</f>
        <v>TD</v>
      </c>
      <c r="D2148" s="20" t="s">
        <v>1757</v>
      </c>
      <c r="E2148" s="22" t="s">
        <v>390</v>
      </c>
      <c r="F2148" s="22" t="s">
        <v>81</v>
      </c>
      <c r="G2148" s="22" t="s">
        <v>1908</v>
      </c>
      <c r="H2148" s="24" t="s">
        <v>59</v>
      </c>
      <c r="I2148" s="24" t="s">
        <v>59</v>
      </c>
      <c r="J2148" s="24" t="s">
        <v>60</v>
      </c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6">
        <v>65.0</v>
      </c>
      <c r="B2149" s="35" t="str">
        <f t="array" ref="B2149">INDEX('Báo cáo 75 trang đích'!$B$2:$B$76,$A2149)</f>
        <v>https://techcombank.com/thong-tin/blog/rui-ro-khi-gui-tiet-kiem-online</v>
      </c>
      <c r="C2149" s="5" t="str">
        <f t="array" ref="C2149">INDEX('Báo cáo 75 trang đích'!$C$2:$C$76,$A2149)</f>
        <v>TD</v>
      </c>
      <c r="D2149" s="20" t="s">
        <v>1909</v>
      </c>
      <c r="E2149" s="22" t="s">
        <v>1154</v>
      </c>
      <c r="F2149" s="22" t="s">
        <v>81</v>
      </c>
      <c r="G2149" s="22" t="s">
        <v>1908</v>
      </c>
      <c r="H2149" s="24" t="s">
        <v>59</v>
      </c>
      <c r="I2149" s="24" t="s">
        <v>59</v>
      </c>
      <c r="J2149" s="24" t="s">
        <v>60</v>
      </c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6">
        <v>65.0</v>
      </c>
      <c r="B2150" s="35" t="str">
        <f t="array" ref="B2150">INDEX('Báo cáo 75 trang đích'!$B$2:$B$76,$A2150)</f>
        <v>https://techcombank.com/thong-tin/blog/rui-ro-khi-gui-tiet-kiem-online</v>
      </c>
      <c r="C2150" s="5" t="str">
        <f t="array" ref="C2150">INDEX('Báo cáo 75 trang đích'!$C$2:$C$76,$A2150)</f>
        <v>TD</v>
      </c>
      <c r="D2150" s="20" t="s">
        <v>1759</v>
      </c>
      <c r="E2150" s="22" t="s">
        <v>390</v>
      </c>
      <c r="F2150" s="22" t="s">
        <v>81</v>
      </c>
      <c r="G2150" s="22" t="s">
        <v>1908</v>
      </c>
      <c r="H2150" s="24" t="s">
        <v>59</v>
      </c>
      <c r="I2150" s="24" t="s">
        <v>59</v>
      </c>
      <c r="J2150" s="24" t="s">
        <v>60</v>
      </c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6">
        <v>65.0</v>
      </c>
      <c r="B2151" s="35" t="str">
        <f t="array" ref="B2151">INDEX('Báo cáo 75 trang đích'!$B$2:$B$76,$A2151)</f>
        <v>https://techcombank.com/thong-tin/blog/rui-ro-khi-gui-tiet-kiem-online</v>
      </c>
      <c r="C2151" s="5" t="str">
        <f t="array" ref="C2151">INDEX('Báo cáo 75 trang đích'!$C$2:$C$76,$A2151)</f>
        <v>TD</v>
      </c>
      <c r="D2151" s="20" t="s">
        <v>1885</v>
      </c>
      <c r="E2151" s="22" t="s">
        <v>1154</v>
      </c>
      <c r="F2151" s="22" t="s">
        <v>81</v>
      </c>
      <c r="G2151" s="22" t="s">
        <v>1908</v>
      </c>
      <c r="H2151" s="24" t="s">
        <v>59</v>
      </c>
      <c r="I2151" s="24" t="s">
        <v>59</v>
      </c>
      <c r="J2151" s="24" t="s">
        <v>60</v>
      </c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6">
        <v>65.0</v>
      </c>
      <c r="B2152" s="35" t="str">
        <f t="array" ref="B2152">INDEX('Báo cáo 75 trang đích'!$B$2:$B$76,$A2152)</f>
        <v>https://techcombank.com/thong-tin/blog/rui-ro-khi-gui-tiet-kiem-online</v>
      </c>
      <c r="C2152" s="5" t="str">
        <f t="array" ref="C2152">INDEX('Báo cáo 75 trang đích'!$C$2:$C$76,$A2152)</f>
        <v>TD</v>
      </c>
      <c r="D2152" s="20" t="s">
        <v>1770</v>
      </c>
      <c r="E2152" s="22" t="s">
        <v>390</v>
      </c>
      <c r="F2152" s="22" t="s">
        <v>81</v>
      </c>
      <c r="G2152" s="22" t="s">
        <v>1908</v>
      </c>
      <c r="H2152" s="24" t="s">
        <v>59</v>
      </c>
      <c r="I2152" s="24" t="s">
        <v>59</v>
      </c>
      <c r="J2152" s="24" t="s">
        <v>60</v>
      </c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6">
        <v>65.0</v>
      </c>
      <c r="B2153" s="35" t="str">
        <f t="array" ref="B2153">INDEX('Báo cáo 75 trang đích'!$B$2:$B$76,$A2153)</f>
        <v>https://techcombank.com/thong-tin/blog/rui-ro-khi-gui-tiet-kiem-online</v>
      </c>
      <c r="C2153" s="5" t="str">
        <f t="array" ref="C2153">INDEX('Báo cáo 75 trang đích'!$C$2:$C$76,$A2153)</f>
        <v>TD</v>
      </c>
      <c r="D2153" s="20" t="s">
        <v>1135</v>
      </c>
      <c r="E2153" s="22" t="s">
        <v>1154</v>
      </c>
      <c r="F2153" s="22" t="s">
        <v>81</v>
      </c>
      <c r="G2153" s="22" t="s">
        <v>1910</v>
      </c>
      <c r="H2153" s="24" t="s">
        <v>59</v>
      </c>
      <c r="I2153" s="24" t="s">
        <v>59</v>
      </c>
      <c r="J2153" s="24" t="s">
        <v>60</v>
      </c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6">
        <v>65.0</v>
      </c>
      <c r="B2154" s="35" t="str">
        <f t="array" ref="B2154">INDEX('Báo cáo 75 trang đích'!$B$2:$B$76,$A2154)</f>
        <v>https://techcombank.com/thong-tin/blog/rui-ro-khi-gui-tiet-kiem-online</v>
      </c>
      <c r="C2154" s="5" t="str">
        <f t="array" ref="C2154">INDEX('Báo cáo 75 trang đích'!$C$2:$C$76,$A2154)</f>
        <v>TD</v>
      </c>
      <c r="D2154" s="20" t="s">
        <v>1248</v>
      </c>
      <c r="E2154" s="22" t="s">
        <v>390</v>
      </c>
      <c r="F2154" s="22" t="s">
        <v>81</v>
      </c>
      <c r="G2154" s="22" t="s">
        <v>1908</v>
      </c>
      <c r="H2154" s="24" t="s">
        <v>59</v>
      </c>
      <c r="I2154" s="24" t="s">
        <v>59</v>
      </c>
      <c r="J2154" s="24" t="s">
        <v>60</v>
      </c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6">
        <v>65.0</v>
      </c>
      <c r="B2155" s="35" t="str">
        <f t="array" ref="B2155">INDEX('Báo cáo 75 trang đích'!$B$2:$B$76,$A2155)</f>
        <v>https://techcombank.com/thong-tin/blog/rui-ro-khi-gui-tiet-kiem-online</v>
      </c>
      <c r="C2155" s="5" t="str">
        <f t="array" ref="C2155">INDEX('Báo cáo 75 trang đích'!$C$2:$C$76,$A2155)</f>
        <v>TD</v>
      </c>
      <c r="D2155" s="20" t="s">
        <v>1393</v>
      </c>
      <c r="E2155" s="22" t="s">
        <v>1154</v>
      </c>
      <c r="F2155" s="22" t="s">
        <v>81</v>
      </c>
      <c r="G2155" s="22" t="s">
        <v>1908</v>
      </c>
      <c r="H2155" s="24" t="s">
        <v>59</v>
      </c>
      <c r="I2155" s="24" t="s">
        <v>59</v>
      </c>
      <c r="J2155" s="24" t="s">
        <v>60</v>
      </c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6">
        <v>65.0</v>
      </c>
      <c r="B2156" s="35" t="str">
        <f t="array" ref="B2156">INDEX('Báo cáo 75 trang đích'!$B$2:$B$76,$A2156)</f>
        <v>https://techcombank.com/thong-tin/blog/rui-ro-khi-gui-tiet-kiem-online</v>
      </c>
      <c r="C2156" s="5" t="str">
        <f t="array" ref="C2156">INDEX('Báo cáo 75 trang đích'!$C$2:$C$76,$A2156)</f>
        <v>TD</v>
      </c>
      <c r="D2156" s="20" t="s">
        <v>1676</v>
      </c>
      <c r="E2156" s="22" t="s">
        <v>390</v>
      </c>
      <c r="F2156" s="22" t="s">
        <v>81</v>
      </c>
      <c r="G2156" s="22" t="s">
        <v>1908</v>
      </c>
      <c r="H2156" s="24" t="s">
        <v>59</v>
      </c>
      <c r="I2156" s="24" t="s">
        <v>59</v>
      </c>
      <c r="J2156" s="24" t="s">
        <v>60</v>
      </c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6">
        <v>65.0</v>
      </c>
      <c r="B2157" s="35" t="str">
        <f t="array" ref="B2157">INDEX('Báo cáo 75 trang đích'!$B$2:$B$76,$A2157)</f>
        <v>https://techcombank.com/thong-tin/blog/rui-ro-khi-gui-tiet-kiem-online</v>
      </c>
      <c r="C2157" s="5" t="str">
        <f t="array" ref="C2157">INDEX('Báo cáo 75 trang đích'!$C$2:$C$76,$A2157)</f>
        <v>TD</v>
      </c>
      <c r="D2157" s="20" t="s">
        <v>1452</v>
      </c>
      <c r="E2157" s="22" t="s">
        <v>1154</v>
      </c>
      <c r="F2157" s="22" t="s">
        <v>81</v>
      </c>
      <c r="G2157" s="22" t="s">
        <v>1911</v>
      </c>
      <c r="H2157" s="24" t="s">
        <v>59</v>
      </c>
      <c r="I2157" s="24" t="s">
        <v>59</v>
      </c>
      <c r="J2157" s="24" t="s">
        <v>60</v>
      </c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6">
        <v>65.0</v>
      </c>
      <c r="B2158" s="35" t="str">
        <f t="array" ref="B2158">INDEX('Báo cáo 75 trang đích'!$B$2:$B$76,$A2158)</f>
        <v>https://techcombank.com/thong-tin/blog/rui-ro-khi-gui-tiet-kiem-online</v>
      </c>
      <c r="C2158" s="5" t="str">
        <f t="array" ref="C2158">INDEX('Báo cáo 75 trang đích'!$C$2:$C$76,$A2158)</f>
        <v>TD</v>
      </c>
      <c r="D2158" s="20" t="s">
        <v>1264</v>
      </c>
      <c r="E2158" s="22" t="s">
        <v>390</v>
      </c>
      <c r="F2158" s="22" t="s">
        <v>81</v>
      </c>
      <c r="G2158" s="22" t="s">
        <v>1908</v>
      </c>
      <c r="H2158" s="24" t="s">
        <v>59</v>
      </c>
      <c r="I2158" s="24" t="s">
        <v>59</v>
      </c>
      <c r="J2158" s="24" t="s">
        <v>60</v>
      </c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6">
        <v>65.0</v>
      </c>
      <c r="B2159" s="35" t="str">
        <f t="array" ref="B2159">INDEX('Báo cáo 75 trang đích'!$B$2:$B$76,$A2159)</f>
        <v>https://techcombank.com/thong-tin/blog/rui-ro-khi-gui-tiet-kiem-online</v>
      </c>
      <c r="C2159" s="5" t="str">
        <f t="array" ref="C2159">INDEX('Báo cáo 75 trang đích'!$C$2:$C$76,$A2159)</f>
        <v>TD</v>
      </c>
      <c r="D2159" s="20" t="s">
        <v>1538</v>
      </c>
      <c r="E2159" s="22" t="s">
        <v>1154</v>
      </c>
      <c r="F2159" s="22" t="s">
        <v>81</v>
      </c>
      <c r="G2159" s="22" t="s">
        <v>1908</v>
      </c>
      <c r="H2159" s="24" t="s">
        <v>59</v>
      </c>
      <c r="I2159" s="24" t="s">
        <v>59</v>
      </c>
      <c r="J2159" s="24" t="s">
        <v>60</v>
      </c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6">
        <v>65.0</v>
      </c>
      <c r="B2160" s="35" t="str">
        <f t="array" ref="B2160">INDEX('Báo cáo 75 trang đích'!$B$2:$B$76,$A2160)</f>
        <v>https://techcombank.com/thong-tin/blog/rui-ro-khi-gui-tiet-kiem-online</v>
      </c>
      <c r="C2160" s="5" t="str">
        <f t="array" ref="C2160">INDEX('Báo cáo 75 trang đích'!$C$2:$C$76,$A2160)</f>
        <v>TD</v>
      </c>
      <c r="D2160" s="20" t="s">
        <v>478</v>
      </c>
      <c r="E2160" s="22" t="s">
        <v>390</v>
      </c>
      <c r="F2160" s="22" t="s">
        <v>81</v>
      </c>
      <c r="G2160" s="22" t="s">
        <v>1908</v>
      </c>
      <c r="H2160" s="24" t="s">
        <v>59</v>
      </c>
      <c r="I2160" s="24" t="s">
        <v>59</v>
      </c>
      <c r="J2160" s="24" t="s">
        <v>60</v>
      </c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6">
        <v>65.0</v>
      </c>
      <c r="B2161" s="35" t="str">
        <f t="array" ref="B2161">INDEX('Báo cáo 75 trang đích'!$B$2:$B$76,$A2161)</f>
        <v>https://techcombank.com/thong-tin/blog/rui-ro-khi-gui-tiet-kiem-online</v>
      </c>
      <c r="C2161" s="5" t="str">
        <f t="array" ref="C2161">INDEX('Báo cáo 75 trang đích'!$C$2:$C$76,$A2161)</f>
        <v>TD</v>
      </c>
      <c r="D2161" s="20" t="s">
        <v>1085</v>
      </c>
      <c r="E2161" s="22" t="s">
        <v>1154</v>
      </c>
      <c r="F2161" s="22" t="s">
        <v>81</v>
      </c>
      <c r="G2161" s="22" t="s">
        <v>1910</v>
      </c>
      <c r="H2161" s="24" t="s">
        <v>59</v>
      </c>
      <c r="I2161" s="24" t="s">
        <v>59</v>
      </c>
      <c r="J2161" s="24" t="s">
        <v>60</v>
      </c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6">
        <v>65.0</v>
      </c>
      <c r="B2162" s="35" t="str">
        <f t="array" ref="B2162">INDEX('Báo cáo 75 trang đích'!$B$2:$B$76,$A2162)</f>
        <v>https://techcombank.com/thong-tin/blog/rui-ro-khi-gui-tiet-kiem-online</v>
      </c>
      <c r="C2162" s="5" t="str">
        <f t="array" ref="C2162">INDEX('Báo cáo 75 trang đích'!$C$2:$C$76,$A2162)</f>
        <v>TD</v>
      </c>
      <c r="D2162" s="20" t="s">
        <v>1679</v>
      </c>
      <c r="E2162" s="22" t="s">
        <v>390</v>
      </c>
      <c r="F2162" s="22" t="s">
        <v>81</v>
      </c>
      <c r="G2162" s="22" t="s">
        <v>1908</v>
      </c>
      <c r="H2162" s="24" t="s">
        <v>59</v>
      </c>
      <c r="I2162" s="24" t="s">
        <v>59</v>
      </c>
      <c r="J2162" s="24" t="s">
        <v>60</v>
      </c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6">
        <v>65.0</v>
      </c>
      <c r="B2163" s="35" t="str">
        <f t="array" ref="B2163">INDEX('Báo cáo 75 trang đích'!$B$2:$B$76,$A2163)</f>
        <v>https://techcombank.com/thong-tin/blog/rui-ro-khi-gui-tiet-kiem-online</v>
      </c>
      <c r="C2163" s="5" t="str">
        <f t="array" ref="C2163">INDEX('Báo cáo 75 trang đích'!$C$2:$C$76,$A2163)</f>
        <v>TD</v>
      </c>
      <c r="D2163" s="20" t="s">
        <v>693</v>
      </c>
      <c r="E2163" s="22" t="s">
        <v>1154</v>
      </c>
      <c r="F2163" s="22" t="s">
        <v>81</v>
      </c>
      <c r="G2163" s="22" t="s">
        <v>1908</v>
      </c>
      <c r="H2163" s="24" t="s">
        <v>59</v>
      </c>
      <c r="I2163" s="24" t="s">
        <v>59</v>
      </c>
      <c r="J2163" s="24" t="s">
        <v>60</v>
      </c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6">
        <v>65.0</v>
      </c>
      <c r="B2164" s="35" t="str">
        <f t="array" ref="B2164">INDEX('Báo cáo 75 trang đích'!$B$2:$B$76,$A2164)</f>
        <v>https://techcombank.com/thong-tin/blog/rui-ro-khi-gui-tiet-kiem-online</v>
      </c>
      <c r="C2164" s="5" t="str">
        <f t="array" ref="C2164">INDEX('Báo cáo 75 trang đích'!$C$2:$C$76,$A2164)</f>
        <v>TD</v>
      </c>
      <c r="D2164" s="20" t="s">
        <v>395</v>
      </c>
      <c r="E2164" s="22" t="s">
        <v>390</v>
      </c>
      <c r="F2164" s="22" t="s">
        <v>81</v>
      </c>
      <c r="G2164" s="22" t="s">
        <v>1908</v>
      </c>
      <c r="H2164" s="24" t="s">
        <v>59</v>
      </c>
      <c r="I2164" s="24" t="s">
        <v>59</v>
      </c>
      <c r="J2164" s="24" t="s">
        <v>60</v>
      </c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6">
        <v>65.0</v>
      </c>
      <c r="B2165" s="35" t="str">
        <f t="array" ref="B2165">INDEX('Báo cáo 75 trang đích'!$B$2:$B$76,$A2165)</f>
        <v>https://techcombank.com/thong-tin/blog/rui-ro-khi-gui-tiet-kiem-online</v>
      </c>
      <c r="C2165" s="5" t="str">
        <f t="array" ref="C2165">INDEX('Báo cáo 75 trang đích'!$C$2:$C$76,$A2165)</f>
        <v>TD</v>
      </c>
      <c r="D2165" s="20" t="s">
        <v>210</v>
      </c>
      <c r="E2165" s="22" t="s">
        <v>1154</v>
      </c>
      <c r="F2165" s="22" t="s">
        <v>81</v>
      </c>
      <c r="G2165" s="22" t="s">
        <v>1908</v>
      </c>
      <c r="H2165" s="24" t="s">
        <v>59</v>
      </c>
      <c r="I2165" s="24" t="s">
        <v>59</v>
      </c>
      <c r="J2165" s="24" t="s">
        <v>60</v>
      </c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6">
        <v>65.0</v>
      </c>
      <c r="B2166" s="35" t="str">
        <f t="array" ref="B2166">INDEX('Báo cáo 75 trang đích'!$B$2:$B$76,$A2166)</f>
        <v>https://techcombank.com/thong-tin/blog/rui-ro-khi-gui-tiet-kiem-online</v>
      </c>
      <c r="C2166" s="5" t="str">
        <f t="array" ref="C2166">INDEX('Báo cáo 75 trang đích'!$C$2:$C$76,$A2166)</f>
        <v>TD</v>
      </c>
      <c r="D2166" s="20" t="s">
        <v>1543</v>
      </c>
      <c r="E2166" s="22" t="s">
        <v>390</v>
      </c>
      <c r="F2166" s="22" t="s">
        <v>81</v>
      </c>
      <c r="G2166" s="22" t="s">
        <v>1908</v>
      </c>
      <c r="H2166" s="24" t="s">
        <v>59</v>
      </c>
      <c r="I2166" s="24" t="s">
        <v>59</v>
      </c>
      <c r="J2166" s="24" t="s">
        <v>60</v>
      </c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6">
        <v>65.0</v>
      </c>
      <c r="B2167" s="35" t="str">
        <f t="array" ref="B2167">INDEX('Báo cáo 75 trang đích'!$B$2:$B$76,$A2167)</f>
        <v>https://techcombank.com/thong-tin/blog/rui-ro-khi-gui-tiet-kiem-online</v>
      </c>
      <c r="C2167" s="5" t="str">
        <f t="array" ref="C2167">INDEX('Báo cáo 75 trang đích'!$C$2:$C$76,$A2167)</f>
        <v>TD</v>
      </c>
      <c r="D2167" s="20" t="s">
        <v>217</v>
      </c>
      <c r="E2167" s="22" t="s">
        <v>1154</v>
      </c>
      <c r="F2167" s="22" t="s">
        <v>81</v>
      </c>
      <c r="G2167" s="22" t="s">
        <v>1908</v>
      </c>
      <c r="H2167" s="24" t="s">
        <v>59</v>
      </c>
      <c r="I2167" s="24" t="s">
        <v>59</v>
      </c>
      <c r="J2167" s="24" t="s">
        <v>60</v>
      </c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6">
        <v>65.0</v>
      </c>
      <c r="B2168" s="35" t="str">
        <f t="array" ref="B2168">INDEX('Báo cáo 75 trang đích'!$B$2:$B$76,$A2168)</f>
        <v>https://techcombank.com/thong-tin/blog/rui-ro-khi-gui-tiet-kiem-online</v>
      </c>
      <c r="C2168" s="5" t="str">
        <f t="array" ref="C2168">INDEX('Báo cáo 75 trang đích'!$C$2:$C$76,$A2168)</f>
        <v>TD</v>
      </c>
      <c r="D2168" s="20" t="s">
        <v>796</v>
      </c>
      <c r="E2168" s="22" t="s">
        <v>390</v>
      </c>
      <c r="F2168" s="22" t="s">
        <v>81</v>
      </c>
      <c r="G2168" s="22" t="s">
        <v>1911</v>
      </c>
      <c r="H2168" s="24" t="s">
        <v>59</v>
      </c>
      <c r="I2168" s="24" t="s">
        <v>59</v>
      </c>
      <c r="J2168" s="24" t="s">
        <v>60</v>
      </c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6">
        <v>65.0</v>
      </c>
      <c r="B2169" s="35" t="str">
        <f t="array" ref="B2169">INDEX('Báo cáo 75 trang đích'!$B$2:$B$76,$A2169)</f>
        <v>https://techcombank.com/thong-tin/blog/rui-ro-khi-gui-tiet-kiem-online</v>
      </c>
      <c r="C2169" s="5" t="str">
        <f t="array" ref="C2169">INDEX('Báo cáo 75 trang đích'!$C$2:$C$76,$A2169)</f>
        <v>TD</v>
      </c>
      <c r="D2169" s="20" t="s">
        <v>1912</v>
      </c>
      <c r="E2169" s="22" t="s">
        <v>1154</v>
      </c>
      <c r="F2169" s="22" t="s">
        <v>81</v>
      </c>
      <c r="G2169" s="22" t="s">
        <v>1908</v>
      </c>
      <c r="H2169" s="24" t="s">
        <v>59</v>
      </c>
      <c r="I2169" s="24" t="s">
        <v>59</v>
      </c>
      <c r="J2169" s="24" t="s">
        <v>60</v>
      </c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6">
        <v>65.0</v>
      </c>
      <c r="B2170" s="35" t="str">
        <f t="array" ref="B2170">INDEX('Báo cáo 75 trang đích'!$B$2:$B$76,$A2170)</f>
        <v>https://techcombank.com/thong-tin/blog/rui-ro-khi-gui-tiet-kiem-online</v>
      </c>
      <c r="C2170" s="5" t="str">
        <f t="array" ref="C2170">INDEX('Báo cáo 75 trang đích'!$C$2:$C$76,$A2170)</f>
        <v>TD</v>
      </c>
      <c r="D2170" s="20" t="s">
        <v>500</v>
      </c>
      <c r="E2170" s="22" t="s">
        <v>390</v>
      </c>
      <c r="F2170" s="22" t="s">
        <v>81</v>
      </c>
      <c r="G2170" s="22" t="s">
        <v>1908</v>
      </c>
      <c r="H2170" s="24" t="s">
        <v>59</v>
      </c>
      <c r="I2170" s="24" t="s">
        <v>59</v>
      </c>
      <c r="J2170" s="24" t="s">
        <v>60</v>
      </c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6">
        <v>65.0</v>
      </c>
      <c r="B2171" s="35" t="str">
        <f t="array" ref="B2171">INDEX('Báo cáo 75 trang đích'!$B$2:$B$76,$A2171)</f>
        <v>https://techcombank.com/thong-tin/blog/rui-ro-khi-gui-tiet-kiem-online</v>
      </c>
      <c r="C2171" s="5" t="str">
        <f t="array" ref="C2171">INDEX('Báo cáo 75 trang đích'!$C$2:$C$76,$A2171)</f>
        <v>TD</v>
      </c>
      <c r="D2171" s="20" t="s">
        <v>1217</v>
      </c>
      <c r="E2171" s="22" t="s">
        <v>1154</v>
      </c>
      <c r="F2171" s="22" t="s">
        <v>81</v>
      </c>
      <c r="G2171" s="22" t="s">
        <v>1908</v>
      </c>
      <c r="H2171" s="24" t="s">
        <v>59</v>
      </c>
      <c r="I2171" s="24" t="s">
        <v>59</v>
      </c>
      <c r="J2171" s="24" t="s">
        <v>60</v>
      </c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6">
        <v>65.0</v>
      </c>
      <c r="B2172" s="35" t="str">
        <f t="array" ref="B2172">INDEX('Báo cáo 75 trang đích'!$B$2:$B$76,$A2172)</f>
        <v>https://techcombank.com/thong-tin/blog/rui-ro-khi-gui-tiet-kiem-online</v>
      </c>
      <c r="C2172" s="5" t="str">
        <f t="array" ref="C2172">INDEX('Báo cáo 75 trang đích'!$C$2:$C$76,$A2172)</f>
        <v>TD</v>
      </c>
      <c r="D2172" s="20" t="s">
        <v>1426</v>
      </c>
      <c r="E2172" s="22" t="s">
        <v>390</v>
      </c>
      <c r="F2172" s="22" t="s">
        <v>81</v>
      </c>
      <c r="G2172" s="22" t="s">
        <v>1908</v>
      </c>
      <c r="H2172" s="24" t="s">
        <v>59</v>
      </c>
      <c r="I2172" s="24" t="s">
        <v>59</v>
      </c>
      <c r="J2172" s="24" t="s">
        <v>60</v>
      </c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6">
        <v>65.0</v>
      </c>
      <c r="B2173" s="35" t="str">
        <f t="array" ref="B2173">INDEX('Báo cáo 75 trang đích'!$B$2:$B$76,$A2173)</f>
        <v>https://techcombank.com/thong-tin/blog/rui-ro-khi-gui-tiet-kiem-online</v>
      </c>
      <c r="C2173" s="5" t="str">
        <f t="array" ref="C2173">INDEX('Báo cáo 75 trang đích'!$C$2:$C$76,$A2173)</f>
        <v>TD</v>
      </c>
      <c r="D2173" s="20" t="s">
        <v>1913</v>
      </c>
      <c r="E2173" s="22" t="s">
        <v>1154</v>
      </c>
      <c r="F2173" s="22" t="s">
        <v>81</v>
      </c>
      <c r="G2173" s="22" t="s">
        <v>1908</v>
      </c>
      <c r="H2173" s="24" t="s">
        <v>59</v>
      </c>
      <c r="I2173" s="24" t="s">
        <v>59</v>
      </c>
      <c r="J2173" s="24" t="s">
        <v>60</v>
      </c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6">
        <v>65.0</v>
      </c>
      <c r="B2174" s="35" t="str">
        <f t="array" ref="B2174">INDEX('Báo cáo 75 trang đích'!$B$2:$B$76,$A2174)</f>
        <v>https://techcombank.com/thong-tin/blog/rui-ro-khi-gui-tiet-kiem-online</v>
      </c>
      <c r="C2174" s="5" t="str">
        <f t="array" ref="C2174">INDEX('Báo cáo 75 trang đích'!$C$2:$C$76,$A2174)</f>
        <v>TD</v>
      </c>
      <c r="D2174" s="20" t="s">
        <v>1115</v>
      </c>
      <c r="E2174" s="22" t="s">
        <v>390</v>
      </c>
      <c r="F2174" s="22" t="s">
        <v>81</v>
      </c>
      <c r="G2174" s="22" t="s">
        <v>1910</v>
      </c>
      <c r="H2174" s="24" t="s">
        <v>59</v>
      </c>
      <c r="I2174" s="24" t="s">
        <v>59</v>
      </c>
      <c r="J2174" s="24" t="s">
        <v>60</v>
      </c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6">
        <v>65.0</v>
      </c>
      <c r="B2175" s="35" t="str">
        <f t="array" ref="B2175">INDEX('Báo cáo 75 trang đích'!$B$2:$B$76,$A2175)</f>
        <v>https://techcombank.com/thong-tin/blog/rui-ro-khi-gui-tiet-kiem-online</v>
      </c>
      <c r="C2175" s="5" t="str">
        <f t="array" ref="C2175">INDEX('Báo cáo 75 trang đích'!$C$2:$C$76,$A2175)</f>
        <v>TD</v>
      </c>
      <c r="D2175" s="20" t="s">
        <v>573</v>
      </c>
      <c r="E2175" s="22" t="s">
        <v>1154</v>
      </c>
      <c r="F2175" s="22" t="s">
        <v>81</v>
      </c>
      <c r="G2175" s="22" t="s">
        <v>1908</v>
      </c>
      <c r="H2175" s="24" t="s">
        <v>59</v>
      </c>
      <c r="I2175" s="24" t="s">
        <v>59</v>
      </c>
      <c r="J2175" s="24" t="s">
        <v>60</v>
      </c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6">
        <v>65.0</v>
      </c>
      <c r="B2176" s="35" t="str">
        <f t="array" ref="B2176">INDEX('Báo cáo 75 trang đích'!$B$2:$B$76,$A2176)</f>
        <v>https://techcombank.com/thong-tin/blog/rui-ro-khi-gui-tiet-kiem-online</v>
      </c>
      <c r="C2176" s="5" t="str">
        <f t="array" ref="C2176">INDEX('Báo cáo 75 trang đích'!$C$2:$C$76,$A2176)</f>
        <v>TD</v>
      </c>
      <c r="D2176" s="20" t="s">
        <v>225</v>
      </c>
      <c r="E2176" s="22" t="s">
        <v>390</v>
      </c>
      <c r="F2176" s="22" t="s">
        <v>81</v>
      </c>
      <c r="G2176" s="22" t="s">
        <v>1908</v>
      </c>
      <c r="H2176" s="24" t="s">
        <v>59</v>
      </c>
      <c r="I2176" s="24" t="s">
        <v>59</v>
      </c>
      <c r="J2176" s="24" t="s">
        <v>60</v>
      </c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6">
        <v>65.0</v>
      </c>
      <c r="B2177" s="35" t="str">
        <f t="array" ref="B2177">INDEX('Báo cáo 75 trang đích'!$B$2:$B$76,$A2177)</f>
        <v>https://techcombank.com/thong-tin/blog/rui-ro-khi-gui-tiet-kiem-online</v>
      </c>
      <c r="C2177" s="5" t="str">
        <f t="array" ref="C2177">INDEX('Báo cáo 75 trang đích'!$C$2:$C$76,$A2177)</f>
        <v>TD</v>
      </c>
      <c r="D2177" s="20" t="s">
        <v>1550</v>
      </c>
      <c r="E2177" s="22" t="s">
        <v>1154</v>
      </c>
      <c r="F2177" s="22" t="s">
        <v>81</v>
      </c>
      <c r="G2177" s="22" t="s">
        <v>1910</v>
      </c>
      <c r="H2177" s="24" t="s">
        <v>59</v>
      </c>
      <c r="I2177" s="24" t="s">
        <v>59</v>
      </c>
      <c r="J2177" s="24" t="s">
        <v>60</v>
      </c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6">
        <v>65.0</v>
      </c>
      <c r="B2178" s="35" t="str">
        <f t="array" ref="B2178">INDEX('Báo cáo 75 trang đích'!$B$2:$B$76,$A2178)</f>
        <v>https://techcombank.com/thong-tin/blog/rui-ro-khi-gui-tiet-kiem-online</v>
      </c>
      <c r="C2178" s="5" t="str">
        <f t="array" ref="C2178">INDEX('Báo cáo 75 trang đích'!$C$2:$C$76,$A2178)</f>
        <v>TD</v>
      </c>
      <c r="D2178" s="20" t="s">
        <v>1139</v>
      </c>
      <c r="E2178" s="22" t="s">
        <v>390</v>
      </c>
      <c r="F2178" s="22" t="s">
        <v>81</v>
      </c>
      <c r="G2178" s="22" t="s">
        <v>1908</v>
      </c>
      <c r="H2178" s="24" t="s">
        <v>59</v>
      </c>
      <c r="I2178" s="24" t="s">
        <v>59</v>
      </c>
      <c r="J2178" s="24" t="s">
        <v>60</v>
      </c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6">
        <v>65.0</v>
      </c>
      <c r="B2179" s="35" t="str">
        <f t="array" ref="B2179">INDEX('Báo cáo 75 trang đích'!$B$2:$B$76,$A2179)</f>
        <v>https://techcombank.com/thong-tin/blog/rui-ro-khi-gui-tiet-kiem-online</v>
      </c>
      <c r="C2179" s="5" t="str">
        <f t="array" ref="C2179">INDEX('Báo cáo 75 trang đích'!$C$2:$C$76,$A2179)</f>
        <v>TD</v>
      </c>
      <c r="D2179" s="20" t="s">
        <v>1095</v>
      </c>
      <c r="E2179" s="22" t="s">
        <v>1154</v>
      </c>
      <c r="F2179" s="22" t="s">
        <v>81</v>
      </c>
      <c r="G2179" s="22" t="s">
        <v>1910</v>
      </c>
      <c r="H2179" s="24" t="s">
        <v>59</v>
      </c>
      <c r="I2179" s="24" t="s">
        <v>59</v>
      </c>
      <c r="J2179" s="24" t="s">
        <v>60</v>
      </c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6">
        <v>65.0</v>
      </c>
      <c r="B2180" s="35" t="str">
        <f t="array" ref="B2180">INDEX('Báo cáo 75 trang đích'!$B$2:$B$76,$A2180)</f>
        <v>https://techcombank.com/thong-tin/blog/rui-ro-khi-gui-tiet-kiem-online</v>
      </c>
      <c r="C2180" s="5" t="str">
        <f t="array" ref="C2180">INDEX('Báo cáo 75 trang đích'!$C$2:$C$76,$A2180)</f>
        <v>TD</v>
      </c>
      <c r="D2180" s="20" t="s">
        <v>393</v>
      </c>
      <c r="E2180" s="22" t="s">
        <v>390</v>
      </c>
      <c r="F2180" s="22" t="s">
        <v>81</v>
      </c>
      <c r="G2180" s="22" t="s">
        <v>1908</v>
      </c>
      <c r="H2180" s="24" t="s">
        <v>59</v>
      </c>
      <c r="I2180" s="24" t="s">
        <v>59</v>
      </c>
      <c r="J2180" s="24" t="s">
        <v>60</v>
      </c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6">
        <v>65.0</v>
      </c>
      <c r="B2181" s="35" t="str">
        <f t="array" ref="B2181">INDEX('Báo cáo 75 trang đích'!$B$2:$B$76,$A2181)</f>
        <v>https://techcombank.com/thong-tin/blog/rui-ro-khi-gui-tiet-kiem-online</v>
      </c>
      <c r="C2181" s="5" t="str">
        <f t="array" ref="C2181">INDEX('Báo cáo 75 trang đích'!$C$2:$C$76,$A2181)</f>
        <v>TD</v>
      </c>
      <c r="D2181" s="20" t="s">
        <v>233</v>
      </c>
      <c r="E2181" s="22" t="s">
        <v>1154</v>
      </c>
      <c r="F2181" s="22" t="s">
        <v>81</v>
      </c>
      <c r="G2181" s="22" t="s">
        <v>1908</v>
      </c>
      <c r="H2181" s="24" t="s">
        <v>59</v>
      </c>
      <c r="I2181" s="24" t="s">
        <v>59</v>
      </c>
      <c r="J2181" s="24" t="s">
        <v>60</v>
      </c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6">
        <v>65.0</v>
      </c>
      <c r="B2182" s="35" t="str">
        <f t="array" ref="B2182">INDEX('Báo cáo 75 trang đích'!$B$2:$B$76,$A2182)</f>
        <v>https://techcombank.com/thong-tin/blog/rui-ro-khi-gui-tiet-kiem-online</v>
      </c>
      <c r="C2182" s="5" t="str">
        <f t="array" ref="C2182">INDEX('Báo cáo 75 trang đích'!$C$2:$C$76,$A2182)</f>
        <v>TD</v>
      </c>
      <c r="D2182" s="20" t="s">
        <v>1661</v>
      </c>
      <c r="E2182" s="22" t="s">
        <v>390</v>
      </c>
      <c r="F2182" s="22" t="s">
        <v>81</v>
      </c>
      <c r="G2182" s="22" t="s">
        <v>1908</v>
      </c>
      <c r="H2182" s="24" t="s">
        <v>59</v>
      </c>
      <c r="I2182" s="24" t="s">
        <v>59</v>
      </c>
      <c r="J2182" s="24" t="s">
        <v>60</v>
      </c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6">
        <v>65.0</v>
      </c>
      <c r="B2183" s="35" t="str">
        <f t="array" ref="B2183">INDEX('Báo cáo 75 trang đích'!$B$2:$B$76,$A2183)</f>
        <v>https://techcombank.com/thong-tin/blog/rui-ro-khi-gui-tiet-kiem-online</v>
      </c>
      <c r="C2183" s="5" t="str">
        <f t="array" ref="C2183">INDEX('Báo cáo 75 trang đích'!$C$2:$C$76,$A2183)</f>
        <v>TD</v>
      </c>
      <c r="D2183" s="20" t="s">
        <v>1662</v>
      </c>
      <c r="E2183" s="22" t="s">
        <v>1154</v>
      </c>
      <c r="F2183" s="22" t="s">
        <v>81</v>
      </c>
      <c r="G2183" s="22" t="s">
        <v>1908</v>
      </c>
      <c r="H2183" s="24" t="s">
        <v>59</v>
      </c>
      <c r="I2183" s="24" t="s">
        <v>59</v>
      </c>
      <c r="J2183" s="24" t="s">
        <v>60</v>
      </c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6">
        <v>66.0</v>
      </c>
      <c r="B2184" s="35" t="str">
        <f t="array" ref="B2184">INDEX('Báo cáo 75 trang đích'!$B$2:$B$76,$A2184)</f>
        <v>https://techcombank.com/cong-cu-tien-ich/cong-cu-tinh-toan/bang-tinh-lai-suat-vay</v>
      </c>
      <c r="C2184" s="5" t="str">
        <f t="array" ref="C2184">INDEX('Báo cáo 75 trang đích'!$C$2:$C$76,$A2184)</f>
        <v>Tool</v>
      </c>
      <c r="D2184" s="20" t="s">
        <v>1163</v>
      </c>
      <c r="E2184" s="22" t="s">
        <v>394</v>
      </c>
      <c r="F2184" s="22" t="s">
        <v>57</v>
      </c>
      <c r="G2184" s="22" t="s">
        <v>1914</v>
      </c>
      <c r="H2184" s="24" t="s">
        <v>59</v>
      </c>
      <c r="I2184" s="24" t="s">
        <v>59</v>
      </c>
      <c r="J2184" s="24" t="s">
        <v>60</v>
      </c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6">
        <v>66.0</v>
      </c>
      <c r="B2185" s="35" t="str">
        <f t="array" ref="B2185">INDEX('Báo cáo 75 trang đích'!$B$2:$B$76,$A2185)</f>
        <v>https://techcombank.com/cong-cu-tien-ich/cong-cu-tinh-toan/bang-tinh-lai-suat-vay</v>
      </c>
      <c r="C2185" s="5" t="str">
        <f t="array" ref="C2185">INDEX('Báo cáo 75 trang đích'!$C$2:$C$76,$A2185)</f>
        <v>Tool</v>
      </c>
      <c r="D2185" s="20" t="s">
        <v>1166</v>
      </c>
      <c r="E2185" s="22" t="s">
        <v>1169</v>
      </c>
      <c r="F2185" s="22" t="s">
        <v>57</v>
      </c>
      <c r="G2185" s="22" t="s">
        <v>1915</v>
      </c>
      <c r="H2185" s="24" t="s">
        <v>59</v>
      </c>
      <c r="I2185" s="24" t="s">
        <v>59</v>
      </c>
      <c r="J2185" s="24" t="s">
        <v>60</v>
      </c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6">
        <v>66.0</v>
      </c>
      <c r="B2186" s="35" t="str">
        <f t="array" ref="B2186">INDEX('Báo cáo 75 trang đích'!$B$2:$B$76,$A2186)</f>
        <v>https://techcombank.com/cong-cu-tien-ich/cong-cu-tinh-toan/bang-tinh-lai-suat-vay</v>
      </c>
      <c r="C2186" s="5" t="str">
        <f t="array" ref="C2186">INDEX('Báo cáo 75 trang đích'!$C$2:$C$76,$A2186)</f>
        <v>Tool</v>
      </c>
      <c r="D2186" s="20" t="s">
        <v>1170</v>
      </c>
      <c r="E2186" s="22" t="s">
        <v>1172</v>
      </c>
      <c r="F2186" s="22" t="s">
        <v>57</v>
      </c>
      <c r="G2186" s="22" t="s">
        <v>1916</v>
      </c>
      <c r="H2186" s="24" t="s">
        <v>59</v>
      </c>
      <c r="I2186" s="24" t="s">
        <v>59</v>
      </c>
      <c r="J2186" s="24" t="s">
        <v>60</v>
      </c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6">
        <v>66.0</v>
      </c>
      <c r="B2187" s="35" t="str">
        <f t="array" ref="B2187">INDEX('Báo cáo 75 trang đích'!$B$2:$B$76,$A2187)</f>
        <v>https://techcombank.com/cong-cu-tien-ich/cong-cu-tinh-toan/bang-tinh-lai-suat-vay</v>
      </c>
      <c r="C2187" s="5" t="str">
        <f t="array" ref="C2187">INDEX('Báo cáo 75 trang đích'!$C$2:$C$76,$A2187)</f>
        <v>Tool</v>
      </c>
      <c r="D2187" s="20" t="s">
        <v>1057</v>
      </c>
      <c r="E2187" s="22" t="s">
        <v>394</v>
      </c>
      <c r="F2187" s="22" t="s">
        <v>76</v>
      </c>
      <c r="G2187" s="22" t="s">
        <v>1917</v>
      </c>
      <c r="H2187" s="24" t="s">
        <v>59</v>
      </c>
      <c r="I2187" s="24" t="s">
        <v>59</v>
      </c>
      <c r="J2187" s="24" t="s">
        <v>60</v>
      </c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6">
        <v>66.0</v>
      </c>
      <c r="B2188" s="35" t="str">
        <f t="array" ref="B2188">INDEX('Báo cáo 75 trang đích'!$B$2:$B$76,$A2188)</f>
        <v>https://techcombank.com/cong-cu-tien-ich/cong-cu-tinh-toan/bang-tinh-lai-suat-vay</v>
      </c>
      <c r="C2188" s="5" t="str">
        <f t="array" ref="C2188">INDEX('Báo cáo 75 trang đích'!$C$2:$C$76,$A2188)</f>
        <v>Tool</v>
      </c>
      <c r="D2188" s="20" t="s">
        <v>1175</v>
      </c>
      <c r="E2188" s="22" t="s">
        <v>1169</v>
      </c>
      <c r="F2188" s="22" t="s">
        <v>76</v>
      </c>
      <c r="G2188" s="22" t="s">
        <v>1918</v>
      </c>
      <c r="H2188" s="24" t="s">
        <v>59</v>
      </c>
      <c r="I2188" s="24" t="s">
        <v>59</v>
      </c>
      <c r="J2188" s="24" t="s">
        <v>60</v>
      </c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6">
        <v>66.0</v>
      </c>
      <c r="B2189" s="35" t="str">
        <f t="array" ref="B2189">INDEX('Báo cáo 75 trang đích'!$B$2:$B$76,$A2189)</f>
        <v>https://techcombank.com/cong-cu-tien-ich/cong-cu-tinh-toan/bang-tinh-lai-suat-vay</v>
      </c>
      <c r="C2189" s="5" t="str">
        <f t="array" ref="C2189">INDEX('Báo cáo 75 trang đích'!$C$2:$C$76,$A2189)</f>
        <v>Tool</v>
      </c>
      <c r="D2189" s="20" t="s">
        <v>1753</v>
      </c>
      <c r="E2189" s="22" t="s">
        <v>1172</v>
      </c>
      <c r="F2189" s="22" t="s">
        <v>81</v>
      </c>
      <c r="G2189" s="22" t="s">
        <v>1810</v>
      </c>
      <c r="H2189" s="24" t="s">
        <v>59</v>
      </c>
      <c r="I2189" s="24" t="s">
        <v>59</v>
      </c>
      <c r="J2189" s="24" t="s">
        <v>60</v>
      </c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6">
        <v>66.0</v>
      </c>
      <c r="B2190" s="35" t="str">
        <f t="array" ref="B2190">INDEX('Báo cáo 75 trang đích'!$B$2:$B$76,$A2190)</f>
        <v>https://techcombank.com/cong-cu-tien-ich/cong-cu-tinh-toan/bang-tinh-lai-suat-vay</v>
      </c>
      <c r="C2190" s="5" t="str">
        <f t="array" ref="C2190">INDEX('Báo cáo 75 trang đích'!$C$2:$C$76,$A2190)</f>
        <v>Tool</v>
      </c>
      <c r="D2190" s="20" t="s">
        <v>1673</v>
      </c>
      <c r="E2190" s="22" t="s">
        <v>394</v>
      </c>
      <c r="F2190" s="22" t="s">
        <v>81</v>
      </c>
      <c r="G2190" s="22" t="s">
        <v>1811</v>
      </c>
      <c r="H2190" s="24" t="s">
        <v>59</v>
      </c>
      <c r="I2190" s="24" t="s">
        <v>59</v>
      </c>
      <c r="J2190" s="24" t="s">
        <v>60</v>
      </c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6">
        <v>66.0</v>
      </c>
      <c r="B2191" s="35" t="str">
        <f t="array" ref="B2191">INDEX('Báo cáo 75 trang đích'!$B$2:$B$76,$A2191)</f>
        <v>https://techcombank.com/cong-cu-tien-ich/cong-cu-tinh-toan/bang-tinh-lai-suat-vay</v>
      </c>
      <c r="C2191" s="5" t="str">
        <f t="array" ref="C2191">INDEX('Báo cáo 75 trang đích'!$C$2:$C$76,$A2191)</f>
        <v>Tool</v>
      </c>
      <c r="D2191" s="20" t="s">
        <v>180</v>
      </c>
      <c r="E2191" s="22" t="s">
        <v>1169</v>
      </c>
      <c r="F2191" s="22" t="s">
        <v>81</v>
      </c>
      <c r="G2191" s="22" t="s">
        <v>1812</v>
      </c>
      <c r="H2191" s="24" t="s">
        <v>59</v>
      </c>
      <c r="I2191" s="24" t="s">
        <v>59</v>
      </c>
      <c r="J2191" s="24" t="s">
        <v>60</v>
      </c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6">
        <v>66.0</v>
      </c>
      <c r="B2192" s="35" t="str">
        <f t="array" ref="B2192">INDEX('Báo cáo 75 trang đích'!$B$2:$B$76,$A2192)</f>
        <v>https://techcombank.com/cong-cu-tien-ich/cong-cu-tinh-toan/bang-tinh-lai-suat-vay</v>
      </c>
      <c r="C2192" s="5" t="str">
        <f t="array" ref="C2192">INDEX('Báo cáo 75 trang đích'!$C$2:$C$76,$A2192)</f>
        <v>Tool</v>
      </c>
      <c r="D2192" s="20" t="s">
        <v>62</v>
      </c>
      <c r="E2192" s="22" t="s">
        <v>1172</v>
      </c>
      <c r="F2192" s="22" t="s">
        <v>81</v>
      </c>
      <c r="G2192" s="22" t="s">
        <v>1675</v>
      </c>
      <c r="H2192" s="24" t="s">
        <v>59</v>
      </c>
      <c r="I2192" s="24" t="s">
        <v>59</v>
      </c>
      <c r="J2192" s="24" t="s">
        <v>60</v>
      </c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6">
        <v>66.0</v>
      </c>
      <c r="B2193" s="35" t="str">
        <f t="array" ref="B2193">INDEX('Báo cáo 75 trang đích'!$B$2:$B$76,$A2193)</f>
        <v>https://techcombank.com/cong-cu-tien-ich/cong-cu-tinh-toan/bang-tinh-lai-suat-vay</v>
      </c>
      <c r="C2193" s="5" t="str">
        <f t="array" ref="C2193">INDEX('Báo cáo 75 trang đích'!$C$2:$C$76,$A2193)</f>
        <v>Tool</v>
      </c>
      <c r="D2193" s="20" t="s">
        <v>1813</v>
      </c>
      <c r="E2193" s="22" t="s">
        <v>394</v>
      </c>
      <c r="F2193" s="22" t="s">
        <v>81</v>
      </c>
      <c r="G2193" s="22" t="s">
        <v>1811</v>
      </c>
      <c r="H2193" s="24" t="s">
        <v>59</v>
      </c>
      <c r="I2193" s="24" t="s">
        <v>59</v>
      </c>
      <c r="J2193" s="24" t="s">
        <v>60</v>
      </c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6">
        <v>66.0</v>
      </c>
      <c r="B2194" s="35" t="str">
        <f t="array" ref="B2194">INDEX('Báo cáo 75 trang đích'!$B$2:$B$76,$A2194)</f>
        <v>https://techcombank.com/cong-cu-tien-ich/cong-cu-tinh-toan/bang-tinh-lai-suat-vay</v>
      </c>
      <c r="C2194" s="5" t="str">
        <f t="array" ref="C2194">INDEX('Báo cáo 75 trang đích'!$C$2:$C$76,$A2194)</f>
        <v>Tool</v>
      </c>
      <c r="D2194" s="20" t="s">
        <v>382</v>
      </c>
      <c r="E2194" s="22" t="s">
        <v>1169</v>
      </c>
      <c r="F2194" s="22" t="s">
        <v>81</v>
      </c>
      <c r="G2194" s="22" t="s">
        <v>1811</v>
      </c>
      <c r="H2194" s="24" t="s">
        <v>59</v>
      </c>
      <c r="I2194" s="24" t="s">
        <v>59</v>
      </c>
      <c r="J2194" s="24" t="s">
        <v>60</v>
      </c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6">
        <v>66.0</v>
      </c>
      <c r="B2195" s="35" t="str">
        <f t="array" ref="B2195">INDEX('Báo cáo 75 trang đích'!$B$2:$B$76,$A2195)</f>
        <v>https://techcombank.com/cong-cu-tien-ich/cong-cu-tinh-toan/bang-tinh-lai-suat-vay</v>
      </c>
      <c r="C2195" s="5" t="str">
        <f t="array" ref="C2195">INDEX('Báo cáo 75 trang đích'!$C$2:$C$76,$A2195)</f>
        <v>Tool</v>
      </c>
      <c r="D2195" s="20" t="s">
        <v>1456</v>
      </c>
      <c r="E2195" s="22" t="s">
        <v>1172</v>
      </c>
      <c r="F2195" s="22" t="s">
        <v>81</v>
      </c>
      <c r="G2195" s="22" t="s">
        <v>1675</v>
      </c>
      <c r="H2195" s="24" t="s">
        <v>59</v>
      </c>
      <c r="I2195" s="24" t="s">
        <v>59</v>
      </c>
      <c r="J2195" s="24" t="s">
        <v>60</v>
      </c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6">
        <v>66.0</v>
      </c>
      <c r="B2196" s="35" t="str">
        <f t="array" ref="B2196">INDEX('Báo cáo 75 trang đích'!$B$2:$B$76,$A2196)</f>
        <v>https://techcombank.com/cong-cu-tien-ich/cong-cu-tinh-toan/bang-tinh-lai-suat-vay</v>
      </c>
      <c r="C2196" s="5" t="str">
        <f t="array" ref="C2196">INDEX('Báo cáo 75 trang đích'!$C$2:$C$76,$A2196)</f>
        <v>Tool</v>
      </c>
      <c r="D2196" s="20" t="s">
        <v>1016</v>
      </c>
      <c r="E2196" s="22" t="s">
        <v>394</v>
      </c>
      <c r="F2196" s="22" t="s">
        <v>81</v>
      </c>
      <c r="G2196" s="22" t="s">
        <v>1675</v>
      </c>
      <c r="H2196" s="24" t="s">
        <v>59</v>
      </c>
      <c r="I2196" s="24" t="s">
        <v>59</v>
      </c>
      <c r="J2196" s="24" t="s">
        <v>60</v>
      </c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6">
        <v>66.0</v>
      </c>
      <c r="B2197" s="35" t="str">
        <f t="array" ref="B2197">INDEX('Báo cáo 75 trang đích'!$B$2:$B$76,$A2197)</f>
        <v>https://techcombank.com/cong-cu-tien-ich/cong-cu-tinh-toan/bang-tinh-lai-suat-vay</v>
      </c>
      <c r="C2197" s="5" t="str">
        <f t="array" ref="C2197">INDEX('Báo cáo 75 trang đích'!$C$2:$C$76,$A2197)</f>
        <v>Tool</v>
      </c>
      <c r="D2197" s="20" t="s">
        <v>1679</v>
      </c>
      <c r="E2197" s="22" t="s">
        <v>1169</v>
      </c>
      <c r="F2197" s="22" t="s">
        <v>81</v>
      </c>
      <c r="G2197" s="22" t="s">
        <v>1811</v>
      </c>
      <c r="H2197" s="24" t="s">
        <v>59</v>
      </c>
      <c r="I2197" s="24" t="s">
        <v>59</v>
      </c>
      <c r="J2197" s="24" t="s">
        <v>60</v>
      </c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6">
        <v>66.0</v>
      </c>
      <c r="B2198" s="35" t="str">
        <f t="array" ref="B2198">INDEX('Báo cáo 75 trang đích'!$B$2:$B$76,$A2198)</f>
        <v>https://techcombank.com/cong-cu-tien-ich/cong-cu-tinh-toan/bang-tinh-lai-suat-vay</v>
      </c>
      <c r="C2198" s="5" t="str">
        <f t="array" ref="C2198">INDEX('Báo cáo 75 trang đích'!$C$2:$C$76,$A2198)</f>
        <v>Tool</v>
      </c>
      <c r="D2198" s="20" t="s">
        <v>1238</v>
      </c>
      <c r="E2198" s="22" t="s">
        <v>1172</v>
      </c>
      <c r="F2198" s="22" t="s">
        <v>81</v>
      </c>
      <c r="G2198" s="22" t="s">
        <v>1810</v>
      </c>
      <c r="H2198" s="24" t="s">
        <v>59</v>
      </c>
      <c r="I2198" s="24" t="s">
        <v>59</v>
      </c>
      <c r="J2198" s="24" t="s">
        <v>60</v>
      </c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6">
        <v>66.0</v>
      </c>
      <c r="B2199" s="35" t="str">
        <f t="array" ref="B2199">INDEX('Báo cáo 75 trang đích'!$B$2:$B$76,$A2199)</f>
        <v>https://techcombank.com/cong-cu-tien-ich/cong-cu-tinh-toan/bang-tinh-lai-suat-vay</v>
      </c>
      <c r="C2199" s="5" t="str">
        <f t="array" ref="C2199">INDEX('Báo cáo 75 trang đích'!$C$2:$C$76,$A2199)</f>
        <v>Tool</v>
      </c>
      <c r="D2199" s="20" t="s">
        <v>969</v>
      </c>
      <c r="E2199" s="22" t="s">
        <v>394</v>
      </c>
      <c r="F2199" s="22" t="s">
        <v>81</v>
      </c>
      <c r="G2199" s="22" t="s">
        <v>1810</v>
      </c>
      <c r="H2199" s="24" t="s">
        <v>59</v>
      </c>
      <c r="I2199" s="24" t="s">
        <v>59</v>
      </c>
      <c r="J2199" s="24" t="s">
        <v>60</v>
      </c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6">
        <v>66.0</v>
      </c>
      <c r="B2200" s="35" t="str">
        <f t="array" ref="B2200">INDEX('Báo cáo 75 trang đích'!$B$2:$B$76,$A2200)</f>
        <v>https://techcombank.com/cong-cu-tien-ich/cong-cu-tinh-toan/bang-tinh-lai-suat-vay</v>
      </c>
      <c r="C2200" s="5" t="str">
        <f t="array" ref="C2200">INDEX('Báo cáo 75 trang đích'!$C$2:$C$76,$A2200)</f>
        <v>Tool</v>
      </c>
      <c r="D2200" s="20" t="s">
        <v>1074</v>
      </c>
      <c r="E2200" s="22" t="s">
        <v>1169</v>
      </c>
      <c r="F2200" s="22" t="s">
        <v>81</v>
      </c>
      <c r="G2200" s="22" t="s">
        <v>1811</v>
      </c>
      <c r="H2200" s="24" t="s">
        <v>59</v>
      </c>
      <c r="I2200" s="24" t="s">
        <v>59</v>
      </c>
      <c r="J2200" s="24" t="s">
        <v>60</v>
      </c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6">
        <v>66.0</v>
      </c>
      <c r="B2201" s="35" t="str">
        <f t="array" ref="B2201">INDEX('Báo cáo 75 trang đích'!$B$2:$B$76,$A2201)</f>
        <v>https://techcombank.com/cong-cu-tien-ich/cong-cu-tinh-toan/bang-tinh-lai-suat-vay</v>
      </c>
      <c r="C2201" s="5" t="str">
        <f t="array" ref="C2201">INDEX('Báo cáo 75 trang đích'!$C$2:$C$76,$A2201)</f>
        <v>Tool</v>
      </c>
      <c r="D2201" s="20" t="s">
        <v>1110</v>
      </c>
      <c r="E2201" s="22" t="s">
        <v>1172</v>
      </c>
      <c r="F2201" s="22" t="s">
        <v>81</v>
      </c>
      <c r="G2201" s="22" t="s">
        <v>1811</v>
      </c>
      <c r="H2201" s="24" t="s">
        <v>59</v>
      </c>
      <c r="I2201" s="24" t="s">
        <v>59</v>
      </c>
      <c r="J2201" s="24" t="s">
        <v>60</v>
      </c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6">
        <v>66.0</v>
      </c>
      <c r="B2202" s="35" t="str">
        <f t="array" ref="B2202">INDEX('Báo cáo 75 trang đích'!$B$2:$B$76,$A2202)</f>
        <v>https://techcombank.com/cong-cu-tien-ich/cong-cu-tinh-toan/bang-tinh-lai-suat-vay</v>
      </c>
      <c r="C2202" s="5" t="str">
        <f t="array" ref="C2202">INDEX('Báo cáo 75 trang đích'!$C$2:$C$76,$A2202)</f>
        <v>Tool</v>
      </c>
      <c r="D2202" s="20" t="s">
        <v>55</v>
      </c>
      <c r="E2202" s="22" t="s">
        <v>394</v>
      </c>
      <c r="F2202" s="22" t="s">
        <v>81</v>
      </c>
      <c r="G2202" s="22" t="s">
        <v>1675</v>
      </c>
      <c r="H2202" s="24" t="s">
        <v>59</v>
      </c>
      <c r="I2202" s="24" t="s">
        <v>59</v>
      </c>
      <c r="J2202" s="24" t="s">
        <v>60</v>
      </c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6">
        <v>66.0</v>
      </c>
      <c r="B2203" s="35" t="str">
        <f t="array" ref="B2203">INDEX('Báo cáo 75 trang đích'!$B$2:$B$76,$A2203)</f>
        <v>https://techcombank.com/cong-cu-tien-ich/cong-cu-tinh-toan/bang-tinh-lai-suat-vay</v>
      </c>
      <c r="C2203" s="5" t="str">
        <f t="array" ref="C2203">INDEX('Báo cáo 75 trang đích'!$C$2:$C$76,$A2203)</f>
        <v>Tool</v>
      </c>
      <c r="D2203" s="20" t="s">
        <v>1212</v>
      </c>
      <c r="E2203" s="22" t="s">
        <v>1169</v>
      </c>
      <c r="F2203" s="22" t="s">
        <v>81</v>
      </c>
      <c r="G2203" s="22" t="s">
        <v>1810</v>
      </c>
      <c r="H2203" s="24" t="s">
        <v>59</v>
      </c>
      <c r="I2203" s="24" t="s">
        <v>59</v>
      </c>
      <c r="J2203" s="24" t="s">
        <v>60</v>
      </c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6">
        <v>66.0</v>
      </c>
      <c r="B2204" s="35" t="str">
        <f t="array" ref="B2204">INDEX('Báo cáo 75 trang đích'!$B$2:$B$76,$A2204)</f>
        <v>https://techcombank.com/cong-cu-tien-ich/cong-cu-tinh-toan/bang-tinh-lai-suat-vay</v>
      </c>
      <c r="C2204" s="5" t="str">
        <f t="array" ref="C2204">INDEX('Báo cáo 75 trang đích'!$C$2:$C$76,$A2204)</f>
        <v>Tool</v>
      </c>
      <c r="D2204" s="20" t="s">
        <v>1682</v>
      </c>
      <c r="E2204" s="22" t="s">
        <v>1172</v>
      </c>
      <c r="F2204" s="22" t="s">
        <v>81</v>
      </c>
      <c r="G2204" s="22" t="s">
        <v>1675</v>
      </c>
      <c r="H2204" s="24" t="s">
        <v>59</v>
      </c>
      <c r="I2204" s="24" t="s">
        <v>59</v>
      </c>
      <c r="J2204" s="24" t="s">
        <v>60</v>
      </c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6">
        <v>66.0</v>
      </c>
      <c r="B2205" s="35" t="str">
        <f t="array" ref="B2205">INDEX('Báo cáo 75 trang đích'!$B$2:$B$76,$A2205)</f>
        <v>https://techcombank.com/cong-cu-tien-ich/cong-cu-tinh-toan/bang-tinh-lai-suat-vay</v>
      </c>
      <c r="C2205" s="5" t="str">
        <f t="array" ref="C2205">INDEX('Báo cáo 75 trang đích'!$C$2:$C$76,$A2205)</f>
        <v>Tool</v>
      </c>
      <c r="D2205" s="20" t="s">
        <v>1072</v>
      </c>
      <c r="E2205" s="22" t="s">
        <v>394</v>
      </c>
      <c r="F2205" s="22" t="s">
        <v>81</v>
      </c>
      <c r="G2205" s="22" t="s">
        <v>1811</v>
      </c>
      <c r="H2205" s="24" t="s">
        <v>59</v>
      </c>
      <c r="I2205" s="24" t="s">
        <v>59</v>
      </c>
      <c r="J2205" s="24" t="s">
        <v>60</v>
      </c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6">
        <v>66.0</v>
      </c>
      <c r="B2206" s="35" t="str">
        <f t="array" ref="B2206">INDEX('Báo cáo 75 trang đích'!$B$2:$B$76,$A2206)</f>
        <v>https://techcombank.com/cong-cu-tien-ich/cong-cu-tinh-toan/bang-tinh-lai-suat-vay</v>
      </c>
      <c r="C2206" s="5" t="str">
        <f t="array" ref="C2206">INDEX('Báo cáo 75 trang đích'!$C$2:$C$76,$A2206)</f>
        <v>Tool</v>
      </c>
      <c r="D2206" s="20" t="s">
        <v>1684</v>
      </c>
      <c r="E2206" s="22" t="s">
        <v>1169</v>
      </c>
      <c r="F2206" s="22" t="s">
        <v>81</v>
      </c>
      <c r="G2206" s="22" t="s">
        <v>1675</v>
      </c>
      <c r="H2206" s="24" t="s">
        <v>59</v>
      </c>
      <c r="I2206" s="24" t="s">
        <v>59</v>
      </c>
      <c r="J2206" s="24" t="s">
        <v>60</v>
      </c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6">
        <v>66.0</v>
      </c>
      <c r="B2207" s="35" t="str">
        <f t="array" ref="B2207">INDEX('Báo cáo 75 trang đích'!$B$2:$B$76,$A2207)</f>
        <v>https://techcombank.com/cong-cu-tien-ich/cong-cu-tinh-toan/bang-tinh-lai-suat-vay</v>
      </c>
      <c r="C2207" s="5" t="str">
        <f t="array" ref="C2207">INDEX('Báo cáo 75 trang đích'!$C$2:$C$76,$A2207)</f>
        <v>Tool</v>
      </c>
      <c r="D2207" s="20" t="s">
        <v>66</v>
      </c>
      <c r="E2207" s="22" t="s">
        <v>1172</v>
      </c>
      <c r="F2207" s="22" t="s">
        <v>81</v>
      </c>
      <c r="G2207" s="22" t="s">
        <v>1675</v>
      </c>
      <c r="H2207" s="24" t="s">
        <v>59</v>
      </c>
      <c r="I2207" s="24" t="s">
        <v>59</v>
      </c>
      <c r="J2207" s="24" t="s">
        <v>60</v>
      </c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6">
        <v>66.0</v>
      </c>
      <c r="B2208" s="35" t="str">
        <f t="array" ref="B2208">INDEX('Báo cáo 75 trang đích'!$B$2:$B$76,$A2208)</f>
        <v>https://techcombank.com/cong-cu-tien-ich/cong-cu-tinh-toan/bang-tinh-lai-suat-vay</v>
      </c>
      <c r="C2208" s="5" t="str">
        <f t="array" ref="C2208">INDEX('Báo cáo 75 trang đích'!$C$2:$C$76,$A2208)</f>
        <v>Tool</v>
      </c>
      <c r="D2208" s="20" t="s">
        <v>1191</v>
      </c>
      <c r="E2208" s="22" t="s">
        <v>394</v>
      </c>
      <c r="F2208" s="22" t="s">
        <v>81</v>
      </c>
      <c r="G2208" s="22" t="s">
        <v>1811</v>
      </c>
      <c r="H2208" s="24" t="s">
        <v>59</v>
      </c>
      <c r="I2208" s="24" t="s">
        <v>59</v>
      </c>
      <c r="J2208" s="24" t="s">
        <v>60</v>
      </c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6">
        <v>66.0</v>
      </c>
      <c r="B2209" s="35" t="str">
        <f t="array" ref="B2209">INDEX('Báo cáo 75 trang đích'!$B$2:$B$76,$A2209)</f>
        <v>https://techcombank.com/cong-cu-tien-ich/cong-cu-tinh-toan/bang-tinh-lai-suat-vay</v>
      </c>
      <c r="C2209" s="5" t="str">
        <f t="array" ref="C2209">INDEX('Báo cáo 75 trang đích'!$C$2:$C$76,$A2209)</f>
        <v>Tool</v>
      </c>
      <c r="D2209" s="20" t="s">
        <v>1466</v>
      </c>
      <c r="E2209" s="22" t="s">
        <v>1169</v>
      </c>
      <c r="F2209" s="22" t="s">
        <v>81</v>
      </c>
      <c r="G2209" s="22" t="s">
        <v>1675</v>
      </c>
      <c r="H2209" s="24" t="s">
        <v>59</v>
      </c>
      <c r="I2209" s="24" t="s">
        <v>59</v>
      </c>
      <c r="J2209" s="24" t="s">
        <v>60</v>
      </c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6">
        <v>66.0</v>
      </c>
      <c r="B2210" s="35" t="str">
        <f t="array" ref="B2210">INDEX('Báo cáo 75 trang đích'!$B$2:$B$76,$A2210)</f>
        <v>https://techcombank.com/cong-cu-tien-ich/cong-cu-tinh-toan/bang-tinh-lai-suat-vay</v>
      </c>
      <c r="C2210" s="5" t="str">
        <f t="array" ref="C2210">INDEX('Báo cáo 75 trang đích'!$C$2:$C$76,$A2210)</f>
        <v>Tool</v>
      </c>
      <c r="D2210" s="20" t="s">
        <v>1685</v>
      </c>
      <c r="E2210" s="22" t="s">
        <v>1172</v>
      </c>
      <c r="F2210" s="22" t="s">
        <v>81</v>
      </c>
      <c r="G2210" s="22" t="s">
        <v>1675</v>
      </c>
      <c r="H2210" s="24" t="s">
        <v>59</v>
      </c>
      <c r="I2210" s="24" t="s">
        <v>59</v>
      </c>
      <c r="J2210" s="24" t="s">
        <v>60</v>
      </c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6">
        <v>66.0</v>
      </c>
      <c r="B2211" s="35" t="str">
        <f t="array" ref="B2211">INDEX('Báo cáo 75 trang đích'!$B$2:$B$76,$A2211)</f>
        <v>https://techcombank.com/cong-cu-tien-ich/cong-cu-tinh-toan/bang-tinh-lai-suat-vay</v>
      </c>
      <c r="C2211" s="5" t="str">
        <f t="array" ref="C2211">INDEX('Báo cáo 75 trang đích'!$C$2:$C$76,$A2211)</f>
        <v>Tool</v>
      </c>
      <c r="D2211" s="20" t="s">
        <v>1331</v>
      </c>
      <c r="E2211" s="22" t="s">
        <v>394</v>
      </c>
      <c r="F2211" s="22" t="s">
        <v>81</v>
      </c>
      <c r="G2211" s="22" t="s">
        <v>1675</v>
      </c>
      <c r="H2211" s="24" t="s">
        <v>59</v>
      </c>
      <c r="I2211" s="24" t="s">
        <v>59</v>
      </c>
      <c r="J2211" s="24" t="s">
        <v>60</v>
      </c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6">
        <v>66.0</v>
      </c>
      <c r="B2212" s="35" t="str">
        <f t="array" ref="B2212">INDEX('Báo cáo 75 trang đích'!$B$2:$B$76,$A2212)</f>
        <v>https://techcombank.com/cong-cu-tien-ich/cong-cu-tinh-toan/bang-tinh-lai-suat-vay</v>
      </c>
      <c r="C2212" s="5" t="str">
        <f t="array" ref="C2212">INDEX('Báo cáo 75 trang đích'!$C$2:$C$76,$A2212)</f>
        <v>Tool</v>
      </c>
      <c r="D2212" s="20" t="s">
        <v>1468</v>
      </c>
      <c r="E2212" s="22" t="s">
        <v>1169</v>
      </c>
      <c r="F2212" s="22" t="s">
        <v>81</v>
      </c>
      <c r="G2212" s="22" t="s">
        <v>1675</v>
      </c>
      <c r="H2212" s="24" t="s">
        <v>59</v>
      </c>
      <c r="I2212" s="24" t="s">
        <v>59</v>
      </c>
      <c r="J2212" s="24" t="s">
        <v>60</v>
      </c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6">
        <v>66.0</v>
      </c>
      <c r="B2213" s="35" t="str">
        <f t="array" ref="B2213">INDEX('Báo cáo 75 trang đích'!$B$2:$B$76,$A2213)</f>
        <v>https://techcombank.com/cong-cu-tien-ich/cong-cu-tinh-toan/bang-tinh-lai-suat-vay</v>
      </c>
      <c r="C2213" s="5" t="str">
        <f t="array" ref="C2213">INDEX('Báo cáo 75 trang đích'!$C$2:$C$76,$A2213)</f>
        <v>Tool</v>
      </c>
      <c r="D2213" s="20" t="s">
        <v>128</v>
      </c>
      <c r="E2213" s="22" t="s">
        <v>1172</v>
      </c>
      <c r="F2213" s="22" t="s">
        <v>81</v>
      </c>
      <c r="G2213" s="22" t="s">
        <v>1810</v>
      </c>
      <c r="H2213" s="24" t="s">
        <v>59</v>
      </c>
      <c r="I2213" s="24" t="s">
        <v>59</v>
      </c>
      <c r="J2213" s="24" t="s">
        <v>60</v>
      </c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6">
        <v>66.0</v>
      </c>
      <c r="B2214" s="35" t="str">
        <f t="array" ref="B2214">INDEX('Báo cáo 75 trang đích'!$B$2:$B$76,$A2214)</f>
        <v>https://techcombank.com/cong-cu-tien-ich/cong-cu-tinh-toan/bang-tinh-lai-suat-vay</v>
      </c>
      <c r="C2214" s="5" t="str">
        <f t="array" ref="C2214">INDEX('Báo cáo 75 trang đích'!$C$2:$C$76,$A2214)</f>
        <v>Tool</v>
      </c>
      <c r="D2214" s="20" t="s">
        <v>71</v>
      </c>
      <c r="E2214" s="22" t="s">
        <v>394</v>
      </c>
      <c r="F2214" s="22" t="s">
        <v>81</v>
      </c>
      <c r="G2214" s="22" t="s">
        <v>1675</v>
      </c>
      <c r="H2214" s="24" t="s">
        <v>59</v>
      </c>
      <c r="I2214" s="24" t="s">
        <v>59</v>
      </c>
      <c r="J2214" s="24" t="s">
        <v>60</v>
      </c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6">
        <v>66.0</v>
      </c>
      <c r="B2215" s="35" t="str">
        <f t="array" ref="B2215">INDEX('Báo cáo 75 trang đích'!$B$2:$B$76,$A2215)</f>
        <v>https://techcombank.com/cong-cu-tien-ich/cong-cu-tinh-toan/bang-tinh-lai-suat-vay</v>
      </c>
      <c r="C2215" s="5" t="str">
        <f t="array" ref="C2215">INDEX('Báo cáo 75 trang đích'!$C$2:$C$76,$A2215)</f>
        <v>Tool</v>
      </c>
      <c r="D2215" s="20" t="s">
        <v>1689</v>
      </c>
      <c r="E2215" s="22" t="s">
        <v>1169</v>
      </c>
      <c r="F2215" s="22" t="s">
        <v>81</v>
      </c>
      <c r="G2215" s="22" t="s">
        <v>1675</v>
      </c>
      <c r="H2215" s="24" t="s">
        <v>59</v>
      </c>
      <c r="I2215" s="24" t="s">
        <v>59</v>
      </c>
      <c r="J2215" s="24" t="s">
        <v>60</v>
      </c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6">
        <v>66.0</v>
      </c>
      <c r="B2216" s="35" t="str">
        <f t="array" ref="B2216">INDEX('Báo cáo 75 trang đích'!$B$2:$B$76,$A2216)</f>
        <v>https://techcombank.com/cong-cu-tien-ich/cong-cu-tinh-toan/bang-tinh-lai-suat-vay</v>
      </c>
      <c r="C2216" s="5" t="str">
        <f t="array" ref="C2216">INDEX('Báo cáo 75 trang đích'!$C$2:$C$76,$A2216)</f>
        <v>Tool</v>
      </c>
      <c r="D2216" s="20" t="s">
        <v>684</v>
      </c>
      <c r="E2216" s="22" t="s">
        <v>1172</v>
      </c>
      <c r="F2216" s="22" t="s">
        <v>81</v>
      </c>
      <c r="G2216" s="22" t="s">
        <v>1814</v>
      </c>
      <c r="H2216" s="24" t="s">
        <v>59</v>
      </c>
      <c r="I2216" s="24" t="s">
        <v>59</v>
      </c>
      <c r="J2216" s="24" t="s">
        <v>60</v>
      </c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6">
        <v>66.0</v>
      </c>
      <c r="B2217" s="35" t="str">
        <f t="array" ref="B2217">INDEX('Báo cáo 75 trang đích'!$B$2:$B$76,$A2217)</f>
        <v>https://techcombank.com/cong-cu-tien-ich/cong-cu-tinh-toan/bang-tinh-lai-suat-vay</v>
      </c>
      <c r="C2217" s="5" t="str">
        <f t="array" ref="C2217">INDEX('Báo cáo 75 trang đích'!$C$2:$C$76,$A2217)</f>
        <v>Tool</v>
      </c>
      <c r="D2217" s="20" t="s">
        <v>1471</v>
      </c>
      <c r="E2217" s="22" t="s">
        <v>394</v>
      </c>
      <c r="F2217" s="22" t="s">
        <v>81</v>
      </c>
      <c r="G2217" s="22" t="s">
        <v>1675</v>
      </c>
      <c r="H2217" s="24" t="s">
        <v>59</v>
      </c>
      <c r="I2217" s="24" t="s">
        <v>59</v>
      </c>
      <c r="J2217" s="24" t="s">
        <v>60</v>
      </c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6">
        <v>66.0</v>
      </c>
      <c r="B2218" s="35" t="str">
        <f t="array" ref="B2218">INDEX('Báo cáo 75 trang đích'!$B$2:$B$76,$A2218)</f>
        <v>https://techcombank.com/cong-cu-tien-ich/cong-cu-tinh-toan/bang-tinh-lai-suat-vay</v>
      </c>
      <c r="C2218" s="5" t="str">
        <f t="array" ref="C2218">INDEX('Báo cáo 75 trang đích'!$C$2:$C$76,$A2218)</f>
        <v>Tool</v>
      </c>
      <c r="D2218" s="20" t="s">
        <v>1194</v>
      </c>
      <c r="E2218" s="22" t="s">
        <v>1169</v>
      </c>
      <c r="F2218" s="22" t="s">
        <v>81</v>
      </c>
      <c r="G2218" s="22" t="s">
        <v>1675</v>
      </c>
      <c r="H2218" s="24" t="s">
        <v>59</v>
      </c>
      <c r="I2218" s="24" t="s">
        <v>59</v>
      </c>
      <c r="J2218" s="24" t="s">
        <v>60</v>
      </c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6">
        <v>66.0</v>
      </c>
      <c r="B2219" s="35" t="str">
        <f t="array" ref="B2219">INDEX('Báo cáo 75 trang đích'!$B$2:$B$76,$A2219)</f>
        <v>https://techcombank.com/cong-cu-tien-ich/cong-cu-tinh-toan/bang-tinh-lai-suat-vay</v>
      </c>
      <c r="C2219" s="5" t="str">
        <f t="array" ref="C2219">INDEX('Báo cáo 75 trang đích'!$C$2:$C$76,$A2219)</f>
        <v>Tool</v>
      </c>
      <c r="D2219" s="20" t="s">
        <v>1815</v>
      </c>
      <c r="E2219" s="22" t="s">
        <v>1172</v>
      </c>
      <c r="F2219" s="22" t="s">
        <v>81</v>
      </c>
      <c r="G2219" s="22" t="s">
        <v>1811</v>
      </c>
      <c r="H2219" s="24" t="s">
        <v>59</v>
      </c>
      <c r="I2219" s="24" t="s">
        <v>59</v>
      </c>
      <c r="J2219" s="24" t="s">
        <v>60</v>
      </c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6">
        <v>66.0</v>
      </c>
      <c r="B2220" s="35" t="str">
        <f t="array" ref="B2220">INDEX('Báo cáo 75 trang đích'!$B$2:$B$76,$A2220)</f>
        <v>https://techcombank.com/cong-cu-tien-ich/cong-cu-tinh-toan/bang-tinh-lai-suat-vay</v>
      </c>
      <c r="C2220" s="5" t="str">
        <f t="array" ref="C2220">INDEX('Báo cáo 75 trang đích'!$C$2:$C$76,$A2220)</f>
        <v>Tool</v>
      </c>
      <c r="D2220" s="20" t="s">
        <v>786</v>
      </c>
      <c r="E2220" s="22" t="s">
        <v>394</v>
      </c>
      <c r="F2220" s="22" t="s">
        <v>81</v>
      </c>
      <c r="G2220" s="22" t="s">
        <v>1675</v>
      </c>
      <c r="H2220" s="24" t="s">
        <v>59</v>
      </c>
      <c r="I2220" s="24" t="s">
        <v>59</v>
      </c>
      <c r="J2220" s="24" t="s">
        <v>60</v>
      </c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6">
        <v>66.0</v>
      </c>
      <c r="B2221" s="35" t="str">
        <f t="array" ref="B2221">INDEX('Báo cáo 75 trang đích'!$B$2:$B$76,$A2221)</f>
        <v>https://techcombank.com/cong-cu-tien-ich/cong-cu-tinh-toan/bang-tinh-lai-suat-vay</v>
      </c>
      <c r="C2221" s="5" t="str">
        <f t="array" ref="C2221">INDEX('Báo cáo 75 trang đích'!$C$2:$C$76,$A2221)</f>
        <v>Tool</v>
      </c>
      <c r="D2221" s="20" t="s">
        <v>1690</v>
      </c>
      <c r="E2221" s="22" t="s">
        <v>1169</v>
      </c>
      <c r="F2221" s="22" t="s">
        <v>81</v>
      </c>
      <c r="G2221" s="22" t="s">
        <v>1675</v>
      </c>
      <c r="H2221" s="24" t="s">
        <v>59</v>
      </c>
      <c r="I2221" s="24" t="s">
        <v>59</v>
      </c>
      <c r="J2221" s="24" t="s">
        <v>60</v>
      </c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6">
        <v>66.0</v>
      </c>
      <c r="B2222" s="35" t="str">
        <f t="array" ref="B2222">INDEX('Báo cáo 75 trang đích'!$B$2:$B$76,$A2222)</f>
        <v>https://techcombank.com/cong-cu-tien-ich/cong-cu-tinh-toan/bang-tinh-lai-suat-vay</v>
      </c>
      <c r="C2222" s="5" t="str">
        <f t="array" ref="C2222">INDEX('Báo cáo 75 trang đích'!$C$2:$C$76,$A2222)</f>
        <v>Tool</v>
      </c>
      <c r="D2222" s="20" t="s">
        <v>1691</v>
      </c>
      <c r="E2222" s="22" t="s">
        <v>1172</v>
      </c>
      <c r="F2222" s="22" t="s">
        <v>81</v>
      </c>
      <c r="G2222" s="22" t="s">
        <v>1811</v>
      </c>
      <c r="H2222" s="24" t="s">
        <v>59</v>
      </c>
      <c r="I2222" s="24" t="s">
        <v>59</v>
      </c>
      <c r="J2222" s="24" t="s">
        <v>60</v>
      </c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6">
        <v>66.0</v>
      </c>
      <c r="B2223" s="35" t="str">
        <f t="array" ref="B2223">INDEX('Báo cáo 75 trang đích'!$B$2:$B$76,$A2223)</f>
        <v>https://techcombank.com/cong-cu-tien-ich/cong-cu-tinh-toan/bang-tinh-lai-suat-vay</v>
      </c>
      <c r="C2223" s="5" t="str">
        <f t="array" ref="C2223">INDEX('Báo cáo 75 trang đích'!$C$2:$C$76,$A2223)</f>
        <v>Tool</v>
      </c>
      <c r="D2223" s="20" t="s">
        <v>1527</v>
      </c>
      <c r="E2223" s="22" t="s">
        <v>394</v>
      </c>
      <c r="F2223" s="22" t="s">
        <v>81</v>
      </c>
      <c r="G2223" s="22" t="s">
        <v>1811</v>
      </c>
      <c r="H2223" s="24" t="s">
        <v>59</v>
      </c>
      <c r="I2223" s="24" t="s">
        <v>59</v>
      </c>
      <c r="J2223" s="24" t="s">
        <v>60</v>
      </c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6">
        <v>66.0</v>
      </c>
      <c r="B2224" s="35" t="str">
        <f t="array" ref="B2224">INDEX('Báo cáo 75 trang đích'!$B$2:$B$76,$A2224)</f>
        <v>https://techcombank.com/cong-cu-tien-ich/cong-cu-tinh-toan/bang-tinh-lai-suat-vay</v>
      </c>
      <c r="C2224" s="5" t="str">
        <f t="array" ref="C2224">INDEX('Báo cáo 75 trang đích'!$C$2:$C$76,$A2224)</f>
        <v>Tool</v>
      </c>
      <c r="D2224" s="20" t="s">
        <v>1472</v>
      </c>
      <c r="E2224" s="22" t="s">
        <v>1169</v>
      </c>
      <c r="F2224" s="22" t="s">
        <v>81</v>
      </c>
      <c r="G2224" s="22" t="s">
        <v>1675</v>
      </c>
      <c r="H2224" s="24" t="s">
        <v>59</v>
      </c>
      <c r="I2224" s="24" t="s">
        <v>59</v>
      </c>
      <c r="J2224" s="24" t="s">
        <v>60</v>
      </c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6">
        <v>66.0</v>
      </c>
      <c r="B2225" s="35" t="str">
        <f t="array" ref="B2225">INDEX('Báo cáo 75 trang đích'!$B$2:$B$76,$A2225)</f>
        <v>https://techcombank.com/cong-cu-tien-ich/cong-cu-tinh-toan/bang-tinh-lai-suat-vay</v>
      </c>
      <c r="C2225" s="5" t="str">
        <f t="array" ref="C2225">INDEX('Báo cáo 75 trang đích'!$C$2:$C$76,$A2225)</f>
        <v>Tool</v>
      </c>
      <c r="D2225" s="20" t="s">
        <v>316</v>
      </c>
      <c r="E2225" s="22" t="s">
        <v>1172</v>
      </c>
      <c r="F2225" s="22" t="s">
        <v>81</v>
      </c>
      <c r="G2225" s="22" t="s">
        <v>1810</v>
      </c>
      <c r="H2225" s="24" t="s">
        <v>59</v>
      </c>
      <c r="I2225" s="24" t="s">
        <v>59</v>
      </c>
      <c r="J2225" s="24" t="s">
        <v>60</v>
      </c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6">
        <v>66.0</v>
      </c>
      <c r="B2226" s="35" t="str">
        <f t="array" ref="B2226">INDEX('Báo cáo 75 trang đích'!$B$2:$B$76,$A2226)</f>
        <v>https://techcombank.com/cong-cu-tien-ich/cong-cu-tinh-toan/bang-tinh-lai-suat-vay</v>
      </c>
      <c r="C2226" s="5" t="str">
        <f t="array" ref="C2226">INDEX('Báo cáo 75 trang đích'!$C$2:$C$76,$A2226)</f>
        <v>Tool</v>
      </c>
      <c r="D2226" s="20" t="s">
        <v>853</v>
      </c>
      <c r="E2226" s="22" t="s">
        <v>394</v>
      </c>
      <c r="F2226" s="22" t="s">
        <v>81</v>
      </c>
      <c r="G2226" s="22" t="s">
        <v>1675</v>
      </c>
      <c r="H2226" s="24" t="s">
        <v>59</v>
      </c>
      <c r="I2226" s="24" t="s">
        <v>59</v>
      </c>
      <c r="J2226" s="24" t="s">
        <v>60</v>
      </c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6">
        <v>66.0</v>
      </c>
      <c r="B2227" s="35" t="str">
        <f t="array" ref="B2227">INDEX('Báo cáo 75 trang đích'!$B$2:$B$76,$A2227)</f>
        <v>https://techcombank.com/cong-cu-tien-ich/cong-cu-tinh-toan/bang-tinh-lai-suat-vay</v>
      </c>
      <c r="C2227" s="5" t="str">
        <f t="array" ref="C2227">INDEX('Báo cáo 75 trang đích'!$C$2:$C$76,$A2227)</f>
        <v>Tool</v>
      </c>
      <c r="D2227" s="20" t="s">
        <v>370</v>
      </c>
      <c r="E2227" s="22" t="s">
        <v>1169</v>
      </c>
      <c r="F2227" s="22" t="s">
        <v>81</v>
      </c>
      <c r="G2227" s="22" t="s">
        <v>1810</v>
      </c>
      <c r="H2227" s="24" t="s">
        <v>59</v>
      </c>
      <c r="I2227" s="24" t="s">
        <v>59</v>
      </c>
      <c r="J2227" s="24" t="s">
        <v>60</v>
      </c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6">
        <v>66.0</v>
      </c>
      <c r="B2228" s="35" t="str">
        <f t="array" ref="B2228">INDEX('Báo cáo 75 trang đích'!$B$2:$B$76,$A2228)</f>
        <v>https://techcombank.com/cong-cu-tien-ich/cong-cu-tinh-toan/bang-tinh-lai-suat-vay</v>
      </c>
      <c r="C2228" s="5" t="str">
        <f t="array" ref="C2228">INDEX('Báo cáo 75 trang đích'!$C$2:$C$76,$A2228)</f>
        <v>Tool</v>
      </c>
      <c r="D2228" s="20" t="s">
        <v>1244</v>
      </c>
      <c r="E2228" s="22" t="s">
        <v>1172</v>
      </c>
      <c r="F2228" s="22" t="s">
        <v>81</v>
      </c>
      <c r="G2228" s="22" t="s">
        <v>1811</v>
      </c>
      <c r="H2228" s="24" t="s">
        <v>59</v>
      </c>
      <c r="I2228" s="24" t="s">
        <v>59</v>
      </c>
      <c r="J2228" s="24" t="s">
        <v>60</v>
      </c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6">
        <v>66.0</v>
      </c>
      <c r="B2229" s="35" t="str">
        <f t="array" ref="B2229">INDEX('Báo cáo 75 trang đích'!$B$2:$B$76,$A2229)</f>
        <v>https://techcombank.com/cong-cu-tien-ich/cong-cu-tinh-toan/bang-tinh-lai-suat-vay</v>
      </c>
      <c r="C2229" s="5" t="str">
        <f t="array" ref="C2229">INDEX('Báo cáo 75 trang đích'!$C$2:$C$76,$A2229)</f>
        <v>Tool</v>
      </c>
      <c r="D2229" s="20" t="s">
        <v>1515</v>
      </c>
      <c r="E2229" s="22" t="s">
        <v>394</v>
      </c>
      <c r="F2229" s="22" t="s">
        <v>81</v>
      </c>
      <c r="G2229" s="22" t="s">
        <v>1818</v>
      </c>
      <c r="H2229" s="24" t="s">
        <v>59</v>
      </c>
      <c r="I2229" s="24" t="s">
        <v>59</v>
      </c>
      <c r="J2229" s="24" t="s">
        <v>60</v>
      </c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6">
        <v>66.0</v>
      </c>
      <c r="B2230" s="35" t="str">
        <f t="array" ref="B2230">INDEX('Báo cáo 75 trang đích'!$B$2:$B$76,$A2230)</f>
        <v>https://techcombank.com/cong-cu-tien-ich/cong-cu-tinh-toan/bang-tinh-lai-suat-vay</v>
      </c>
      <c r="C2230" s="5" t="str">
        <f t="array" ref="C2230">INDEX('Báo cáo 75 trang đích'!$C$2:$C$76,$A2230)</f>
        <v>Tool</v>
      </c>
      <c r="D2230" s="20" t="s">
        <v>1219</v>
      </c>
      <c r="E2230" s="22" t="s">
        <v>1169</v>
      </c>
      <c r="F2230" s="22" t="s">
        <v>81</v>
      </c>
      <c r="G2230" s="22" t="s">
        <v>1811</v>
      </c>
      <c r="H2230" s="24" t="s">
        <v>59</v>
      </c>
      <c r="I2230" s="24" t="s">
        <v>59</v>
      </c>
      <c r="J2230" s="24" t="s">
        <v>60</v>
      </c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6">
        <v>66.0</v>
      </c>
      <c r="B2231" s="35" t="str">
        <f t="array" ref="B2231">INDEX('Báo cáo 75 trang đích'!$B$2:$B$76,$A2231)</f>
        <v>https://techcombank.com/cong-cu-tien-ich/cong-cu-tinh-toan/bang-tinh-lai-suat-vay</v>
      </c>
      <c r="C2231" s="5" t="str">
        <f t="array" ref="C2231">INDEX('Báo cáo 75 trang đích'!$C$2:$C$76,$A2231)</f>
        <v>Tool</v>
      </c>
      <c r="D2231" s="20" t="s">
        <v>26</v>
      </c>
      <c r="E2231" s="22" t="s">
        <v>1172</v>
      </c>
      <c r="F2231" s="22" t="s">
        <v>81</v>
      </c>
      <c r="G2231" s="22" t="s">
        <v>1810</v>
      </c>
      <c r="H2231" s="24" t="s">
        <v>59</v>
      </c>
      <c r="I2231" s="24" t="s">
        <v>59</v>
      </c>
      <c r="J2231" s="24" t="s">
        <v>60</v>
      </c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6">
        <v>66.0</v>
      </c>
      <c r="B2232" s="35" t="str">
        <f t="array" ref="B2232">INDEX('Báo cáo 75 trang đích'!$B$2:$B$76,$A2232)</f>
        <v>https://techcombank.com/cong-cu-tien-ich/cong-cu-tinh-toan/bang-tinh-lai-suat-vay</v>
      </c>
      <c r="C2232" s="5" t="str">
        <f t="array" ref="C2232">INDEX('Báo cáo 75 trang đích'!$C$2:$C$76,$A2232)</f>
        <v>Tool</v>
      </c>
      <c r="D2232" s="20" t="s">
        <v>734</v>
      </c>
      <c r="E2232" s="22" t="s">
        <v>394</v>
      </c>
      <c r="F2232" s="22" t="s">
        <v>81</v>
      </c>
      <c r="G2232" s="22" t="s">
        <v>1811</v>
      </c>
      <c r="H2232" s="24" t="s">
        <v>59</v>
      </c>
      <c r="I2232" s="24" t="s">
        <v>59</v>
      </c>
      <c r="J2232" s="24" t="s">
        <v>60</v>
      </c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6">
        <v>66.0</v>
      </c>
      <c r="B2233" s="35" t="str">
        <f t="array" ref="B2233">INDEX('Báo cáo 75 trang đích'!$B$2:$B$76,$A2233)</f>
        <v>https://techcombank.com/cong-cu-tien-ich/cong-cu-tinh-toan/bang-tinh-lai-suat-vay</v>
      </c>
      <c r="C2233" s="5" t="str">
        <f t="array" ref="C2233">INDEX('Báo cáo 75 trang đích'!$C$2:$C$76,$A2233)</f>
        <v>Tool</v>
      </c>
      <c r="D2233" s="20" t="s">
        <v>728</v>
      </c>
      <c r="E2233" s="22" t="s">
        <v>1169</v>
      </c>
      <c r="F2233" s="22" t="s">
        <v>81</v>
      </c>
      <c r="G2233" s="22" t="s">
        <v>1810</v>
      </c>
      <c r="H2233" s="24" t="s">
        <v>59</v>
      </c>
      <c r="I2233" s="24" t="s">
        <v>59</v>
      </c>
      <c r="J2233" s="24" t="s">
        <v>60</v>
      </c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6">
        <v>66.0</v>
      </c>
      <c r="B2234" s="35" t="str">
        <f t="array" ref="B2234">INDEX('Báo cáo 75 trang đích'!$B$2:$B$76,$A2234)</f>
        <v>https://techcombank.com/cong-cu-tien-ich/cong-cu-tinh-toan/bang-tinh-lai-suat-vay</v>
      </c>
      <c r="C2234" s="5" t="str">
        <f t="array" ref="C2234">INDEX('Báo cáo 75 trang đích'!$C$2:$C$76,$A2234)</f>
        <v>Tool</v>
      </c>
      <c r="D2234" s="20" t="s">
        <v>1517</v>
      </c>
      <c r="E2234" s="22" t="s">
        <v>1172</v>
      </c>
      <c r="F2234" s="22" t="s">
        <v>81</v>
      </c>
      <c r="G2234" s="22" t="s">
        <v>1818</v>
      </c>
      <c r="H2234" s="24" t="s">
        <v>59</v>
      </c>
      <c r="I2234" s="24" t="s">
        <v>59</v>
      </c>
      <c r="J2234" s="24" t="s">
        <v>60</v>
      </c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6">
        <v>66.0</v>
      </c>
      <c r="B2235" s="35" t="str">
        <f t="array" ref="B2235">INDEX('Báo cáo 75 trang đích'!$B$2:$B$76,$A2235)</f>
        <v>https://techcombank.com/cong-cu-tien-ich/cong-cu-tinh-toan/bang-tinh-lai-suat-vay</v>
      </c>
      <c r="C2235" s="5" t="str">
        <f t="array" ref="C2235">INDEX('Báo cáo 75 trang đích'!$C$2:$C$76,$A2235)</f>
        <v>Tool</v>
      </c>
      <c r="D2235" s="20" t="s">
        <v>737</v>
      </c>
      <c r="E2235" s="22" t="s">
        <v>394</v>
      </c>
      <c r="F2235" s="22" t="s">
        <v>81</v>
      </c>
      <c r="G2235" s="22" t="s">
        <v>1675</v>
      </c>
      <c r="H2235" s="24" t="s">
        <v>59</v>
      </c>
      <c r="I2235" s="24" t="s">
        <v>59</v>
      </c>
      <c r="J2235" s="24" t="s">
        <v>60</v>
      </c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6">
        <v>66.0</v>
      </c>
      <c r="B2236" s="35" t="str">
        <f t="array" ref="B2236">INDEX('Báo cáo 75 trang đích'!$B$2:$B$76,$A2236)</f>
        <v>https://techcombank.com/cong-cu-tien-ich/cong-cu-tinh-toan/bang-tinh-lai-suat-vay</v>
      </c>
      <c r="C2236" s="5" t="str">
        <f t="array" ref="C2236">INDEX('Báo cáo 75 trang đích'!$C$2:$C$76,$A2236)</f>
        <v>Tool</v>
      </c>
      <c r="D2236" s="20" t="s">
        <v>1293</v>
      </c>
      <c r="E2236" s="22" t="s">
        <v>1169</v>
      </c>
      <c r="F2236" s="22" t="s">
        <v>81</v>
      </c>
      <c r="G2236" s="22" t="s">
        <v>1675</v>
      </c>
      <c r="H2236" s="24" t="s">
        <v>59</v>
      </c>
      <c r="I2236" s="24" t="s">
        <v>59</v>
      </c>
      <c r="J2236" s="24" t="s">
        <v>60</v>
      </c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6">
        <v>66.0</v>
      </c>
      <c r="B2237" s="35" t="str">
        <f t="array" ref="B2237">INDEX('Báo cáo 75 trang đích'!$B$2:$B$76,$A2237)</f>
        <v>https://techcombank.com/cong-cu-tien-ich/cong-cu-tinh-toan/bang-tinh-lai-suat-vay</v>
      </c>
      <c r="C2237" s="5" t="str">
        <f t="array" ref="C2237">INDEX('Báo cáo 75 trang đích'!$C$2:$C$76,$A2237)</f>
        <v>Tool</v>
      </c>
      <c r="D2237" s="20" t="s">
        <v>1820</v>
      </c>
      <c r="E2237" s="22" t="s">
        <v>1172</v>
      </c>
      <c r="F2237" s="22" t="s">
        <v>81</v>
      </c>
      <c r="G2237" s="22" t="s">
        <v>1811</v>
      </c>
      <c r="H2237" s="24" t="s">
        <v>59</v>
      </c>
      <c r="I2237" s="24" t="s">
        <v>59</v>
      </c>
      <c r="J2237" s="24" t="s">
        <v>60</v>
      </c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6">
        <v>66.0</v>
      </c>
      <c r="B2238" s="35" t="str">
        <f t="array" ref="B2238">INDEX('Báo cáo 75 trang đích'!$B$2:$B$76,$A2238)</f>
        <v>https://techcombank.com/cong-cu-tien-ich/cong-cu-tinh-toan/bang-tinh-lai-suat-vay</v>
      </c>
      <c r="C2238" s="5" t="str">
        <f t="array" ref="C2238">INDEX('Báo cáo 75 trang đích'!$C$2:$C$76,$A2238)</f>
        <v>Tool</v>
      </c>
      <c r="D2238" s="20" t="s">
        <v>1518</v>
      </c>
      <c r="E2238" s="22" t="s">
        <v>394</v>
      </c>
      <c r="F2238" s="22" t="s">
        <v>81</v>
      </c>
      <c r="G2238" s="22" t="s">
        <v>1675</v>
      </c>
      <c r="H2238" s="24" t="s">
        <v>59</v>
      </c>
      <c r="I2238" s="24" t="s">
        <v>59</v>
      </c>
      <c r="J2238" s="24" t="s">
        <v>60</v>
      </c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6">
        <v>66.0</v>
      </c>
      <c r="B2239" s="35" t="str">
        <f t="array" ref="B2239">INDEX('Báo cáo 75 trang đích'!$B$2:$B$76,$A2239)</f>
        <v>https://techcombank.com/cong-cu-tien-ich/cong-cu-tinh-toan/bang-tinh-lai-suat-vay</v>
      </c>
      <c r="C2239" s="5" t="str">
        <f t="array" ref="C2239">INDEX('Báo cáo 75 trang đích'!$C$2:$C$76,$A2239)</f>
        <v>Tool</v>
      </c>
      <c r="D2239" s="20" t="s">
        <v>964</v>
      </c>
      <c r="E2239" s="22" t="s">
        <v>1169</v>
      </c>
      <c r="F2239" s="22" t="s">
        <v>81</v>
      </c>
      <c r="G2239" s="22" t="s">
        <v>1811</v>
      </c>
      <c r="H2239" s="24" t="s">
        <v>59</v>
      </c>
      <c r="I2239" s="24" t="s">
        <v>59</v>
      </c>
      <c r="J2239" s="24" t="s">
        <v>60</v>
      </c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6">
        <v>66.0</v>
      </c>
      <c r="B2240" s="35" t="str">
        <f t="array" ref="B2240">INDEX('Báo cáo 75 trang đích'!$B$2:$B$76,$A2240)</f>
        <v>https://techcombank.com/cong-cu-tien-ich/cong-cu-tinh-toan/bang-tinh-lai-suat-vay</v>
      </c>
      <c r="C2240" s="5" t="str">
        <f t="array" ref="C2240">INDEX('Báo cáo 75 trang đích'!$C$2:$C$76,$A2240)</f>
        <v>Tool</v>
      </c>
      <c r="D2240" s="20" t="s">
        <v>1230</v>
      </c>
      <c r="E2240" s="22" t="s">
        <v>1172</v>
      </c>
      <c r="F2240" s="22" t="s">
        <v>81</v>
      </c>
      <c r="G2240" s="22" t="s">
        <v>1812</v>
      </c>
      <c r="H2240" s="24" t="s">
        <v>59</v>
      </c>
      <c r="I2240" s="24" t="s">
        <v>59</v>
      </c>
      <c r="J2240" s="24" t="s">
        <v>60</v>
      </c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6">
        <v>66.0</v>
      </c>
      <c r="B2241" s="35" t="str">
        <f t="array" ref="B2241">INDEX('Báo cáo 75 trang đích'!$B$2:$B$76,$A2241)</f>
        <v>https://techcombank.com/cong-cu-tien-ich/cong-cu-tinh-toan/bang-tinh-lai-suat-vay</v>
      </c>
      <c r="C2241" s="5" t="str">
        <f t="array" ref="C2241">INDEX('Báo cáo 75 trang đích'!$C$2:$C$76,$A2241)</f>
        <v>Tool</v>
      </c>
      <c r="D2241" s="20" t="s">
        <v>1695</v>
      </c>
      <c r="E2241" s="22" t="s">
        <v>394</v>
      </c>
      <c r="F2241" s="22" t="s">
        <v>81</v>
      </c>
      <c r="G2241" s="22" t="s">
        <v>1675</v>
      </c>
      <c r="H2241" s="24" t="s">
        <v>59</v>
      </c>
      <c r="I2241" s="24" t="s">
        <v>59</v>
      </c>
      <c r="J2241" s="24" t="s">
        <v>60</v>
      </c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6">
        <v>66.0</v>
      </c>
      <c r="B2242" s="35" t="str">
        <f t="array" ref="B2242">INDEX('Báo cáo 75 trang đích'!$B$2:$B$76,$A2242)</f>
        <v>https://techcombank.com/cong-cu-tien-ich/cong-cu-tinh-toan/bang-tinh-lai-suat-vay</v>
      </c>
      <c r="C2242" s="5" t="str">
        <f t="array" ref="C2242">INDEX('Báo cáo 75 trang đích'!$C$2:$C$76,$A2242)</f>
        <v>Tool</v>
      </c>
      <c r="D2242" s="20" t="s">
        <v>1696</v>
      </c>
      <c r="E2242" s="22" t="s">
        <v>1169</v>
      </c>
      <c r="F2242" s="22" t="s">
        <v>81</v>
      </c>
      <c r="G2242" s="22" t="s">
        <v>1811</v>
      </c>
      <c r="H2242" s="24" t="s">
        <v>59</v>
      </c>
      <c r="I2242" s="24" t="s">
        <v>59</v>
      </c>
      <c r="J2242" s="24" t="s">
        <v>60</v>
      </c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6">
        <v>66.0</v>
      </c>
      <c r="B2243" s="35" t="str">
        <f t="array" ref="B2243">INDEX('Báo cáo 75 trang đích'!$B$2:$B$76,$A2243)</f>
        <v>https://techcombank.com/cong-cu-tien-ich/cong-cu-tinh-toan/bang-tinh-lai-suat-vay</v>
      </c>
      <c r="C2243" s="5" t="str">
        <f t="array" ref="C2243">INDEX('Báo cáo 75 trang đích'!$C$2:$C$76,$A2243)</f>
        <v>Tool</v>
      </c>
      <c r="D2243" s="20" t="s">
        <v>1821</v>
      </c>
      <c r="E2243" s="22" t="s">
        <v>1172</v>
      </c>
      <c r="F2243" s="22" t="s">
        <v>81</v>
      </c>
      <c r="G2243" s="22" t="s">
        <v>1811</v>
      </c>
      <c r="H2243" s="24" t="s">
        <v>59</v>
      </c>
      <c r="I2243" s="24" t="s">
        <v>59</v>
      </c>
      <c r="J2243" s="24" t="s">
        <v>60</v>
      </c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6">
        <v>67.0</v>
      </c>
      <c r="B2244" s="35" t="str">
        <f t="array" ref="B2244">INDEX('Báo cáo 75 trang đích'!$B$2:$B$76,$A2244)</f>
        <v>https://techcombank.com/cong-cu-tien-ich/cong-cu-tinh-toan/bang-tinh-lai-suat-tiet-kiem</v>
      </c>
      <c r="C2244" s="5" t="str">
        <f t="array" ref="C2244">INDEX('Báo cáo 75 trang đích'!$C$2:$C$76,$A2244)</f>
        <v>Tool</v>
      </c>
      <c r="D2244" s="20" t="s">
        <v>1177</v>
      </c>
      <c r="E2244" s="22" t="s">
        <v>397</v>
      </c>
      <c r="F2244" s="22" t="s">
        <v>57</v>
      </c>
      <c r="G2244" s="22" t="s">
        <v>1919</v>
      </c>
      <c r="H2244" s="24" t="s">
        <v>59</v>
      </c>
      <c r="I2244" s="24" t="s">
        <v>59</v>
      </c>
      <c r="J2244" s="24" t="s">
        <v>60</v>
      </c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6">
        <v>67.0</v>
      </c>
      <c r="B2245" s="35" t="str">
        <f t="array" ref="B2245">INDEX('Báo cáo 75 trang đích'!$B$2:$B$76,$A2245)</f>
        <v>https://techcombank.com/cong-cu-tien-ich/cong-cu-tinh-toan/bang-tinh-lai-suat-tiet-kiem</v>
      </c>
      <c r="C2245" s="5" t="str">
        <f t="array" ref="C2245">INDEX('Báo cáo 75 trang đích'!$C$2:$C$76,$A2245)</f>
        <v>Tool</v>
      </c>
      <c r="D2245" s="20" t="s">
        <v>226</v>
      </c>
      <c r="E2245" s="22" t="s">
        <v>1180</v>
      </c>
      <c r="F2245" s="22" t="s">
        <v>57</v>
      </c>
      <c r="G2245" s="22" t="s">
        <v>1920</v>
      </c>
      <c r="H2245" s="24" t="s">
        <v>59</v>
      </c>
      <c r="I2245" s="24" t="s">
        <v>59</v>
      </c>
      <c r="J2245" s="24" t="s">
        <v>60</v>
      </c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6">
        <v>67.0</v>
      </c>
      <c r="B2246" s="35" t="str">
        <f t="array" ref="B2246">INDEX('Báo cáo 75 trang đích'!$B$2:$B$76,$A2246)</f>
        <v>https://techcombank.com/cong-cu-tien-ich/cong-cu-tinh-toan/bang-tinh-lai-suat-tiet-kiem</v>
      </c>
      <c r="C2246" s="5" t="str">
        <f t="array" ref="C2246">INDEX('Báo cáo 75 trang đích'!$C$2:$C$76,$A2246)</f>
        <v>Tool</v>
      </c>
      <c r="D2246" s="20" t="s">
        <v>1181</v>
      </c>
      <c r="E2246" s="22" t="s">
        <v>397</v>
      </c>
      <c r="F2246" s="22" t="s">
        <v>76</v>
      </c>
      <c r="G2246" s="22" t="s">
        <v>1921</v>
      </c>
      <c r="H2246" s="24" t="s">
        <v>59</v>
      </c>
      <c r="I2246" s="24" t="s">
        <v>59</v>
      </c>
      <c r="J2246" s="24" t="s">
        <v>60</v>
      </c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6">
        <v>67.0</v>
      </c>
      <c r="B2247" s="35" t="str">
        <f t="array" ref="B2247">INDEX('Báo cáo 75 trang đích'!$B$2:$B$76,$A2247)</f>
        <v>https://techcombank.com/cong-cu-tien-ich/cong-cu-tinh-toan/bang-tinh-lai-suat-tiet-kiem</v>
      </c>
      <c r="C2247" s="5" t="str">
        <f t="array" ref="C2247">INDEX('Báo cáo 75 trang đích'!$C$2:$C$76,$A2247)</f>
        <v>Tool</v>
      </c>
      <c r="D2247" s="20" t="s">
        <v>1135</v>
      </c>
      <c r="E2247" s="22" t="s">
        <v>1180</v>
      </c>
      <c r="F2247" s="22" t="s">
        <v>76</v>
      </c>
      <c r="G2247" s="22" t="s">
        <v>1922</v>
      </c>
      <c r="H2247" s="24" t="s">
        <v>59</v>
      </c>
      <c r="I2247" s="24" t="s">
        <v>59</v>
      </c>
      <c r="J2247" s="24" t="s">
        <v>60</v>
      </c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6">
        <v>67.0</v>
      </c>
      <c r="B2248" s="35" t="str">
        <f t="array" ref="B2248">INDEX('Báo cáo 75 trang đích'!$B$2:$B$76,$A2248)</f>
        <v>https://techcombank.com/cong-cu-tien-ich/cong-cu-tinh-toan/bang-tinh-lai-suat-tiet-kiem</v>
      </c>
      <c r="C2248" s="5" t="str">
        <f t="array" ref="C2248">INDEX('Báo cáo 75 trang đích'!$C$2:$C$76,$A2248)</f>
        <v>Tool</v>
      </c>
      <c r="D2248" s="20" t="s">
        <v>1185</v>
      </c>
      <c r="E2248" s="22" t="s">
        <v>397</v>
      </c>
      <c r="F2248" s="22" t="s">
        <v>76</v>
      </c>
      <c r="G2248" s="22" t="s">
        <v>1923</v>
      </c>
      <c r="H2248" s="24" t="s">
        <v>59</v>
      </c>
      <c r="I2248" s="24" t="s">
        <v>59</v>
      </c>
      <c r="J2248" s="24" t="s">
        <v>60</v>
      </c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6">
        <v>67.0</v>
      </c>
      <c r="B2249" s="35" t="str">
        <f t="array" ref="B2249">INDEX('Báo cáo 75 trang đích'!$B$2:$B$76,$A2249)</f>
        <v>https://techcombank.com/cong-cu-tien-ich/cong-cu-tinh-toan/bang-tinh-lai-suat-tiet-kiem</v>
      </c>
      <c r="C2249" s="5" t="str">
        <f t="array" ref="C2249">INDEX('Báo cáo 75 trang đích'!$C$2:$C$76,$A2249)</f>
        <v>Tool</v>
      </c>
      <c r="D2249" s="20" t="s">
        <v>1753</v>
      </c>
      <c r="E2249" s="22" t="s">
        <v>1180</v>
      </c>
      <c r="F2249" s="22" t="s">
        <v>81</v>
      </c>
      <c r="G2249" s="22" t="s">
        <v>1856</v>
      </c>
      <c r="H2249" s="24" t="s">
        <v>59</v>
      </c>
      <c r="I2249" s="24" t="s">
        <v>59</v>
      </c>
      <c r="J2249" s="24" t="s">
        <v>60</v>
      </c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6">
        <v>67.0</v>
      </c>
      <c r="B2250" s="35" t="str">
        <f t="array" ref="B2250">INDEX('Báo cáo 75 trang đích'!$B$2:$B$76,$A2250)</f>
        <v>https://techcombank.com/cong-cu-tien-ich/cong-cu-tinh-toan/bang-tinh-lai-suat-tiet-kiem</v>
      </c>
      <c r="C2250" s="5" t="str">
        <f t="array" ref="C2250">INDEX('Báo cáo 75 trang đích'!$C$2:$C$76,$A2250)</f>
        <v>Tool</v>
      </c>
      <c r="D2250" s="20" t="s">
        <v>1053</v>
      </c>
      <c r="E2250" s="22" t="s">
        <v>397</v>
      </c>
      <c r="F2250" s="22" t="s">
        <v>81</v>
      </c>
      <c r="G2250" s="22" t="s">
        <v>1856</v>
      </c>
      <c r="H2250" s="24" t="s">
        <v>59</v>
      </c>
      <c r="I2250" s="24" t="s">
        <v>59</v>
      </c>
      <c r="J2250" s="24" t="s">
        <v>60</v>
      </c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6">
        <v>67.0</v>
      </c>
      <c r="B2251" s="35" t="str">
        <f t="array" ref="B2251">INDEX('Báo cáo 75 trang đích'!$B$2:$B$76,$A2251)</f>
        <v>https://techcombank.com/cong-cu-tien-ich/cong-cu-tinh-toan/bang-tinh-lai-suat-tiet-kiem</v>
      </c>
      <c r="C2251" s="5" t="str">
        <f t="array" ref="C2251">INDEX('Báo cáo 75 trang đích'!$C$2:$C$76,$A2251)</f>
        <v>Tool</v>
      </c>
      <c r="D2251" s="20" t="s">
        <v>1722</v>
      </c>
      <c r="E2251" s="22" t="s">
        <v>1180</v>
      </c>
      <c r="F2251" s="22" t="s">
        <v>81</v>
      </c>
      <c r="G2251" s="22" t="s">
        <v>1924</v>
      </c>
      <c r="H2251" s="24" t="s">
        <v>59</v>
      </c>
      <c r="I2251" s="24" t="s">
        <v>59</v>
      </c>
      <c r="J2251" s="24" t="s">
        <v>60</v>
      </c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6">
        <v>67.0</v>
      </c>
      <c r="B2252" s="35" t="str">
        <f t="array" ref="B2252">INDEX('Báo cáo 75 trang đích'!$B$2:$B$76,$A2252)</f>
        <v>https://techcombank.com/cong-cu-tien-ich/cong-cu-tinh-toan/bang-tinh-lai-suat-tiet-kiem</v>
      </c>
      <c r="C2252" s="5" t="str">
        <f t="array" ref="C2252">INDEX('Báo cáo 75 trang đích'!$C$2:$C$76,$A2252)</f>
        <v>Tool</v>
      </c>
      <c r="D2252" s="20" t="s">
        <v>980</v>
      </c>
      <c r="E2252" s="22" t="s">
        <v>397</v>
      </c>
      <c r="F2252" s="22" t="s">
        <v>81</v>
      </c>
      <c r="G2252" s="22" t="s">
        <v>1924</v>
      </c>
      <c r="H2252" s="24" t="s">
        <v>59</v>
      </c>
      <c r="I2252" s="24" t="s">
        <v>59</v>
      </c>
      <c r="J2252" s="24" t="s">
        <v>60</v>
      </c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6">
        <v>67.0</v>
      </c>
      <c r="B2253" s="35" t="str">
        <f t="array" ref="B2253">INDEX('Báo cáo 75 trang đích'!$B$2:$B$76,$A2253)</f>
        <v>https://techcombank.com/cong-cu-tien-ich/cong-cu-tinh-toan/bang-tinh-lai-suat-tiet-kiem</v>
      </c>
      <c r="C2253" s="5" t="str">
        <f t="array" ref="C2253">INDEX('Báo cáo 75 trang đích'!$C$2:$C$76,$A2253)</f>
        <v>Tool</v>
      </c>
      <c r="D2253" s="20" t="s">
        <v>1537</v>
      </c>
      <c r="E2253" s="22" t="s">
        <v>1180</v>
      </c>
      <c r="F2253" s="22" t="s">
        <v>81</v>
      </c>
      <c r="G2253" s="22" t="s">
        <v>1925</v>
      </c>
      <c r="H2253" s="24" t="s">
        <v>59</v>
      </c>
      <c r="I2253" s="24" t="s">
        <v>59</v>
      </c>
      <c r="J2253" s="24" t="s">
        <v>60</v>
      </c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6">
        <v>67.0</v>
      </c>
      <c r="B2254" s="35" t="str">
        <f t="array" ref="B2254">INDEX('Báo cáo 75 trang đích'!$B$2:$B$76,$A2254)</f>
        <v>https://techcombank.com/cong-cu-tien-ich/cong-cu-tinh-toan/bang-tinh-lai-suat-tiet-kiem</v>
      </c>
      <c r="C2254" s="5" t="str">
        <f t="array" ref="C2254">INDEX('Báo cáo 75 trang đích'!$C$2:$C$76,$A2254)</f>
        <v>Tool</v>
      </c>
      <c r="D2254" s="20" t="s">
        <v>1538</v>
      </c>
      <c r="E2254" s="22" t="s">
        <v>397</v>
      </c>
      <c r="F2254" s="22" t="s">
        <v>81</v>
      </c>
      <c r="G2254" s="22" t="s">
        <v>1925</v>
      </c>
      <c r="H2254" s="24" t="s">
        <v>59</v>
      </c>
      <c r="I2254" s="24" t="s">
        <v>59</v>
      </c>
      <c r="J2254" s="24" t="s">
        <v>60</v>
      </c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16">
        <v>67.0</v>
      </c>
      <c r="B2255" s="35" t="str">
        <f t="array" ref="B2255">INDEX('Báo cáo 75 trang đích'!$B$2:$B$76,$A2255)</f>
        <v>https://techcombank.com/cong-cu-tien-ich/cong-cu-tinh-toan/bang-tinh-lai-suat-tiet-kiem</v>
      </c>
      <c r="C2255" s="5" t="str">
        <f t="array" ref="C2255">INDEX('Báo cáo 75 trang đích'!$C$2:$C$76,$A2255)</f>
        <v>Tool</v>
      </c>
      <c r="D2255" s="20" t="s">
        <v>1539</v>
      </c>
      <c r="E2255" s="22" t="s">
        <v>1180</v>
      </c>
      <c r="F2255" s="22" t="s">
        <v>81</v>
      </c>
      <c r="G2255" s="22" t="s">
        <v>1925</v>
      </c>
      <c r="H2255" s="24" t="s">
        <v>59</v>
      </c>
      <c r="I2255" s="24" t="s">
        <v>59</v>
      </c>
      <c r="J2255" s="24" t="s">
        <v>60</v>
      </c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16">
        <v>67.0</v>
      </c>
      <c r="B2256" s="35" t="str">
        <f t="array" ref="B2256">INDEX('Báo cáo 75 trang đích'!$B$2:$B$76,$A2256)</f>
        <v>https://techcombank.com/cong-cu-tien-ich/cong-cu-tinh-toan/bang-tinh-lai-suat-tiet-kiem</v>
      </c>
      <c r="C2256" s="5" t="str">
        <f t="array" ref="C2256">INDEX('Báo cáo 75 trang đích'!$C$2:$C$76,$A2256)</f>
        <v>Tool</v>
      </c>
      <c r="D2256" s="20" t="s">
        <v>1085</v>
      </c>
      <c r="E2256" s="22" t="s">
        <v>397</v>
      </c>
      <c r="F2256" s="22" t="s">
        <v>81</v>
      </c>
      <c r="G2256" s="22" t="s">
        <v>1536</v>
      </c>
      <c r="H2256" s="24" t="s">
        <v>59</v>
      </c>
      <c r="I2256" s="24" t="s">
        <v>59</v>
      </c>
      <c r="J2256" s="24" t="s">
        <v>60</v>
      </c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16">
        <v>67.0</v>
      </c>
      <c r="B2257" s="35" t="str">
        <f t="array" ref="B2257">INDEX('Báo cáo 75 trang đích'!$B$2:$B$76,$A2257)</f>
        <v>https://techcombank.com/cong-cu-tien-ich/cong-cu-tinh-toan/bang-tinh-lai-suat-tiet-kiem</v>
      </c>
      <c r="C2257" s="5" t="str">
        <f t="array" ref="C2257">INDEX('Báo cáo 75 trang đích'!$C$2:$C$76,$A2257)</f>
        <v>Tool</v>
      </c>
      <c r="D2257" s="20" t="s">
        <v>1679</v>
      </c>
      <c r="E2257" s="22" t="s">
        <v>1180</v>
      </c>
      <c r="F2257" s="22" t="s">
        <v>81</v>
      </c>
      <c r="G2257" s="22" t="s">
        <v>1856</v>
      </c>
      <c r="H2257" s="24" t="s">
        <v>59</v>
      </c>
      <c r="I2257" s="24" t="s">
        <v>59</v>
      </c>
      <c r="J2257" s="24" t="s">
        <v>60</v>
      </c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16">
        <v>67.0</v>
      </c>
      <c r="B2258" s="35" t="str">
        <f t="array" ref="B2258">INDEX('Báo cáo 75 trang đích'!$B$2:$B$76,$A2258)</f>
        <v>https://techcombank.com/cong-cu-tien-ich/cong-cu-tinh-toan/bang-tinh-lai-suat-tiet-kiem</v>
      </c>
      <c r="C2258" s="5" t="str">
        <f t="array" ref="C2258">INDEX('Báo cáo 75 trang đích'!$C$2:$C$76,$A2258)</f>
        <v>Tool</v>
      </c>
      <c r="D2258" s="20" t="s">
        <v>1099</v>
      </c>
      <c r="E2258" s="22" t="s">
        <v>397</v>
      </c>
      <c r="F2258" s="22" t="s">
        <v>81</v>
      </c>
      <c r="G2258" s="22" t="s">
        <v>1856</v>
      </c>
      <c r="H2258" s="24" t="s">
        <v>59</v>
      </c>
      <c r="I2258" s="24" t="s">
        <v>59</v>
      </c>
      <c r="J2258" s="24" t="s">
        <v>60</v>
      </c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16">
        <v>67.0</v>
      </c>
      <c r="B2259" s="35" t="str">
        <f t="array" ref="B2259">INDEX('Báo cáo 75 trang đích'!$B$2:$B$76,$A2259)</f>
        <v>https://techcombank.com/cong-cu-tien-ich/cong-cu-tinh-toan/bang-tinh-lai-suat-tiet-kiem</v>
      </c>
      <c r="C2259" s="5" t="str">
        <f t="array" ref="C2259">INDEX('Báo cáo 75 trang đích'!$C$2:$C$76,$A2259)</f>
        <v>Tool</v>
      </c>
      <c r="D2259" s="20" t="s">
        <v>1212</v>
      </c>
      <c r="E2259" s="22" t="s">
        <v>1180</v>
      </c>
      <c r="F2259" s="22" t="s">
        <v>81</v>
      </c>
      <c r="G2259" s="22" t="s">
        <v>1856</v>
      </c>
      <c r="H2259" s="24" t="s">
        <v>59</v>
      </c>
      <c r="I2259" s="24" t="s">
        <v>59</v>
      </c>
      <c r="J2259" s="24" t="s">
        <v>60</v>
      </c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16">
        <v>67.0</v>
      </c>
      <c r="B2260" s="35" t="str">
        <f t="array" ref="B2260">INDEX('Báo cáo 75 trang đích'!$B$2:$B$76,$A2260)</f>
        <v>https://techcombank.com/cong-cu-tien-ich/cong-cu-tinh-toan/bang-tinh-lai-suat-tiet-kiem</v>
      </c>
      <c r="C2260" s="5" t="str">
        <f t="array" ref="C2260">INDEX('Báo cáo 75 trang đích'!$C$2:$C$76,$A2260)</f>
        <v>Tool</v>
      </c>
      <c r="D2260" s="20" t="s">
        <v>1108</v>
      </c>
      <c r="E2260" s="22" t="s">
        <v>397</v>
      </c>
      <c r="F2260" s="22" t="s">
        <v>81</v>
      </c>
      <c r="G2260" s="22" t="s">
        <v>1856</v>
      </c>
      <c r="H2260" s="24" t="s">
        <v>59</v>
      </c>
      <c r="I2260" s="24" t="s">
        <v>59</v>
      </c>
      <c r="J2260" s="24" t="s">
        <v>60</v>
      </c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16">
        <v>67.0</v>
      </c>
      <c r="B2261" s="35" t="str">
        <f t="array" ref="B2261">INDEX('Báo cáo 75 trang đích'!$B$2:$B$76,$A2261)</f>
        <v>https://techcombank.com/cong-cu-tien-ich/cong-cu-tinh-toan/bang-tinh-lai-suat-tiet-kiem</v>
      </c>
      <c r="C2261" s="5" t="str">
        <f t="array" ref="C2261">INDEX('Báo cáo 75 trang đích'!$C$2:$C$76,$A2261)</f>
        <v>Tool</v>
      </c>
      <c r="D2261" s="20" t="s">
        <v>813</v>
      </c>
      <c r="E2261" s="22" t="s">
        <v>1180</v>
      </c>
      <c r="F2261" s="22" t="s">
        <v>81</v>
      </c>
      <c r="G2261" s="22" t="s">
        <v>1856</v>
      </c>
      <c r="H2261" s="24" t="s">
        <v>59</v>
      </c>
      <c r="I2261" s="24" t="s">
        <v>59</v>
      </c>
      <c r="J2261" s="24" t="s">
        <v>60</v>
      </c>
      <c r="K2261" s="5"/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>
      <c r="A2262" s="16">
        <v>67.0</v>
      </c>
      <c r="B2262" s="35" t="str">
        <f t="array" ref="B2262">INDEX('Báo cáo 75 trang đích'!$B$2:$B$76,$A2262)</f>
        <v>https://techcombank.com/cong-cu-tien-ich/cong-cu-tinh-toan/bang-tinh-lai-suat-tiet-kiem</v>
      </c>
      <c r="C2262" s="5" t="str">
        <f t="array" ref="C2262">INDEX('Báo cáo 75 trang đích'!$C$2:$C$76,$A2262)</f>
        <v>Tool</v>
      </c>
      <c r="D2262" s="20" t="s">
        <v>1089</v>
      </c>
      <c r="E2262" s="22" t="s">
        <v>397</v>
      </c>
      <c r="F2262" s="22" t="s">
        <v>81</v>
      </c>
      <c r="G2262" s="22" t="s">
        <v>1536</v>
      </c>
      <c r="H2262" s="24" t="s">
        <v>59</v>
      </c>
      <c r="I2262" s="24" t="s">
        <v>59</v>
      </c>
      <c r="J2262" s="24" t="s">
        <v>60</v>
      </c>
      <c r="K2262" s="5"/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>
      <c r="A2263" s="16">
        <v>67.0</v>
      </c>
      <c r="B2263" s="35" t="str">
        <f t="array" ref="B2263">INDEX('Báo cáo 75 trang đích'!$B$2:$B$76,$A2263)</f>
        <v>https://techcombank.com/cong-cu-tien-ich/cong-cu-tinh-toan/bang-tinh-lai-suat-tiet-kiem</v>
      </c>
      <c r="C2263" s="5" t="str">
        <f t="array" ref="C2263">INDEX('Báo cáo 75 trang đích'!$C$2:$C$76,$A2263)</f>
        <v>Tool</v>
      </c>
      <c r="D2263" s="20" t="s">
        <v>212</v>
      </c>
      <c r="E2263" s="22" t="s">
        <v>1180</v>
      </c>
      <c r="F2263" s="22" t="s">
        <v>81</v>
      </c>
      <c r="G2263" s="22" t="s">
        <v>1857</v>
      </c>
      <c r="H2263" s="24" t="s">
        <v>59</v>
      </c>
      <c r="I2263" s="24" t="s">
        <v>59</v>
      </c>
      <c r="J2263" s="24" t="s">
        <v>60</v>
      </c>
      <c r="K2263" s="5"/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>
      <c r="A2264" s="16">
        <v>67.0</v>
      </c>
      <c r="B2264" s="35" t="str">
        <f t="array" ref="B2264">INDEX('Báo cáo 75 trang đích'!$B$2:$B$76,$A2264)</f>
        <v>https://techcombank.com/cong-cu-tien-ich/cong-cu-tinh-toan/bang-tinh-lai-suat-tiet-kiem</v>
      </c>
      <c r="C2264" s="5" t="str">
        <f t="array" ref="C2264">INDEX('Báo cáo 75 trang đích'!$C$2:$C$76,$A2264)</f>
        <v>Tool</v>
      </c>
      <c r="D2264" s="20" t="s">
        <v>1149</v>
      </c>
      <c r="E2264" s="22" t="s">
        <v>397</v>
      </c>
      <c r="F2264" s="22" t="s">
        <v>81</v>
      </c>
      <c r="G2264" s="22" t="s">
        <v>1536</v>
      </c>
      <c r="H2264" s="24" t="s">
        <v>59</v>
      </c>
      <c r="I2264" s="24" t="s">
        <v>59</v>
      </c>
      <c r="J2264" s="24" t="s">
        <v>60</v>
      </c>
      <c r="K2264" s="5"/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>
      <c r="A2265" s="16">
        <v>67.0</v>
      </c>
      <c r="B2265" s="35" t="str">
        <f t="array" ref="B2265">INDEX('Báo cáo 75 trang đích'!$B$2:$B$76,$A2265)</f>
        <v>https://techcombank.com/cong-cu-tien-ich/cong-cu-tinh-toan/bang-tinh-lai-suat-tiet-kiem</v>
      </c>
      <c r="C2265" s="5" t="str">
        <f t="array" ref="C2265">INDEX('Báo cáo 75 trang đích'!$C$2:$C$76,$A2265)</f>
        <v>Tool</v>
      </c>
      <c r="D2265" s="20" t="s">
        <v>1545</v>
      </c>
      <c r="E2265" s="22" t="s">
        <v>1180</v>
      </c>
      <c r="F2265" s="22" t="s">
        <v>81</v>
      </c>
      <c r="G2265" s="22" t="s">
        <v>1536</v>
      </c>
      <c r="H2265" s="24" t="s">
        <v>59</v>
      </c>
      <c r="I2265" s="24" t="s">
        <v>59</v>
      </c>
      <c r="J2265" s="24" t="s">
        <v>60</v>
      </c>
      <c r="K2265" s="5"/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>
      <c r="A2266" s="16">
        <v>67.0</v>
      </c>
      <c r="B2266" s="35" t="str">
        <f t="array" ref="B2266">INDEX('Báo cáo 75 trang đích'!$B$2:$B$76,$A2266)</f>
        <v>https://techcombank.com/cong-cu-tien-ich/cong-cu-tinh-toan/bang-tinh-lai-suat-tiet-kiem</v>
      </c>
      <c r="C2266" s="5" t="str">
        <f t="array" ref="C2266">INDEX('Báo cáo 75 trang đích'!$C$2:$C$76,$A2266)</f>
        <v>Tool</v>
      </c>
      <c r="D2266" s="20" t="s">
        <v>1158</v>
      </c>
      <c r="E2266" s="22" t="s">
        <v>397</v>
      </c>
      <c r="F2266" s="22" t="s">
        <v>81</v>
      </c>
      <c r="G2266" s="22" t="s">
        <v>1536</v>
      </c>
      <c r="H2266" s="24" t="s">
        <v>59</v>
      </c>
      <c r="I2266" s="24" t="s">
        <v>59</v>
      </c>
      <c r="J2266" s="24" t="s">
        <v>60</v>
      </c>
      <c r="K2266" s="5"/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>
      <c r="A2267" s="16">
        <v>67.0</v>
      </c>
      <c r="B2267" s="35" t="str">
        <f t="array" ref="B2267">INDEX('Báo cáo 75 trang đích'!$B$2:$B$76,$A2267)</f>
        <v>https://techcombank.com/cong-cu-tien-ich/cong-cu-tinh-toan/bang-tinh-lai-suat-tiet-kiem</v>
      </c>
      <c r="C2267" s="5" t="str">
        <f t="array" ref="C2267">INDEX('Báo cáo 75 trang đích'!$C$2:$C$76,$A2267)</f>
        <v>Tool</v>
      </c>
      <c r="D2267" s="20" t="s">
        <v>599</v>
      </c>
      <c r="E2267" s="22" t="s">
        <v>1180</v>
      </c>
      <c r="F2267" s="22" t="s">
        <v>81</v>
      </c>
      <c r="G2267" s="22" t="s">
        <v>1536</v>
      </c>
      <c r="H2267" s="24" t="s">
        <v>59</v>
      </c>
      <c r="I2267" s="24" t="s">
        <v>59</v>
      </c>
      <c r="J2267" s="24" t="s">
        <v>60</v>
      </c>
      <c r="K2267" s="5"/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>
      <c r="A2268" s="16">
        <v>67.0</v>
      </c>
      <c r="B2268" s="35" t="str">
        <f t="array" ref="B2268">INDEX('Báo cáo 75 trang đích'!$B$2:$B$76,$A2268)</f>
        <v>https://techcombank.com/cong-cu-tien-ich/cong-cu-tinh-toan/bang-tinh-lai-suat-tiet-kiem</v>
      </c>
      <c r="C2268" s="5" t="str">
        <f t="array" ref="C2268">INDEX('Báo cáo 75 trang đích'!$C$2:$C$76,$A2268)</f>
        <v>Tool</v>
      </c>
      <c r="D2268" s="20" t="s">
        <v>1547</v>
      </c>
      <c r="E2268" s="22" t="s">
        <v>397</v>
      </c>
      <c r="F2268" s="22" t="s">
        <v>81</v>
      </c>
      <c r="G2268" s="22" t="s">
        <v>1558</v>
      </c>
      <c r="H2268" s="24" t="s">
        <v>59</v>
      </c>
      <c r="I2268" s="24" t="s">
        <v>59</v>
      </c>
      <c r="J2268" s="24" t="s">
        <v>60</v>
      </c>
      <c r="K2268" s="5"/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>
      <c r="A2269" s="16">
        <v>67.0</v>
      </c>
      <c r="B2269" s="35" t="str">
        <f t="array" ref="B2269">INDEX('Báo cáo 75 trang đích'!$B$2:$B$76,$A2269)</f>
        <v>https://techcombank.com/cong-cu-tien-ich/cong-cu-tinh-toan/bang-tinh-lai-suat-tiet-kiem</v>
      </c>
      <c r="C2269" s="5" t="str">
        <f t="array" ref="C2269">INDEX('Báo cáo 75 trang đích'!$C$2:$C$76,$A2269)</f>
        <v>Tool</v>
      </c>
      <c r="D2269" s="20" t="s">
        <v>1081</v>
      </c>
      <c r="E2269" s="22" t="s">
        <v>1180</v>
      </c>
      <c r="F2269" s="22" t="s">
        <v>81</v>
      </c>
      <c r="G2269" s="22" t="s">
        <v>1536</v>
      </c>
      <c r="H2269" s="24" t="s">
        <v>59</v>
      </c>
      <c r="I2269" s="24" t="s">
        <v>59</v>
      </c>
      <c r="J2269" s="24" t="s">
        <v>60</v>
      </c>
      <c r="K2269" s="5"/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>
      <c r="A2270" s="16">
        <v>67.0</v>
      </c>
      <c r="B2270" s="35" t="str">
        <f t="array" ref="B2270">INDEX('Báo cáo 75 trang đích'!$B$2:$B$76,$A2270)</f>
        <v>https://techcombank.com/cong-cu-tien-ich/cong-cu-tinh-toan/bang-tinh-lai-suat-tiet-kiem</v>
      </c>
      <c r="C2270" s="5" t="str">
        <f t="array" ref="C2270">INDEX('Báo cáo 75 trang đích'!$C$2:$C$76,$A2270)</f>
        <v>Tool</v>
      </c>
      <c r="D2270" s="20" t="s">
        <v>539</v>
      </c>
      <c r="E2270" s="22" t="s">
        <v>397</v>
      </c>
      <c r="F2270" s="22" t="s">
        <v>81</v>
      </c>
      <c r="G2270" s="22" t="s">
        <v>1924</v>
      </c>
      <c r="H2270" s="24" t="s">
        <v>59</v>
      </c>
      <c r="I2270" s="24" t="s">
        <v>59</v>
      </c>
      <c r="J2270" s="24" t="s">
        <v>60</v>
      </c>
      <c r="K2270" s="5"/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>
      <c r="A2271" s="16">
        <v>67.0</v>
      </c>
      <c r="B2271" s="35" t="str">
        <f t="array" ref="B2271">INDEX('Báo cáo 75 trang đích'!$B$2:$B$76,$A2271)</f>
        <v>https://techcombank.com/cong-cu-tien-ich/cong-cu-tinh-toan/bang-tinh-lai-suat-tiet-kiem</v>
      </c>
      <c r="C2271" s="5" t="str">
        <f t="array" ref="C2271">INDEX('Báo cáo 75 trang đích'!$C$2:$C$76,$A2271)</f>
        <v>Tool</v>
      </c>
      <c r="D2271" s="20" t="s">
        <v>749</v>
      </c>
      <c r="E2271" s="22" t="s">
        <v>1180</v>
      </c>
      <c r="F2271" s="22" t="s">
        <v>81</v>
      </c>
      <c r="G2271" s="22" t="s">
        <v>1856</v>
      </c>
      <c r="H2271" s="24" t="s">
        <v>59</v>
      </c>
      <c r="I2271" s="24" t="s">
        <v>59</v>
      </c>
      <c r="J2271" s="24" t="s">
        <v>60</v>
      </c>
      <c r="K2271" s="5"/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>
      <c r="A2272" s="16">
        <v>67.0</v>
      </c>
      <c r="B2272" s="35" t="str">
        <f t="array" ref="B2272">INDEX('Báo cáo 75 trang đích'!$B$2:$B$76,$A2272)</f>
        <v>https://techcombank.com/cong-cu-tien-ich/cong-cu-tinh-toan/bang-tinh-lai-suat-tiet-kiem</v>
      </c>
      <c r="C2272" s="5" t="str">
        <f t="array" ref="C2272">INDEX('Báo cáo 75 trang đích'!$C$2:$C$76,$A2272)</f>
        <v>Tool</v>
      </c>
      <c r="D2272" s="20" t="s">
        <v>1098</v>
      </c>
      <c r="E2272" s="22" t="s">
        <v>397</v>
      </c>
      <c r="F2272" s="22" t="s">
        <v>81</v>
      </c>
      <c r="G2272" s="22" t="s">
        <v>1924</v>
      </c>
      <c r="H2272" s="24" t="s">
        <v>59</v>
      </c>
      <c r="I2272" s="24" t="s">
        <v>59</v>
      </c>
      <c r="J2272" s="24" t="s">
        <v>60</v>
      </c>
      <c r="K2272" s="5"/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>
      <c r="A2273" s="16">
        <v>67.0</v>
      </c>
      <c r="B2273" s="35" t="str">
        <f t="array" ref="B2273">INDEX('Báo cáo 75 trang đích'!$B$2:$B$76,$A2273)</f>
        <v>https://techcombank.com/cong-cu-tien-ich/cong-cu-tinh-toan/bang-tinh-lai-suat-tiet-kiem</v>
      </c>
      <c r="C2273" s="5" t="str">
        <f t="array" ref="C2273">INDEX('Báo cáo 75 trang đích'!$C$2:$C$76,$A2273)</f>
        <v>Tool</v>
      </c>
      <c r="D2273" s="20" t="s">
        <v>128</v>
      </c>
      <c r="E2273" s="22" t="s">
        <v>1180</v>
      </c>
      <c r="F2273" s="22" t="s">
        <v>81</v>
      </c>
      <c r="G2273" s="22" t="s">
        <v>1856</v>
      </c>
      <c r="H2273" s="24" t="s">
        <v>59</v>
      </c>
      <c r="I2273" s="24" t="s">
        <v>59</v>
      </c>
      <c r="J2273" s="24" t="s">
        <v>60</v>
      </c>
      <c r="K2273" s="5"/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>
      <c r="A2274" s="16">
        <v>67.0</v>
      </c>
      <c r="B2274" s="35" t="str">
        <f t="array" ref="B2274">INDEX('Báo cáo 75 trang đích'!$B$2:$B$76,$A2274)</f>
        <v>https://techcombank.com/cong-cu-tien-ich/cong-cu-tinh-toan/bang-tinh-lai-suat-tiet-kiem</v>
      </c>
      <c r="C2274" s="5" t="str">
        <f t="array" ref="C2274">INDEX('Báo cáo 75 trang đích'!$C$2:$C$76,$A2274)</f>
        <v>Tool</v>
      </c>
      <c r="D2274" s="20" t="s">
        <v>1102</v>
      </c>
      <c r="E2274" s="22" t="s">
        <v>397</v>
      </c>
      <c r="F2274" s="22" t="s">
        <v>81</v>
      </c>
      <c r="G2274" s="22" t="s">
        <v>1536</v>
      </c>
      <c r="H2274" s="24" t="s">
        <v>59</v>
      </c>
      <c r="I2274" s="24" t="s">
        <v>59</v>
      </c>
      <c r="J2274" s="24" t="s">
        <v>60</v>
      </c>
      <c r="K2274" s="5"/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>
      <c r="A2275" s="16">
        <v>67.0</v>
      </c>
      <c r="B2275" s="35" t="str">
        <f t="array" ref="B2275">INDEX('Báo cáo 75 trang đích'!$B$2:$B$76,$A2275)</f>
        <v>https://techcombank.com/cong-cu-tien-ich/cong-cu-tinh-toan/bang-tinh-lai-suat-tiet-kiem</v>
      </c>
      <c r="C2275" s="5" t="str">
        <f t="array" ref="C2275">INDEX('Báo cáo 75 trang đích'!$C$2:$C$76,$A2275)</f>
        <v>Tool</v>
      </c>
      <c r="D2275" s="20" t="s">
        <v>349</v>
      </c>
      <c r="E2275" s="22" t="s">
        <v>1180</v>
      </c>
      <c r="F2275" s="22" t="s">
        <v>81</v>
      </c>
      <c r="G2275" s="22" t="s">
        <v>1536</v>
      </c>
      <c r="H2275" s="24" t="s">
        <v>59</v>
      </c>
      <c r="I2275" s="24" t="s">
        <v>59</v>
      </c>
      <c r="J2275" s="24" t="s">
        <v>60</v>
      </c>
      <c r="K2275" s="5"/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>
      <c r="A2276" s="16">
        <v>67.0</v>
      </c>
      <c r="B2276" s="35" t="str">
        <f t="array" ref="B2276">INDEX('Báo cáo 75 trang đích'!$B$2:$B$76,$A2276)</f>
        <v>https://techcombank.com/cong-cu-tien-ich/cong-cu-tinh-toan/bang-tinh-lai-suat-tiet-kiem</v>
      </c>
      <c r="C2276" s="5" t="str">
        <f t="array" ref="C2276">INDEX('Báo cáo 75 trang đích'!$C$2:$C$76,$A2276)</f>
        <v>Tool</v>
      </c>
      <c r="D2276" s="20" t="s">
        <v>1405</v>
      </c>
      <c r="E2276" s="22" t="s">
        <v>397</v>
      </c>
      <c r="F2276" s="22" t="s">
        <v>81</v>
      </c>
      <c r="G2276" s="22" t="s">
        <v>1924</v>
      </c>
      <c r="H2276" s="24" t="s">
        <v>59</v>
      </c>
      <c r="I2276" s="24" t="s">
        <v>59</v>
      </c>
      <c r="J2276" s="24" t="s">
        <v>60</v>
      </c>
      <c r="K2276" s="5"/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>
      <c r="A2277" s="16">
        <v>67.0</v>
      </c>
      <c r="B2277" s="35" t="str">
        <f t="array" ref="B2277">INDEX('Báo cáo 75 trang đích'!$B$2:$B$76,$A2277)</f>
        <v>https://techcombank.com/cong-cu-tien-ich/cong-cu-tinh-toan/bang-tinh-lai-suat-tiet-kiem</v>
      </c>
      <c r="C2277" s="5" t="str">
        <f t="array" ref="C2277">INDEX('Báo cáo 75 trang đích'!$C$2:$C$76,$A2277)</f>
        <v>Tool</v>
      </c>
      <c r="D2277" s="20" t="s">
        <v>331</v>
      </c>
      <c r="E2277" s="22" t="s">
        <v>1180</v>
      </c>
      <c r="F2277" s="22" t="s">
        <v>81</v>
      </c>
      <c r="G2277" s="22" t="s">
        <v>1926</v>
      </c>
      <c r="H2277" s="24" t="s">
        <v>59</v>
      </c>
      <c r="I2277" s="24" t="s">
        <v>59</v>
      </c>
      <c r="J2277" s="24" t="s">
        <v>60</v>
      </c>
      <c r="K2277" s="5"/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>
      <c r="A2278" s="16">
        <v>67.0</v>
      </c>
      <c r="B2278" s="35" t="str">
        <f t="array" ref="B2278">INDEX('Báo cáo 75 trang đích'!$B$2:$B$76,$A2278)</f>
        <v>https://techcombank.com/cong-cu-tien-ich/cong-cu-tinh-toan/bang-tinh-lai-suat-tiet-kiem</v>
      </c>
      <c r="C2278" s="5" t="str">
        <f t="array" ref="C2278">INDEX('Báo cáo 75 trang đích'!$C$2:$C$76,$A2278)</f>
        <v>Tool</v>
      </c>
      <c r="D2278" s="20" t="s">
        <v>1049</v>
      </c>
      <c r="E2278" s="22" t="s">
        <v>397</v>
      </c>
      <c r="F2278" s="22" t="s">
        <v>81</v>
      </c>
      <c r="G2278" s="22" t="s">
        <v>1856</v>
      </c>
      <c r="H2278" s="24" t="s">
        <v>59</v>
      </c>
      <c r="I2278" s="24" t="s">
        <v>59</v>
      </c>
      <c r="J2278" s="24" t="s">
        <v>60</v>
      </c>
      <c r="K2278" s="5"/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>
      <c r="A2279" s="16">
        <v>67.0</v>
      </c>
      <c r="B2279" s="35" t="str">
        <f t="array" ref="B2279">INDEX('Báo cáo 75 trang đích'!$B$2:$B$76,$A2279)</f>
        <v>https://techcombank.com/cong-cu-tien-ich/cong-cu-tinh-toan/bang-tinh-lai-suat-tiet-kiem</v>
      </c>
      <c r="C2279" s="5" t="str">
        <f t="array" ref="C2279">INDEX('Báo cáo 75 trang đích'!$C$2:$C$76,$A2279)</f>
        <v>Tool</v>
      </c>
      <c r="D2279" s="20" t="s">
        <v>684</v>
      </c>
      <c r="E2279" s="22" t="s">
        <v>1180</v>
      </c>
      <c r="F2279" s="22" t="s">
        <v>81</v>
      </c>
      <c r="G2279" s="22" t="s">
        <v>1856</v>
      </c>
      <c r="H2279" s="24" t="s">
        <v>59</v>
      </c>
      <c r="I2279" s="24" t="s">
        <v>59</v>
      </c>
      <c r="J2279" s="24" t="s">
        <v>60</v>
      </c>
      <c r="K2279" s="5"/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>
      <c r="A2280" s="16">
        <v>67.0</v>
      </c>
      <c r="B2280" s="35" t="str">
        <f t="array" ref="B2280">INDEX('Báo cáo 75 trang đích'!$B$2:$B$76,$A2280)</f>
        <v>https://techcombank.com/cong-cu-tien-ich/cong-cu-tinh-toan/bang-tinh-lai-suat-tiet-kiem</v>
      </c>
      <c r="C2280" s="5" t="str">
        <f t="array" ref="C2280">INDEX('Báo cáo 75 trang đích'!$C$2:$C$76,$A2280)</f>
        <v>Tool</v>
      </c>
      <c r="D2280" s="20" t="s">
        <v>1549</v>
      </c>
      <c r="E2280" s="22" t="s">
        <v>397</v>
      </c>
      <c r="F2280" s="22" t="s">
        <v>81</v>
      </c>
      <c r="G2280" s="22" t="s">
        <v>1558</v>
      </c>
      <c r="H2280" s="24" t="s">
        <v>59</v>
      </c>
      <c r="I2280" s="24" t="s">
        <v>59</v>
      </c>
      <c r="J2280" s="24" t="s">
        <v>60</v>
      </c>
      <c r="K2280" s="5"/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>
      <c r="A2281" s="16">
        <v>67.0</v>
      </c>
      <c r="B2281" s="35" t="str">
        <f t="array" ref="B2281">INDEX('Báo cáo 75 trang đích'!$B$2:$B$76,$A2281)</f>
        <v>https://techcombank.com/cong-cu-tien-ich/cong-cu-tinh-toan/bang-tinh-lai-suat-tiet-kiem</v>
      </c>
      <c r="C2281" s="5" t="str">
        <f t="array" ref="C2281">INDEX('Báo cáo 75 trang đích'!$C$2:$C$76,$A2281)</f>
        <v>Tool</v>
      </c>
      <c r="D2281" s="20" t="s">
        <v>694</v>
      </c>
      <c r="E2281" s="22" t="s">
        <v>1180</v>
      </c>
      <c r="F2281" s="22" t="s">
        <v>81</v>
      </c>
      <c r="G2281" s="22" t="s">
        <v>1536</v>
      </c>
      <c r="H2281" s="24" t="s">
        <v>59</v>
      </c>
      <c r="I2281" s="24" t="s">
        <v>59</v>
      </c>
      <c r="J2281" s="24" t="s">
        <v>60</v>
      </c>
      <c r="K2281" s="5"/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>
      <c r="A2282" s="16">
        <v>67.0</v>
      </c>
      <c r="B2282" s="35" t="str">
        <f t="array" ref="B2282">INDEX('Báo cáo 75 trang đích'!$B$2:$B$76,$A2282)</f>
        <v>https://techcombank.com/cong-cu-tien-ich/cong-cu-tinh-toan/bang-tinh-lai-suat-tiet-kiem</v>
      </c>
      <c r="C2282" s="5" t="str">
        <f t="array" ref="C2282">INDEX('Báo cáo 75 trang đích'!$C$2:$C$76,$A2282)</f>
        <v>Tool</v>
      </c>
      <c r="D2282" s="20" t="s">
        <v>1525</v>
      </c>
      <c r="E2282" s="22" t="s">
        <v>397</v>
      </c>
      <c r="F2282" s="22" t="s">
        <v>81</v>
      </c>
      <c r="G2282" s="22" t="s">
        <v>1856</v>
      </c>
      <c r="H2282" s="24" t="s">
        <v>59</v>
      </c>
      <c r="I2282" s="24" t="s">
        <v>59</v>
      </c>
      <c r="J2282" s="24" t="s">
        <v>60</v>
      </c>
      <c r="K2282" s="5"/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>
      <c r="A2283" s="16">
        <v>67.0</v>
      </c>
      <c r="B2283" s="35" t="str">
        <f t="array" ref="B2283">INDEX('Báo cáo 75 trang đích'!$B$2:$B$76,$A2283)</f>
        <v>https://techcombank.com/cong-cu-tien-ich/cong-cu-tinh-toan/bang-tinh-lai-suat-tiet-kiem</v>
      </c>
      <c r="C2283" s="5" t="str">
        <f t="array" ref="C2283">INDEX('Báo cáo 75 trang đích'!$C$2:$C$76,$A2283)</f>
        <v>Tool</v>
      </c>
      <c r="D2283" s="20" t="s">
        <v>1160</v>
      </c>
      <c r="E2283" s="22" t="s">
        <v>1180</v>
      </c>
      <c r="F2283" s="22" t="s">
        <v>81</v>
      </c>
      <c r="G2283" s="22" t="s">
        <v>1536</v>
      </c>
      <c r="H2283" s="24" t="s">
        <v>59</v>
      </c>
      <c r="I2283" s="24" t="s">
        <v>59</v>
      </c>
      <c r="J2283" s="24" t="s">
        <v>60</v>
      </c>
      <c r="K2283" s="5"/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>
      <c r="A2284" s="16">
        <v>67.0</v>
      </c>
      <c r="B2284" s="35" t="str">
        <f t="array" ref="B2284">INDEX('Báo cáo 75 trang đích'!$B$2:$B$76,$A2284)</f>
        <v>https://techcombank.com/cong-cu-tien-ich/cong-cu-tinh-toan/bang-tinh-lai-suat-tiet-kiem</v>
      </c>
      <c r="C2284" s="5" t="str">
        <f t="array" ref="C2284">INDEX('Báo cáo 75 trang đích'!$C$2:$C$76,$A2284)</f>
        <v>Tool</v>
      </c>
      <c r="D2284" s="20" t="s">
        <v>559</v>
      </c>
      <c r="E2284" s="22" t="s">
        <v>397</v>
      </c>
      <c r="F2284" s="22" t="s">
        <v>81</v>
      </c>
      <c r="G2284" s="22" t="s">
        <v>1927</v>
      </c>
      <c r="H2284" s="24" t="s">
        <v>59</v>
      </c>
      <c r="I2284" s="24" t="s">
        <v>59</v>
      </c>
      <c r="J2284" s="24" t="s">
        <v>60</v>
      </c>
      <c r="K2284" s="5"/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>
      <c r="A2285" s="16">
        <v>67.0</v>
      </c>
      <c r="B2285" s="35" t="str">
        <f t="array" ref="B2285">INDEX('Báo cáo 75 trang đích'!$B$2:$B$76,$A2285)</f>
        <v>https://techcombank.com/cong-cu-tien-ich/cong-cu-tinh-toan/bang-tinh-lai-suat-tiet-kiem</v>
      </c>
      <c r="C2285" s="5" t="str">
        <f t="array" ref="C2285">INDEX('Báo cáo 75 trang đích'!$C$2:$C$76,$A2285)</f>
        <v>Tool</v>
      </c>
      <c r="D2285" s="20" t="s">
        <v>344</v>
      </c>
      <c r="E2285" s="22" t="s">
        <v>1180</v>
      </c>
      <c r="F2285" s="22" t="s">
        <v>81</v>
      </c>
      <c r="G2285" s="22" t="s">
        <v>1924</v>
      </c>
      <c r="H2285" s="24" t="s">
        <v>59</v>
      </c>
      <c r="I2285" s="24" t="s">
        <v>59</v>
      </c>
      <c r="J2285" s="24" t="s">
        <v>60</v>
      </c>
      <c r="K2285" s="5"/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>
      <c r="A2286" s="16">
        <v>67.0</v>
      </c>
      <c r="B2286" s="35" t="str">
        <f t="array" ref="B2286">INDEX('Báo cáo 75 trang đích'!$B$2:$B$76,$A2286)</f>
        <v>https://techcombank.com/cong-cu-tien-ich/cong-cu-tinh-toan/bang-tinh-lai-suat-tiet-kiem</v>
      </c>
      <c r="C2286" s="5" t="str">
        <f t="array" ref="C2286">INDEX('Báo cáo 75 trang đích'!$C$2:$C$76,$A2286)</f>
        <v>Tool</v>
      </c>
      <c r="D2286" s="20" t="s">
        <v>1217</v>
      </c>
      <c r="E2286" s="22" t="s">
        <v>397</v>
      </c>
      <c r="F2286" s="22" t="s">
        <v>81</v>
      </c>
      <c r="G2286" s="22" t="s">
        <v>1856</v>
      </c>
      <c r="H2286" s="24" t="s">
        <v>59</v>
      </c>
      <c r="I2286" s="24" t="s">
        <v>59</v>
      </c>
      <c r="J2286" s="24" t="s">
        <v>60</v>
      </c>
      <c r="K2286" s="5"/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>
      <c r="A2287" s="16">
        <v>67.0</v>
      </c>
      <c r="B2287" s="35" t="str">
        <f t="array" ref="B2287">INDEX('Báo cáo 75 trang đích'!$B$2:$B$76,$A2287)</f>
        <v>https://techcombank.com/cong-cu-tien-ich/cong-cu-tinh-toan/bang-tinh-lai-suat-tiet-kiem</v>
      </c>
      <c r="C2287" s="5" t="str">
        <f t="array" ref="C2287">INDEX('Báo cáo 75 trang đích'!$C$2:$C$76,$A2287)</f>
        <v>Tool</v>
      </c>
      <c r="D2287" s="20" t="s">
        <v>1362</v>
      </c>
      <c r="E2287" s="22" t="s">
        <v>1180</v>
      </c>
      <c r="F2287" s="22" t="s">
        <v>81</v>
      </c>
      <c r="G2287" s="22" t="s">
        <v>1924</v>
      </c>
      <c r="H2287" s="24" t="s">
        <v>59</v>
      </c>
      <c r="I2287" s="24" t="s">
        <v>59</v>
      </c>
      <c r="J2287" s="24" t="s">
        <v>60</v>
      </c>
      <c r="K2287" s="5"/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>
      <c r="A2288" s="16">
        <v>67.0</v>
      </c>
      <c r="B2288" s="35" t="str">
        <f t="array" ref="B2288">INDEX('Báo cáo 75 trang đích'!$B$2:$B$76,$A2288)</f>
        <v>https://techcombank.com/cong-cu-tien-ich/cong-cu-tinh-toan/bang-tinh-lai-suat-tiet-kiem</v>
      </c>
      <c r="C2288" s="5" t="str">
        <f t="array" ref="C2288">INDEX('Báo cáo 75 trang đích'!$C$2:$C$76,$A2288)</f>
        <v>Tool</v>
      </c>
      <c r="D2288" s="20" t="s">
        <v>316</v>
      </c>
      <c r="E2288" s="22" t="s">
        <v>397</v>
      </c>
      <c r="F2288" s="22" t="s">
        <v>81</v>
      </c>
      <c r="G2288" s="22" t="s">
        <v>1856</v>
      </c>
      <c r="H2288" s="24" t="s">
        <v>59</v>
      </c>
      <c r="I2288" s="24" t="s">
        <v>59</v>
      </c>
      <c r="J2288" s="24" t="s">
        <v>60</v>
      </c>
      <c r="K2288" s="5"/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>
      <c r="A2289" s="16">
        <v>67.0</v>
      </c>
      <c r="B2289" s="35" t="str">
        <f t="array" ref="B2289">INDEX('Báo cáo 75 trang đích'!$B$2:$B$76,$A2289)</f>
        <v>https://techcombank.com/cong-cu-tien-ich/cong-cu-tinh-toan/bang-tinh-lai-suat-tiet-kiem</v>
      </c>
      <c r="C2289" s="5" t="str">
        <f t="array" ref="C2289">INDEX('Báo cáo 75 trang đích'!$C$2:$C$76,$A2289)</f>
        <v>Tool</v>
      </c>
      <c r="D2289" s="20" t="s">
        <v>1152</v>
      </c>
      <c r="E2289" s="22" t="s">
        <v>1180</v>
      </c>
      <c r="F2289" s="22" t="s">
        <v>81</v>
      </c>
      <c r="G2289" s="22" t="s">
        <v>1536</v>
      </c>
      <c r="H2289" s="24" t="s">
        <v>59</v>
      </c>
      <c r="I2289" s="24" t="s">
        <v>59</v>
      </c>
      <c r="J2289" s="24" t="s">
        <v>60</v>
      </c>
      <c r="K2289" s="5"/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>
      <c r="A2290" s="16">
        <v>67.0</v>
      </c>
      <c r="B2290" s="35" t="str">
        <f t="array" ref="B2290">INDEX('Báo cáo 75 trang đích'!$B$2:$B$76,$A2290)</f>
        <v>https://techcombank.com/cong-cu-tien-ich/cong-cu-tinh-toan/bang-tinh-lai-suat-tiet-kiem</v>
      </c>
      <c r="C2290" s="5" t="str">
        <f t="array" ref="C2290">INDEX('Báo cáo 75 trang đích'!$C$2:$C$76,$A2290)</f>
        <v>Tool</v>
      </c>
      <c r="D2290" s="20" t="s">
        <v>1155</v>
      </c>
      <c r="E2290" s="22" t="s">
        <v>397</v>
      </c>
      <c r="F2290" s="22" t="s">
        <v>81</v>
      </c>
      <c r="G2290" s="22" t="s">
        <v>1536</v>
      </c>
      <c r="H2290" s="24" t="s">
        <v>59</v>
      </c>
      <c r="I2290" s="24" t="s">
        <v>59</v>
      </c>
      <c r="J2290" s="24" t="s">
        <v>60</v>
      </c>
      <c r="K2290" s="5"/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>
      <c r="A2291" s="16">
        <v>67.0</v>
      </c>
      <c r="B2291" s="35" t="str">
        <f t="array" ref="B2291">INDEX('Báo cáo 75 trang đích'!$B$2:$B$76,$A2291)</f>
        <v>https://techcombank.com/cong-cu-tien-ich/cong-cu-tinh-toan/bang-tinh-lai-suat-tiet-kiem</v>
      </c>
      <c r="C2291" s="5" t="str">
        <f t="array" ref="C2291">INDEX('Báo cáo 75 trang đích'!$C$2:$C$76,$A2291)</f>
        <v>Tool</v>
      </c>
      <c r="D2291" s="20" t="s">
        <v>1120</v>
      </c>
      <c r="E2291" s="22" t="s">
        <v>1180</v>
      </c>
      <c r="F2291" s="22" t="s">
        <v>81</v>
      </c>
      <c r="G2291" s="22" t="s">
        <v>1856</v>
      </c>
      <c r="H2291" s="24" t="s">
        <v>59</v>
      </c>
      <c r="I2291" s="24" t="s">
        <v>59</v>
      </c>
      <c r="J2291" s="24" t="s">
        <v>60</v>
      </c>
      <c r="K2291" s="5"/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>
      <c r="A2292" s="16">
        <v>67.0</v>
      </c>
      <c r="B2292" s="35" t="str">
        <f t="array" ref="B2292">INDEX('Báo cáo 75 trang đích'!$B$2:$B$76,$A2292)</f>
        <v>https://techcombank.com/cong-cu-tien-ich/cong-cu-tinh-toan/bang-tinh-lai-suat-tiet-kiem</v>
      </c>
      <c r="C2292" s="5" t="str">
        <f t="array" ref="C2292">INDEX('Báo cáo 75 trang đích'!$C$2:$C$76,$A2292)</f>
        <v>Tool</v>
      </c>
      <c r="D2292" s="20" t="s">
        <v>370</v>
      </c>
      <c r="E2292" s="22" t="s">
        <v>397</v>
      </c>
      <c r="F2292" s="22" t="s">
        <v>81</v>
      </c>
      <c r="G2292" s="22" t="s">
        <v>1856</v>
      </c>
      <c r="H2292" s="24" t="s">
        <v>59</v>
      </c>
      <c r="I2292" s="24" t="s">
        <v>59</v>
      </c>
      <c r="J2292" s="24" t="s">
        <v>60</v>
      </c>
      <c r="K2292" s="5"/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>
      <c r="A2293" s="16">
        <v>67.0</v>
      </c>
      <c r="B2293" s="35" t="str">
        <f t="array" ref="B2293">INDEX('Báo cáo 75 trang đích'!$B$2:$B$76,$A2293)</f>
        <v>https://techcombank.com/cong-cu-tien-ich/cong-cu-tinh-toan/bang-tinh-lai-suat-tiet-kiem</v>
      </c>
      <c r="C2293" s="5" t="str">
        <f t="array" ref="C2293">INDEX('Báo cáo 75 trang đích'!$C$2:$C$76,$A2293)</f>
        <v>Tool</v>
      </c>
      <c r="D2293" s="20" t="s">
        <v>1115</v>
      </c>
      <c r="E2293" s="22" t="s">
        <v>1180</v>
      </c>
      <c r="F2293" s="22" t="s">
        <v>81</v>
      </c>
      <c r="G2293" s="22" t="s">
        <v>1536</v>
      </c>
      <c r="H2293" s="24" t="s">
        <v>59</v>
      </c>
      <c r="I2293" s="24" t="s">
        <v>59</v>
      </c>
      <c r="J2293" s="24" t="s">
        <v>60</v>
      </c>
      <c r="K2293" s="5"/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>
      <c r="A2294" s="16">
        <v>67.0</v>
      </c>
      <c r="B2294" s="35" t="str">
        <f t="array" ref="B2294">INDEX('Báo cáo 75 trang đích'!$B$2:$B$76,$A2294)</f>
        <v>https://techcombank.com/cong-cu-tien-ich/cong-cu-tinh-toan/bang-tinh-lai-suat-tiet-kiem</v>
      </c>
      <c r="C2294" s="5" t="str">
        <f t="array" ref="C2294">INDEX('Báo cáo 75 trang đích'!$C$2:$C$76,$A2294)</f>
        <v>Tool</v>
      </c>
      <c r="D2294" s="20" t="s">
        <v>1550</v>
      </c>
      <c r="E2294" s="22" t="s">
        <v>397</v>
      </c>
      <c r="F2294" s="22" t="s">
        <v>81</v>
      </c>
      <c r="G2294" s="22" t="s">
        <v>1536</v>
      </c>
      <c r="H2294" s="24" t="s">
        <v>59</v>
      </c>
      <c r="I2294" s="24" t="s">
        <v>59</v>
      </c>
      <c r="J2294" s="24" t="s">
        <v>60</v>
      </c>
      <c r="K2294" s="5"/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>
      <c r="A2295" s="16">
        <v>67.0</v>
      </c>
      <c r="B2295" s="35" t="str">
        <f t="array" ref="B2295">INDEX('Báo cáo 75 trang đích'!$B$2:$B$76,$A2295)</f>
        <v>https://techcombank.com/cong-cu-tien-ich/cong-cu-tinh-toan/bang-tinh-lai-suat-tiet-kiem</v>
      </c>
      <c r="C2295" s="5" t="str">
        <f t="array" ref="C2295">INDEX('Báo cáo 75 trang đích'!$C$2:$C$76,$A2295)</f>
        <v>Tool</v>
      </c>
      <c r="D2295" s="20" t="s">
        <v>824</v>
      </c>
      <c r="E2295" s="22" t="s">
        <v>1180</v>
      </c>
      <c r="F2295" s="22" t="s">
        <v>81</v>
      </c>
      <c r="G2295" s="22" t="s">
        <v>1536</v>
      </c>
      <c r="H2295" s="24" t="s">
        <v>59</v>
      </c>
      <c r="I2295" s="24" t="s">
        <v>59</v>
      </c>
      <c r="J2295" s="24" t="s">
        <v>60</v>
      </c>
      <c r="K2295" s="5"/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>
      <c r="A2296" s="16">
        <v>67.0</v>
      </c>
      <c r="B2296" s="35" t="str">
        <f t="array" ref="B2296">INDEX('Báo cáo 75 trang đích'!$B$2:$B$76,$A2296)</f>
        <v>https://techcombank.com/cong-cu-tien-ich/cong-cu-tinh-toan/bang-tinh-lai-suat-tiet-kiem</v>
      </c>
      <c r="C2296" s="5" t="str">
        <f t="array" ref="C2296">INDEX('Báo cáo 75 trang đích'!$C$2:$C$76,$A2296)</f>
        <v>Tool</v>
      </c>
      <c r="D2296" s="20" t="s">
        <v>983</v>
      </c>
      <c r="E2296" s="22" t="s">
        <v>397</v>
      </c>
      <c r="F2296" s="22" t="s">
        <v>81</v>
      </c>
      <c r="G2296" s="22" t="s">
        <v>1924</v>
      </c>
      <c r="H2296" s="24" t="s">
        <v>59</v>
      </c>
      <c r="I2296" s="24" t="s">
        <v>59</v>
      </c>
      <c r="J2296" s="24" t="s">
        <v>60</v>
      </c>
      <c r="K2296" s="5"/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>
      <c r="A2297" s="16">
        <v>67.0</v>
      </c>
      <c r="B2297" s="35" t="str">
        <f t="array" ref="B2297">INDEX('Báo cáo 75 trang đích'!$B$2:$B$76,$A2297)</f>
        <v>https://techcombank.com/cong-cu-tien-ich/cong-cu-tinh-toan/bang-tinh-lai-suat-tiet-kiem</v>
      </c>
      <c r="C2297" s="5" t="str">
        <f t="array" ref="C2297">INDEX('Báo cáo 75 trang đích'!$C$2:$C$76,$A2297)</f>
        <v>Tool</v>
      </c>
      <c r="D2297" s="20" t="s">
        <v>1095</v>
      </c>
      <c r="E2297" s="22" t="s">
        <v>1180</v>
      </c>
      <c r="F2297" s="22" t="s">
        <v>81</v>
      </c>
      <c r="G2297" s="22" t="s">
        <v>1536</v>
      </c>
      <c r="H2297" s="24" t="s">
        <v>59</v>
      </c>
      <c r="I2297" s="24" t="s">
        <v>59</v>
      </c>
      <c r="J2297" s="24" t="s">
        <v>60</v>
      </c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16">
        <v>67.0</v>
      </c>
      <c r="B2298" s="35" t="str">
        <f t="array" ref="B2298">INDEX('Báo cáo 75 trang đích'!$B$2:$B$76,$A2298)</f>
        <v>https://techcombank.com/cong-cu-tien-ich/cong-cu-tinh-toan/bang-tinh-lai-suat-tiet-kiem</v>
      </c>
      <c r="C2298" s="5" t="str">
        <f t="array" ref="C2298">INDEX('Báo cáo 75 trang đích'!$C$2:$C$76,$A2298)</f>
        <v>Tool</v>
      </c>
      <c r="D2298" s="20" t="s">
        <v>728</v>
      </c>
      <c r="E2298" s="22" t="s">
        <v>397</v>
      </c>
      <c r="F2298" s="22" t="s">
        <v>81</v>
      </c>
      <c r="G2298" s="22" t="s">
        <v>1856</v>
      </c>
      <c r="H2298" s="24" t="s">
        <v>59</v>
      </c>
      <c r="I2298" s="24" t="s">
        <v>59</v>
      </c>
      <c r="J2298" s="24" t="s">
        <v>60</v>
      </c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16">
        <v>67.0</v>
      </c>
      <c r="B2299" s="35" t="str">
        <f t="array" ref="B2299">INDEX('Báo cáo 75 trang đích'!$B$2:$B$76,$A2299)</f>
        <v>https://techcombank.com/cong-cu-tien-ich/cong-cu-tinh-toan/bang-tinh-lai-suat-tiet-kiem</v>
      </c>
      <c r="C2299" s="5" t="str">
        <f t="array" ref="C2299">INDEX('Báo cáo 75 trang đích'!$C$2:$C$76,$A2299)</f>
        <v>Tool</v>
      </c>
      <c r="D2299" s="20" t="s">
        <v>1551</v>
      </c>
      <c r="E2299" s="22" t="s">
        <v>1180</v>
      </c>
      <c r="F2299" s="22" t="s">
        <v>81</v>
      </c>
      <c r="G2299" s="22" t="s">
        <v>1536</v>
      </c>
      <c r="H2299" s="24" t="s">
        <v>59</v>
      </c>
      <c r="I2299" s="24" t="s">
        <v>59</v>
      </c>
      <c r="J2299" s="24" t="s">
        <v>60</v>
      </c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16">
        <v>67.0</v>
      </c>
      <c r="B2300" s="35" t="str">
        <f t="array" ref="B2300">INDEX('Báo cáo 75 trang đích'!$B$2:$B$76,$A2300)</f>
        <v>https://techcombank.com/cong-cu-tien-ich/cong-cu-tinh-toan/bang-tinh-lai-suat-tiet-kiem</v>
      </c>
      <c r="C2300" s="5" t="str">
        <f t="array" ref="C2300">INDEX('Báo cáo 75 trang đích'!$C$2:$C$76,$A2300)</f>
        <v>Tool</v>
      </c>
      <c r="D2300" s="20" t="s">
        <v>1518</v>
      </c>
      <c r="E2300" s="22" t="s">
        <v>397</v>
      </c>
      <c r="F2300" s="22" t="s">
        <v>81</v>
      </c>
      <c r="G2300" s="22" t="s">
        <v>1856</v>
      </c>
      <c r="H2300" s="24" t="s">
        <v>59</v>
      </c>
      <c r="I2300" s="24" t="s">
        <v>59</v>
      </c>
      <c r="J2300" s="24" t="s">
        <v>60</v>
      </c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16">
        <v>67.0</v>
      </c>
      <c r="B2301" s="35" t="str">
        <f t="array" ref="B2301">INDEX('Báo cáo 75 trang đích'!$B$2:$B$76,$A2301)</f>
        <v>https://techcombank.com/cong-cu-tien-ich/cong-cu-tinh-toan/bang-tinh-lai-suat-tiet-kiem</v>
      </c>
      <c r="C2301" s="5" t="str">
        <f t="array" ref="C2301">INDEX('Báo cáo 75 trang đích'!$C$2:$C$76,$A2301)</f>
        <v>Tool</v>
      </c>
      <c r="D2301" s="20" t="s">
        <v>1230</v>
      </c>
      <c r="E2301" s="22" t="s">
        <v>1180</v>
      </c>
      <c r="F2301" s="22" t="s">
        <v>81</v>
      </c>
      <c r="G2301" s="22" t="s">
        <v>1856</v>
      </c>
      <c r="H2301" s="24" t="s">
        <v>59</v>
      </c>
      <c r="I2301" s="24" t="s">
        <v>59</v>
      </c>
      <c r="J2301" s="24" t="s">
        <v>60</v>
      </c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16">
        <v>67.0</v>
      </c>
      <c r="B2302" s="35" t="str">
        <f t="array" ref="B2302">INDEX('Báo cáo 75 trang đích'!$B$2:$B$76,$A2302)</f>
        <v>https://techcombank.com/cong-cu-tien-ich/cong-cu-tinh-toan/bang-tinh-lai-suat-tiet-kiem</v>
      </c>
      <c r="C2302" s="5" t="str">
        <f t="array" ref="C2302">INDEX('Báo cáo 75 trang đích'!$C$2:$C$76,$A2302)</f>
        <v>Tool</v>
      </c>
      <c r="D2302" s="20" t="s">
        <v>836</v>
      </c>
      <c r="E2302" s="22" t="s">
        <v>397</v>
      </c>
      <c r="F2302" s="22" t="s">
        <v>81</v>
      </c>
      <c r="G2302" s="22" t="s">
        <v>1924</v>
      </c>
      <c r="H2302" s="24" t="s">
        <v>59</v>
      </c>
      <c r="I2302" s="24" t="s">
        <v>59</v>
      </c>
      <c r="J2302" s="24" t="s">
        <v>60</v>
      </c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16">
        <v>67.0</v>
      </c>
      <c r="B2303" s="35" t="str">
        <f t="array" ref="B2303">INDEX('Báo cáo 75 trang đích'!$B$2:$B$76,$A2303)</f>
        <v>https://techcombank.com/cong-cu-tien-ich/cong-cu-tinh-toan/bang-tinh-lai-suat-tiet-kiem</v>
      </c>
      <c r="C2303" s="5" t="str">
        <f t="array" ref="C2303">INDEX('Báo cáo 75 trang đích'!$C$2:$C$76,$A2303)</f>
        <v>Tool</v>
      </c>
      <c r="D2303" s="20" t="s">
        <v>1093</v>
      </c>
      <c r="E2303" s="22" t="s">
        <v>1180</v>
      </c>
      <c r="F2303" s="22" t="s">
        <v>81</v>
      </c>
      <c r="G2303" s="22" t="s">
        <v>1856</v>
      </c>
      <c r="H2303" s="24" t="s">
        <v>59</v>
      </c>
      <c r="I2303" s="24" t="s">
        <v>59</v>
      </c>
      <c r="J2303" s="24" t="s">
        <v>60</v>
      </c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16">
        <v>67.0</v>
      </c>
      <c r="B2304" s="35" t="str">
        <f t="array" ref="B2304">INDEX('Báo cáo 75 trang đích'!$B$2:$B$76,$A2304)</f>
        <v>https://techcombank.com/cong-cu-tien-ich/cong-cu-tinh-toan/bang-tinh-lai-suat-tiet-kiem</v>
      </c>
      <c r="C2304" s="5" t="str">
        <f t="array" ref="C2304">INDEX('Báo cáo 75 trang đích'!$C$2:$C$76,$A2304)</f>
        <v>Tool</v>
      </c>
      <c r="D2304" s="20" t="s">
        <v>872</v>
      </c>
      <c r="E2304" s="22" t="s">
        <v>397</v>
      </c>
      <c r="F2304" s="22" t="s">
        <v>81</v>
      </c>
      <c r="G2304" s="22" t="s">
        <v>1536</v>
      </c>
      <c r="H2304" s="24" t="s">
        <v>59</v>
      </c>
      <c r="I2304" s="24" t="s">
        <v>59</v>
      </c>
      <c r="J2304" s="24" t="s">
        <v>60</v>
      </c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16">
        <v>67.0</v>
      </c>
      <c r="B2305" s="35" t="str">
        <f t="array" ref="B2305">INDEX('Báo cáo 75 trang đích'!$B$2:$B$76,$A2305)</f>
        <v>https://techcombank.com/cong-cu-tien-ich/cong-cu-tinh-toan/bang-tinh-lai-suat-tiet-kiem</v>
      </c>
      <c r="C2305" s="5" t="str">
        <f t="array" ref="C2305">INDEX('Báo cáo 75 trang đích'!$C$2:$C$76,$A2305)</f>
        <v>Tool</v>
      </c>
      <c r="D2305" s="20" t="s">
        <v>1552</v>
      </c>
      <c r="E2305" s="22" t="s">
        <v>1180</v>
      </c>
      <c r="F2305" s="22" t="s">
        <v>81</v>
      </c>
      <c r="G2305" s="22" t="s">
        <v>1536</v>
      </c>
      <c r="H2305" s="24" t="s">
        <v>59</v>
      </c>
      <c r="I2305" s="24" t="s">
        <v>59</v>
      </c>
      <c r="J2305" s="24" t="s">
        <v>60</v>
      </c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16">
        <v>68.0</v>
      </c>
      <c r="B2306" s="35" t="str">
        <f t="array" ref="B2306">INDEX('Báo cáo 75 trang đích'!$B$2:$B$76,$A2306)</f>
        <v>https://techcombank.com/thong-tin/blog/app-vay-tien-nhanh</v>
      </c>
      <c r="C2306" s="5" t="str">
        <f t="array" ref="C2306">INDEX('Báo cáo 75 trang đích'!$C$2:$C$76,$A2306)</f>
        <v>Unsecured Loan</v>
      </c>
      <c r="D2306" s="20" t="s">
        <v>1187</v>
      </c>
      <c r="E2306" s="22" t="s">
        <v>400</v>
      </c>
      <c r="F2306" s="22" t="s">
        <v>57</v>
      </c>
      <c r="G2306" s="22" t="s">
        <v>1928</v>
      </c>
      <c r="H2306" s="24" t="s">
        <v>59</v>
      </c>
      <c r="I2306" s="24" t="s">
        <v>59</v>
      </c>
      <c r="J2306" s="24" t="s">
        <v>60</v>
      </c>
      <c r="K2306" s="22" t="s">
        <v>1929</v>
      </c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16">
        <v>68.0</v>
      </c>
      <c r="B2307" s="35" t="str">
        <f t="array" ref="B2307">INDEX('Báo cáo 75 trang đích'!$B$2:$B$76,$A2307)</f>
        <v>https://techcombank.com/thong-tin/blog/app-vay-tien-nhanh</v>
      </c>
      <c r="C2307" s="5" t="str">
        <f t="array" ref="C2307">INDEX('Báo cáo 75 trang đích'!$C$2:$C$76,$A2307)</f>
        <v>Unsecured Loan</v>
      </c>
      <c r="D2307" s="20" t="s">
        <v>1191</v>
      </c>
      <c r="E2307" s="22" t="s">
        <v>1193</v>
      </c>
      <c r="F2307" s="22" t="s">
        <v>57</v>
      </c>
      <c r="G2307" s="22" t="s">
        <v>1930</v>
      </c>
      <c r="H2307" s="24" t="s">
        <v>59</v>
      </c>
      <c r="I2307" s="24" t="s">
        <v>59</v>
      </c>
      <c r="J2307" s="24" t="s">
        <v>60</v>
      </c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16">
        <v>68.0</v>
      </c>
      <c r="B2308" s="35" t="str">
        <f t="array" ref="B2308">INDEX('Báo cáo 75 trang đích'!$B$2:$B$76,$A2308)</f>
        <v>https://techcombank.com/thong-tin/blog/app-vay-tien-nhanh</v>
      </c>
      <c r="C2308" s="5" t="str">
        <f t="array" ref="C2308">INDEX('Báo cáo 75 trang đích'!$C$2:$C$76,$A2308)</f>
        <v>Unsecured Loan</v>
      </c>
      <c r="D2308" s="20" t="s">
        <v>1194</v>
      </c>
      <c r="E2308" s="22" t="s">
        <v>1196</v>
      </c>
      <c r="F2308" s="22" t="s">
        <v>57</v>
      </c>
      <c r="G2308" s="22" t="s">
        <v>1931</v>
      </c>
      <c r="H2308" s="24" t="s">
        <v>59</v>
      </c>
      <c r="I2308" s="24" t="s">
        <v>59</v>
      </c>
      <c r="J2308" s="24" t="s">
        <v>60</v>
      </c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16">
        <v>68.0</v>
      </c>
      <c r="B2309" s="35" t="str">
        <f t="array" ref="B2309">INDEX('Báo cáo 75 trang đích'!$B$2:$B$76,$A2309)</f>
        <v>https://techcombank.com/thong-tin/blog/app-vay-tien-nhanh</v>
      </c>
      <c r="C2309" s="5" t="str">
        <f t="array" ref="C2309">INDEX('Báo cáo 75 trang đích'!$C$2:$C$76,$A2309)</f>
        <v>Unsecured Loan</v>
      </c>
      <c r="D2309" s="20" t="s">
        <v>1197</v>
      </c>
      <c r="E2309" s="22" t="s">
        <v>400</v>
      </c>
      <c r="F2309" s="22" t="s">
        <v>57</v>
      </c>
      <c r="G2309" s="22" t="s">
        <v>1932</v>
      </c>
      <c r="H2309" s="24" t="s">
        <v>59</v>
      </c>
      <c r="I2309" s="24" t="s">
        <v>59</v>
      </c>
      <c r="J2309" s="24" t="s">
        <v>60</v>
      </c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16">
        <v>68.0</v>
      </c>
      <c r="B2310" s="35" t="str">
        <f t="array" ref="B2310">INDEX('Báo cáo 75 trang đích'!$B$2:$B$76,$A2310)</f>
        <v>https://techcombank.com/thong-tin/blog/app-vay-tien-nhanh</v>
      </c>
      <c r="C2310" s="5" t="str">
        <f t="array" ref="C2310">INDEX('Báo cáo 75 trang đích'!$C$2:$C$76,$A2310)</f>
        <v>Unsecured Loan</v>
      </c>
      <c r="D2310" s="20" t="s">
        <v>1199</v>
      </c>
      <c r="E2310" s="22" t="s">
        <v>1193</v>
      </c>
      <c r="F2310" s="22" t="s">
        <v>76</v>
      </c>
      <c r="G2310" s="22" t="s">
        <v>1933</v>
      </c>
      <c r="H2310" s="24" t="s">
        <v>59</v>
      </c>
      <c r="I2310" s="24" t="s">
        <v>59</v>
      </c>
      <c r="J2310" s="24" t="s">
        <v>60</v>
      </c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16">
        <v>68.0</v>
      </c>
      <c r="B2311" s="35" t="str">
        <f t="array" ref="B2311">INDEX('Báo cáo 75 trang đích'!$B$2:$B$76,$A2311)</f>
        <v>https://techcombank.com/thong-tin/blog/app-vay-tien-nhanh</v>
      </c>
      <c r="C2311" s="5" t="str">
        <f t="array" ref="C2311">INDEX('Báo cáo 75 trang đích'!$C$2:$C$76,$A2311)</f>
        <v>Unsecured Loan</v>
      </c>
      <c r="D2311" s="20" t="s">
        <v>1783</v>
      </c>
      <c r="E2311" s="22" t="s">
        <v>1196</v>
      </c>
      <c r="F2311" s="22" t="s">
        <v>81</v>
      </c>
      <c r="G2311" s="22" t="s">
        <v>1934</v>
      </c>
      <c r="H2311" s="24" t="s">
        <v>59</v>
      </c>
      <c r="I2311" s="24" t="s">
        <v>59</v>
      </c>
      <c r="J2311" s="24" t="s">
        <v>60</v>
      </c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16">
        <v>68.0</v>
      </c>
      <c r="B2312" s="35" t="str">
        <f t="array" ref="B2312">INDEX('Báo cáo 75 trang đích'!$B$2:$B$76,$A2312)</f>
        <v>https://techcombank.com/thong-tin/blog/app-vay-tien-nhanh</v>
      </c>
      <c r="C2312" s="5" t="str">
        <f t="array" ref="C2312">INDEX('Báo cáo 75 trang đích'!$C$2:$C$76,$A2312)</f>
        <v>Unsecured Loan</v>
      </c>
      <c r="D2312" s="20" t="s">
        <v>458</v>
      </c>
      <c r="E2312" s="22" t="s">
        <v>400</v>
      </c>
      <c r="F2312" s="22" t="s">
        <v>81</v>
      </c>
      <c r="G2312" s="22" t="s">
        <v>1935</v>
      </c>
      <c r="H2312" s="24" t="s">
        <v>59</v>
      </c>
      <c r="I2312" s="24" t="s">
        <v>59</v>
      </c>
      <c r="J2312" s="24" t="s">
        <v>60</v>
      </c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16">
        <v>68.0</v>
      </c>
      <c r="B2313" s="35" t="str">
        <f t="array" ref="B2313">INDEX('Báo cáo 75 trang đích'!$B$2:$B$76,$A2313)</f>
        <v>https://techcombank.com/thong-tin/blog/app-vay-tien-nhanh</v>
      </c>
      <c r="C2313" s="5" t="str">
        <f t="array" ref="C2313">INDEX('Báo cáo 75 trang đích'!$C$2:$C$76,$A2313)</f>
        <v>Unsecured Loan</v>
      </c>
      <c r="D2313" s="20" t="s">
        <v>1440</v>
      </c>
      <c r="E2313" s="22" t="s">
        <v>1193</v>
      </c>
      <c r="F2313" s="22" t="s">
        <v>81</v>
      </c>
      <c r="G2313" s="22" t="s">
        <v>1936</v>
      </c>
      <c r="H2313" s="24" t="s">
        <v>59</v>
      </c>
      <c r="I2313" s="24" t="s">
        <v>59</v>
      </c>
      <c r="J2313" s="24" t="s">
        <v>60</v>
      </c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16">
        <v>68.0</v>
      </c>
      <c r="B2314" s="35" t="str">
        <f t="array" ref="B2314">INDEX('Báo cáo 75 trang đích'!$B$2:$B$76,$A2314)</f>
        <v>https://techcombank.com/thong-tin/blog/app-vay-tien-nhanh</v>
      </c>
      <c r="C2314" s="5" t="str">
        <f t="array" ref="C2314">INDEX('Báo cáo 75 trang đích'!$C$2:$C$76,$A2314)</f>
        <v>Unsecured Loan</v>
      </c>
      <c r="D2314" s="20" t="s">
        <v>1235</v>
      </c>
      <c r="E2314" s="22" t="s">
        <v>1196</v>
      </c>
      <c r="F2314" s="22" t="s">
        <v>81</v>
      </c>
      <c r="G2314" s="22" t="s">
        <v>1935</v>
      </c>
      <c r="H2314" s="24" t="s">
        <v>59</v>
      </c>
      <c r="I2314" s="24" t="s">
        <v>59</v>
      </c>
      <c r="J2314" s="24" t="s">
        <v>60</v>
      </c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16">
        <v>68.0</v>
      </c>
      <c r="B2315" s="35" t="str">
        <f t="array" ref="B2315">INDEX('Báo cáo 75 trang đích'!$B$2:$B$76,$A2315)</f>
        <v>https://techcombank.com/thong-tin/blog/app-vay-tien-nhanh</v>
      </c>
      <c r="C2315" s="5" t="str">
        <f t="array" ref="C2315">INDEX('Báo cáo 75 trang đích'!$C$2:$C$76,$A2315)</f>
        <v>Unsecured Loan</v>
      </c>
      <c r="D2315" s="20" t="s">
        <v>1691</v>
      </c>
      <c r="E2315" s="22" t="s">
        <v>400</v>
      </c>
      <c r="F2315" s="22" t="s">
        <v>81</v>
      </c>
      <c r="G2315" s="22" t="s">
        <v>1935</v>
      </c>
      <c r="H2315" s="24" t="s">
        <v>59</v>
      </c>
      <c r="I2315" s="24" t="s">
        <v>59</v>
      </c>
      <c r="J2315" s="24" t="s">
        <v>60</v>
      </c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16">
        <v>68.0</v>
      </c>
      <c r="B2316" s="35" t="str">
        <f t="array" ref="B2316">INDEX('Báo cáo 75 trang đích'!$B$2:$B$76,$A2316)</f>
        <v>https://techcombank.com/thong-tin/blog/app-vay-tien-nhanh</v>
      </c>
      <c r="C2316" s="5" t="str">
        <f t="array" ref="C2316">INDEX('Báo cáo 75 trang đích'!$C$2:$C$76,$A2316)</f>
        <v>Unsecured Loan</v>
      </c>
      <c r="D2316" s="20" t="s">
        <v>370</v>
      </c>
      <c r="E2316" s="22" t="s">
        <v>1193</v>
      </c>
      <c r="F2316" s="22" t="s">
        <v>81</v>
      </c>
      <c r="G2316" s="22" t="s">
        <v>1935</v>
      </c>
      <c r="H2316" s="24" t="s">
        <v>59</v>
      </c>
      <c r="I2316" s="24" t="s">
        <v>59</v>
      </c>
      <c r="J2316" s="24" t="s">
        <v>60</v>
      </c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16">
        <v>68.0</v>
      </c>
      <c r="B2317" s="35" t="str">
        <f t="array" ref="B2317">INDEX('Báo cáo 75 trang đích'!$B$2:$B$76,$A2317)</f>
        <v>https://techcombank.com/thong-tin/blog/app-vay-tien-nhanh</v>
      </c>
      <c r="C2317" s="5" t="str">
        <f t="array" ref="C2317">INDEX('Báo cáo 75 trang đích'!$C$2:$C$76,$A2317)</f>
        <v>Unsecured Loan</v>
      </c>
      <c r="D2317" s="20" t="s">
        <v>1175</v>
      </c>
      <c r="E2317" s="22" t="s">
        <v>1196</v>
      </c>
      <c r="F2317" s="22" t="s">
        <v>81</v>
      </c>
      <c r="G2317" s="22" t="s">
        <v>1936</v>
      </c>
      <c r="H2317" s="24" t="s">
        <v>59</v>
      </c>
      <c r="I2317" s="24" t="s">
        <v>59</v>
      </c>
      <c r="J2317" s="24" t="s">
        <v>60</v>
      </c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16">
        <v>68.0</v>
      </c>
      <c r="B2318" s="35" t="str">
        <f t="array" ref="B2318">INDEX('Báo cáo 75 trang đích'!$B$2:$B$76,$A2318)</f>
        <v>https://techcombank.com/thong-tin/blog/app-vay-tien-nhanh</v>
      </c>
      <c r="C2318" s="5" t="str">
        <f t="array" ref="C2318">INDEX('Báo cáo 75 trang đích'!$C$2:$C$76,$A2318)</f>
        <v>Unsecured Loan</v>
      </c>
      <c r="D2318" s="20" t="s">
        <v>1057</v>
      </c>
      <c r="E2318" s="22" t="s">
        <v>400</v>
      </c>
      <c r="F2318" s="22" t="s">
        <v>81</v>
      </c>
      <c r="G2318" s="22" t="s">
        <v>1935</v>
      </c>
      <c r="H2318" s="24" t="s">
        <v>59</v>
      </c>
      <c r="I2318" s="24" t="s">
        <v>59</v>
      </c>
      <c r="J2318" s="24" t="s">
        <v>60</v>
      </c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16">
        <v>68.0</v>
      </c>
      <c r="B2319" s="35" t="str">
        <f t="array" ref="B2319">INDEX('Báo cáo 75 trang đích'!$B$2:$B$76,$A2319)</f>
        <v>https://techcombank.com/thong-tin/blog/app-vay-tien-nhanh</v>
      </c>
      <c r="C2319" s="5" t="str">
        <f t="array" ref="C2319">INDEX('Báo cáo 75 trang đích'!$C$2:$C$76,$A2319)</f>
        <v>Unsecured Loan</v>
      </c>
      <c r="D2319" s="20" t="s">
        <v>1820</v>
      </c>
      <c r="E2319" s="22" t="s">
        <v>1193</v>
      </c>
      <c r="F2319" s="22" t="s">
        <v>81</v>
      </c>
      <c r="G2319" s="22" t="s">
        <v>1935</v>
      </c>
      <c r="H2319" s="24" t="s">
        <v>59</v>
      </c>
      <c r="I2319" s="24" t="s">
        <v>59</v>
      </c>
      <c r="J2319" s="24" t="s">
        <v>60</v>
      </c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16">
        <v>68.0</v>
      </c>
      <c r="B2320" s="35" t="str">
        <f t="array" ref="B2320">INDEX('Báo cáo 75 trang đích'!$B$2:$B$76,$A2320)</f>
        <v>https://techcombank.com/thong-tin/blog/app-vay-tien-nhanh</v>
      </c>
      <c r="C2320" s="5" t="str">
        <f t="array" ref="C2320">INDEX('Báo cáo 75 trang đích'!$C$2:$C$76,$A2320)</f>
        <v>Unsecured Loan</v>
      </c>
      <c r="D2320" s="20" t="s">
        <v>964</v>
      </c>
      <c r="E2320" s="22" t="s">
        <v>1196</v>
      </c>
      <c r="F2320" s="22" t="s">
        <v>81</v>
      </c>
      <c r="G2320" s="22" t="s">
        <v>1935</v>
      </c>
      <c r="H2320" s="24" t="s">
        <v>59</v>
      </c>
      <c r="I2320" s="24" t="s">
        <v>59</v>
      </c>
      <c r="J2320" s="24" t="s">
        <v>60</v>
      </c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16">
        <v>68.0</v>
      </c>
      <c r="B2321" s="35" t="str">
        <f t="array" ref="B2321">INDEX('Báo cáo 75 trang đích'!$B$2:$B$76,$A2321)</f>
        <v>https://techcombank.com/thong-tin/blog/app-vay-tien-nhanh</v>
      </c>
      <c r="C2321" s="5" t="str">
        <f t="array" ref="C2321">INDEX('Báo cáo 75 trang đích'!$C$2:$C$76,$A2321)</f>
        <v>Unsecured Loan</v>
      </c>
      <c r="D2321" s="20" t="s">
        <v>1696</v>
      </c>
      <c r="E2321" s="22" t="s">
        <v>400</v>
      </c>
      <c r="F2321" s="22" t="s">
        <v>81</v>
      </c>
      <c r="G2321" s="22" t="s">
        <v>1937</v>
      </c>
      <c r="H2321" s="24" t="s">
        <v>59</v>
      </c>
      <c r="I2321" s="24" t="s">
        <v>59</v>
      </c>
      <c r="J2321" s="24" t="s">
        <v>60</v>
      </c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16">
        <v>68.0</v>
      </c>
      <c r="B2322" s="35" t="str">
        <f t="array" ref="B2322">INDEX('Báo cáo 75 trang đích'!$B$2:$B$76,$A2322)</f>
        <v>https://techcombank.com/thong-tin/blog/app-vay-tien-nhanh</v>
      </c>
      <c r="C2322" s="5" t="str">
        <f t="array" ref="C2322">INDEX('Báo cáo 75 trang đích'!$C$2:$C$76,$A2322)</f>
        <v>Unsecured Loan</v>
      </c>
      <c r="D2322" s="20" t="s">
        <v>1639</v>
      </c>
      <c r="E2322" s="22" t="s">
        <v>1193</v>
      </c>
      <c r="F2322" s="22" t="s">
        <v>81</v>
      </c>
      <c r="G2322" s="22" t="s">
        <v>1935</v>
      </c>
      <c r="H2322" s="24" t="s">
        <v>59</v>
      </c>
      <c r="I2322" s="24" t="s">
        <v>59</v>
      </c>
      <c r="J2322" s="24" t="s">
        <v>60</v>
      </c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16">
        <v>69.0</v>
      </c>
      <c r="B2323" s="35" t="str">
        <f t="array" ref="B2323">INDEX('Báo cáo 75 trang đích'!$B$2:$B$76,$A2323)</f>
        <v>https://techcombank.com/thong-tin/blog/lai-suat-vay-ngan-hang</v>
      </c>
      <c r="C2323" s="5" t="str">
        <f t="array" ref="C2323">INDEX('Báo cáo 75 trang đích'!$C$2:$C$76,$A2323)</f>
        <v>Unsecured Loan</v>
      </c>
      <c r="D2323" s="20" t="s">
        <v>1201</v>
      </c>
      <c r="E2323" s="22" t="s">
        <v>401</v>
      </c>
      <c r="F2323" s="22" t="s">
        <v>57</v>
      </c>
      <c r="G2323" s="22" t="s">
        <v>1938</v>
      </c>
      <c r="H2323" s="24" t="s">
        <v>59</v>
      </c>
      <c r="I2323" s="24" t="s">
        <v>59</v>
      </c>
      <c r="J2323" s="24" t="s">
        <v>60</v>
      </c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16">
        <v>69.0</v>
      </c>
      <c r="B2324" s="35" t="str">
        <f t="array" ref="B2324">INDEX('Báo cáo 75 trang đích'!$B$2:$B$76,$A2324)</f>
        <v>https://techcombank.com/thong-tin/blog/lai-suat-vay-ngan-hang</v>
      </c>
      <c r="C2324" s="5" t="str">
        <f t="array" ref="C2324">INDEX('Báo cáo 75 trang đích'!$C$2:$C$76,$A2324)</f>
        <v>Unsecured Loan</v>
      </c>
      <c r="D2324" s="20" t="s">
        <v>684</v>
      </c>
      <c r="E2324" s="22" t="s">
        <v>1204</v>
      </c>
      <c r="F2324" s="22" t="s">
        <v>57</v>
      </c>
      <c r="G2324" s="22" t="s">
        <v>1939</v>
      </c>
      <c r="H2324" s="24" t="s">
        <v>59</v>
      </c>
      <c r="I2324" s="24" t="s">
        <v>59</v>
      </c>
      <c r="J2324" s="24" t="s">
        <v>60</v>
      </c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16">
        <v>69.0</v>
      </c>
      <c r="B2325" s="35" t="str">
        <f t="array" ref="B2325">INDEX('Báo cáo 75 trang đích'!$B$2:$B$76,$A2325)</f>
        <v>https://techcombank.com/thong-tin/blog/lai-suat-vay-ngan-hang</v>
      </c>
      <c r="C2325" s="5" t="str">
        <f t="array" ref="C2325">INDEX('Báo cáo 75 trang đích'!$C$2:$C$76,$A2325)</f>
        <v>Unsecured Loan</v>
      </c>
      <c r="D2325" s="20" t="s">
        <v>728</v>
      </c>
      <c r="E2325" s="22" t="s">
        <v>401</v>
      </c>
      <c r="F2325" s="22" t="s">
        <v>57</v>
      </c>
      <c r="G2325" s="22" t="s">
        <v>1940</v>
      </c>
      <c r="H2325" s="24" t="s">
        <v>59</v>
      </c>
      <c r="I2325" s="24" t="s">
        <v>59</v>
      </c>
      <c r="J2325" s="24" t="s">
        <v>60</v>
      </c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16">
        <v>69.0</v>
      </c>
      <c r="B2326" s="35" t="str">
        <f t="array" ref="B2326">INDEX('Báo cáo 75 trang đích'!$B$2:$B$76,$A2326)</f>
        <v>https://techcombank.com/thong-tin/blog/lai-suat-vay-ngan-hang</v>
      </c>
      <c r="C2326" s="5" t="str">
        <f t="array" ref="C2326">INDEX('Báo cáo 75 trang đích'!$C$2:$C$76,$A2326)</f>
        <v>Unsecured Loan</v>
      </c>
      <c r="D2326" s="20" t="s">
        <v>614</v>
      </c>
      <c r="E2326" s="22" t="s">
        <v>1204</v>
      </c>
      <c r="F2326" s="22" t="s">
        <v>76</v>
      </c>
      <c r="G2326" s="22" t="s">
        <v>1941</v>
      </c>
      <c r="H2326" s="24" t="s">
        <v>59</v>
      </c>
      <c r="I2326" s="24" t="s">
        <v>59</v>
      </c>
      <c r="J2326" s="24" t="s">
        <v>60</v>
      </c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16">
        <v>69.0</v>
      </c>
      <c r="B2327" s="35" t="str">
        <f t="array" ref="B2327">INDEX('Báo cáo 75 trang đích'!$B$2:$B$76,$A2327)</f>
        <v>https://techcombank.com/thong-tin/blog/lai-suat-vay-ngan-hang</v>
      </c>
      <c r="C2327" s="5" t="str">
        <f t="array" ref="C2327">INDEX('Báo cáo 75 trang đích'!$C$2:$C$76,$A2327)</f>
        <v>Unsecured Loan</v>
      </c>
      <c r="D2327" s="20" t="s">
        <v>1207</v>
      </c>
      <c r="E2327" s="22" t="s">
        <v>401</v>
      </c>
      <c r="F2327" s="22" t="s">
        <v>76</v>
      </c>
      <c r="G2327" s="22" t="s">
        <v>1942</v>
      </c>
      <c r="H2327" s="24" t="s">
        <v>59</v>
      </c>
      <c r="I2327" s="24" t="s">
        <v>59</v>
      </c>
      <c r="J2327" s="24" t="s">
        <v>60</v>
      </c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16">
        <v>69.0</v>
      </c>
      <c r="B2328" s="35" t="str">
        <f t="array" ref="B2328">INDEX('Báo cáo 75 trang đích'!$B$2:$B$76,$A2328)</f>
        <v>https://techcombank.com/thong-tin/blog/lai-suat-vay-ngan-hang</v>
      </c>
      <c r="C2328" s="5" t="str">
        <f t="array" ref="C2328">INDEX('Báo cáo 75 trang đích'!$C$2:$C$76,$A2328)</f>
        <v>Unsecured Loan</v>
      </c>
      <c r="D2328" s="20" t="s">
        <v>1753</v>
      </c>
      <c r="E2328" s="22" t="s">
        <v>1204</v>
      </c>
      <c r="F2328" s="22" t="s">
        <v>81</v>
      </c>
      <c r="G2328" s="22" t="s">
        <v>1810</v>
      </c>
      <c r="H2328" s="24" t="s">
        <v>59</v>
      </c>
      <c r="I2328" s="24" t="s">
        <v>59</v>
      </c>
      <c r="J2328" s="24" t="s">
        <v>60</v>
      </c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16">
        <v>69.0</v>
      </c>
      <c r="B2329" s="35" t="str">
        <f t="array" ref="B2329">INDEX('Báo cáo 75 trang đích'!$B$2:$B$76,$A2329)</f>
        <v>https://techcombank.com/thong-tin/blog/lai-suat-vay-ngan-hang</v>
      </c>
      <c r="C2329" s="5" t="str">
        <f t="array" ref="C2329">INDEX('Báo cáo 75 trang đích'!$C$2:$C$76,$A2329)</f>
        <v>Unsecured Loan</v>
      </c>
      <c r="D2329" s="20" t="s">
        <v>180</v>
      </c>
      <c r="E2329" s="22" t="s">
        <v>401</v>
      </c>
      <c r="F2329" s="22" t="s">
        <v>81</v>
      </c>
      <c r="G2329" s="22" t="s">
        <v>1812</v>
      </c>
      <c r="H2329" s="24" t="s">
        <v>59</v>
      </c>
      <c r="I2329" s="24" t="s">
        <v>59</v>
      </c>
      <c r="J2329" s="24" t="s">
        <v>60</v>
      </c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16">
        <v>69.0</v>
      </c>
      <c r="B2330" s="35" t="str">
        <f t="array" ref="B2330">INDEX('Báo cáo 75 trang đích'!$B$2:$B$76,$A2330)</f>
        <v>https://techcombank.com/thong-tin/blog/lai-suat-vay-ngan-hang</v>
      </c>
      <c r="C2330" s="5" t="str">
        <f t="array" ref="C2330">INDEX('Báo cáo 75 trang đích'!$C$2:$C$76,$A2330)</f>
        <v>Unsecured Loan</v>
      </c>
      <c r="D2330" s="20" t="s">
        <v>1238</v>
      </c>
      <c r="E2330" s="22" t="s">
        <v>1204</v>
      </c>
      <c r="F2330" s="22" t="s">
        <v>81</v>
      </c>
      <c r="G2330" s="22" t="s">
        <v>1810</v>
      </c>
      <c r="H2330" s="24" t="s">
        <v>59</v>
      </c>
      <c r="I2330" s="24" t="s">
        <v>59</v>
      </c>
      <c r="J2330" s="24" t="s">
        <v>60</v>
      </c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16">
        <v>69.0</v>
      </c>
      <c r="B2331" s="35" t="str">
        <f t="array" ref="B2331">INDEX('Báo cáo 75 trang đích'!$B$2:$B$76,$A2331)</f>
        <v>https://techcombank.com/thong-tin/blog/lai-suat-vay-ngan-hang</v>
      </c>
      <c r="C2331" s="5" t="str">
        <f t="array" ref="C2331">INDEX('Báo cáo 75 trang đích'!$C$2:$C$76,$A2331)</f>
        <v>Unsecured Loan</v>
      </c>
      <c r="D2331" s="20" t="s">
        <v>969</v>
      </c>
      <c r="E2331" s="22" t="s">
        <v>401</v>
      </c>
      <c r="F2331" s="22" t="s">
        <v>81</v>
      </c>
      <c r="G2331" s="22" t="s">
        <v>1810</v>
      </c>
      <c r="H2331" s="24" t="s">
        <v>59</v>
      </c>
      <c r="I2331" s="24" t="s">
        <v>59</v>
      </c>
      <c r="J2331" s="24" t="s">
        <v>60</v>
      </c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16">
        <v>69.0</v>
      </c>
      <c r="B2332" s="35" t="str">
        <f t="array" ref="B2332">INDEX('Báo cáo 75 trang đích'!$B$2:$B$76,$A2332)</f>
        <v>https://techcombank.com/thong-tin/blog/lai-suat-vay-ngan-hang</v>
      </c>
      <c r="C2332" s="5" t="str">
        <f t="array" ref="C2332">INDEX('Báo cáo 75 trang đích'!$C$2:$C$76,$A2332)</f>
        <v>Unsecured Loan</v>
      </c>
      <c r="D2332" s="20" t="s">
        <v>1212</v>
      </c>
      <c r="E2332" s="22" t="s">
        <v>1204</v>
      </c>
      <c r="F2332" s="22" t="s">
        <v>81</v>
      </c>
      <c r="G2332" s="22" t="s">
        <v>1810</v>
      </c>
      <c r="H2332" s="24" t="s">
        <v>59</v>
      </c>
      <c r="I2332" s="24" t="s">
        <v>59</v>
      </c>
      <c r="J2332" s="24" t="s">
        <v>60</v>
      </c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16">
        <v>69.0</v>
      </c>
      <c r="B2333" s="35" t="str">
        <f t="array" ref="B2333">INDEX('Báo cáo 75 trang đích'!$B$2:$B$76,$A2333)</f>
        <v>https://techcombank.com/thong-tin/blog/lai-suat-vay-ngan-hang</v>
      </c>
      <c r="C2333" s="5" t="str">
        <f t="array" ref="C2333">INDEX('Báo cáo 75 trang đích'!$C$2:$C$76,$A2333)</f>
        <v>Unsecured Loan</v>
      </c>
      <c r="D2333" s="20" t="s">
        <v>128</v>
      </c>
      <c r="E2333" s="22" t="s">
        <v>401</v>
      </c>
      <c r="F2333" s="22" t="s">
        <v>81</v>
      </c>
      <c r="G2333" s="22" t="s">
        <v>1810</v>
      </c>
      <c r="H2333" s="24" t="s">
        <v>59</v>
      </c>
      <c r="I2333" s="24" t="s">
        <v>59</v>
      </c>
      <c r="J2333" s="24" t="s">
        <v>60</v>
      </c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16">
        <v>69.0</v>
      </c>
      <c r="B2334" s="35" t="str">
        <f t="array" ref="B2334">INDEX('Báo cáo 75 trang đích'!$B$2:$B$76,$A2334)</f>
        <v>https://techcombank.com/thong-tin/blog/lai-suat-vay-ngan-hang</v>
      </c>
      <c r="C2334" s="5" t="str">
        <f t="array" ref="C2334">INDEX('Báo cáo 75 trang đích'!$C$2:$C$76,$A2334)</f>
        <v>Unsecured Loan</v>
      </c>
      <c r="D2334" s="20" t="s">
        <v>1525</v>
      </c>
      <c r="E2334" s="22" t="s">
        <v>1204</v>
      </c>
      <c r="F2334" s="22" t="s">
        <v>81</v>
      </c>
      <c r="G2334" s="22" t="s">
        <v>1943</v>
      </c>
      <c r="H2334" s="24" t="s">
        <v>59</v>
      </c>
      <c r="I2334" s="24" t="s">
        <v>59</v>
      </c>
      <c r="J2334" s="24" t="s">
        <v>60</v>
      </c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16">
        <v>69.0</v>
      </c>
      <c r="B2335" s="35" t="str">
        <f t="array" ref="B2335">INDEX('Báo cáo 75 trang đích'!$B$2:$B$76,$A2335)</f>
        <v>https://techcombank.com/thong-tin/blog/lai-suat-vay-ngan-hang</v>
      </c>
      <c r="C2335" s="5" t="str">
        <f t="array" ref="C2335">INDEX('Báo cáo 75 trang đích'!$C$2:$C$76,$A2335)</f>
        <v>Unsecured Loan</v>
      </c>
      <c r="D2335" s="20" t="s">
        <v>316</v>
      </c>
      <c r="E2335" s="22" t="s">
        <v>401</v>
      </c>
      <c r="F2335" s="22" t="s">
        <v>81</v>
      </c>
      <c r="G2335" s="22" t="s">
        <v>1810</v>
      </c>
      <c r="H2335" s="24" t="s">
        <v>59</v>
      </c>
      <c r="I2335" s="24" t="s">
        <v>59</v>
      </c>
      <c r="J2335" s="24" t="s">
        <v>60</v>
      </c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16">
        <v>69.0</v>
      </c>
      <c r="B2336" s="35" t="str">
        <f t="array" ref="B2336">INDEX('Báo cáo 75 trang đích'!$B$2:$B$76,$A2336)</f>
        <v>https://techcombank.com/thong-tin/blog/lai-suat-vay-ngan-hang</v>
      </c>
      <c r="C2336" s="5" t="str">
        <f t="array" ref="C2336">INDEX('Báo cáo 75 trang đích'!$C$2:$C$76,$A2336)</f>
        <v>Unsecured Loan</v>
      </c>
      <c r="D2336" s="20" t="s">
        <v>26</v>
      </c>
      <c r="E2336" s="22" t="s">
        <v>1204</v>
      </c>
      <c r="F2336" s="22" t="s">
        <v>81</v>
      </c>
      <c r="G2336" s="22" t="s">
        <v>1810</v>
      </c>
      <c r="H2336" s="24" t="s">
        <v>59</v>
      </c>
      <c r="I2336" s="24" t="s">
        <v>59</v>
      </c>
      <c r="J2336" s="24" t="s">
        <v>60</v>
      </c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16">
        <v>69.0</v>
      </c>
      <c r="B2337" s="35" t="str">
        <f t="array" ref="B2337">INDEX('Báo cáo 75 trang đích'!$B$2:$B$76,$A2337)</f>
        <v>https://techcombank.com/thong-tin/blog/lai-suat-vay-ngan-hang</v>
      </c>
      <c r="C2337" s="5" t="str">
        <f t="array" ref="C2337">INDEX('Báo cáo 75 trang đích'!$C$2:$C$76,$A2337)</f>
        <v>Unsecured Loan</v>
      </c>
      <c r="D2337" s="20" t="s">
        <v>1230</v>
      </c>
      <c r="E2337" s="22" t="s">
        <v>401</v>
      </c>
      <c r="F2337" s="22" t="s">
        <v>81</v>
      </c>
      <c r="G2337" s="22" t="s">
        <v>1812</v>
      </c>
      <c r="H2337" s="24" t="s">
        <v>59</v>
      </c>
      <c r="I2337" s="24" t="s">
        <v>59</v>
      </c>
      <c r="J2337" s="24" t="s">
        <v>60</v>
      </c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16">
        <v>69.0</v>
      </c>
      <c r="B2338" s="35" t="str">
        <f t="array" ref="B2338">INDEX('Báo cáo 75 trang đích'!$B$2:$B$76,$A2338)</f>
        <v>https://techcombank.com/thong-tin/blog/lai-suat-vay-ngan-hang</v>
      </c>
      <c r="C2338" s="5" t="str">
        <f t="array" ref="C2338">INDEX('Báo cáo 75 trang đích'!$C$2:$C$76,$A2338)</f>
        <v>Unsecured Loan</v>
      </c>
      <c r="D2338" s="20" t="s">
        <v>1821</v>
      </c>
      <c r="E2338" s="22" t="s">
        <v>1204</v>
      </c>
      <c r="F2338" s="22" t="s">
        <v>81</v>
      </c>
      <c r="G2338" s="22" t="s">
        <v>1943</v>
      </c>
      <c r="H2338" s="24" t="s">
        <v>59</v>
      </c>
      <c r="I2338" s="24" t="s">
        <v>59</v>
      </c>
      <c r="J2338" s="24" t="s">
        <v>60</v>
      </c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16">
        <v>70.0</v>
      </c>
      <c r="B2339" s="35" t="str">
        <f t="array" ref="B2339">INDEX('Báo cáo 75 trang đích'!$B$2:$B$76,$A2339)</f>
        <v>https://techcombank.com/thong-tin/blog/vay-thau-chi-la-gi</v>
      </c>
      <c r="C2339" s="5" t="str">
        <f t="array" ref="C2339">INDEX('Báo cáo 75 trang đích'!$C$2:$C$76,$A2339)</f>
        <v>Unsecured Loan</v>
      </c>
      <c r="D2339" s="20" t="s">
        <v>1210</v>
      </c>
      <c r="E2339" s="22" t="s">
        <v>405</v>
      </c>
      <c r="F2339" s="22" t="s">
        <v>57</v>
      </c>
      <c r="G2339" s="22" t="s">
        <v>1944</v>
      </c>
      <c r="H2339" s="24" t="s">
        <v>59</v>
      </c>
      <c r="I2339" s="24" t="s">
        <v>59</v>
      </c>
      <c r="J2339" s="24" t="s">
        <v>60</v>
      </c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16">
        <v>70.0</v>
      </c>
      <c r="B2340" s="35" t="str">
        <f t="array" ref="B2340">INDEX('Báo cáo 75 trang đích'!$B$2:$B$76,$A2340)</f>
        <v>https://techcombank.com/thong-tin/blog/vay-thau-chi-la-gi</v>
      </c>
      <c r="C2340" s="5" t="str">
        <f t="array" ref="C2340">INDEX('Báo cáo 75 trang đích'!$C$2:$C$76,$A2340)</f>
        <v>Unsecured Loan</v>
      </c>
      <c r="D2340" s="20" t="s">
        <v>1212</v>
      </c>
      <c r="E2340" s="22" t="s">
        <v>1214</v>
      </c>
      <c r="F2340" s="22" t="s">
        <v>57</v>
      </c>
      <c r="G2340" s="22" t="s">
        <v>1945</v>
      </c>
      <c r="H2340" s="24" t="s">
        <v>59</v>
      </c>
      <c r="I2340" s="24" t="s">
        <v>59</v>
      </c>
      <c r="J2340" s="24" t="s">
        <v>60</v>
      </c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16">
        <v>70.0</v>
      </c>
      <c r="B2341" s="35" t="str">
        <f t="array" ref="B2341">INDEX('Báo cáo 75 trang đích'!$B$2:$B$76,$A2341)</f>
        <v>https://techcombank.com/thong-tin/blog/vay-thau-chi-la-gi</v>
      </c>
      <c r="C2341" s="5" t="str">
        <f t="array" ref="C2341">INDEX('Báo cáo 75 trang đích'!$C$2:$C$76,$A2341)</f>
        <v>Unsecured Loan</v>
      </c>
      <c r="D2341" s="20" t="s">
        <v>1215</v>
      </c>
      <c r="E2341" s="22" t="s">
        <v>405</v>
      </c>
      <c r="F2341" s="22" t="s">
        <v>57</v>
      </c>
      <c r="G2341" s="22" t="s">
        <v>1946</v>
      </c>
      <c r="H2341" s="24" t="s">
        <v>59</v>
      </c>
      <c r="I2341" s="24" t="s">
        <v>59</v>
      </c>
      <c r="J2341" s="24" t="s">
        <v>60</v>
      </c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16">
        <v>70.0</v>
      </c>
      <c r="B2342" s="35" t="str">
        <f t="array" ref="B2342">INDEX('Báo cáo 75 trang đích'!$B$2:$B$76,$A2342)</f>
        <v>https://techcombank.com/thong-tin/blog/vay-thau-chi-la-gi</v>
      </c>
      <c r="C2342" s="5" t="str">
        <f t="array" ref="C2342">INDEX('Báo cáo 75 trang đích'!$C$2:$C$76,$A2342)</f>
        <v>Unsecured Loan</v>
      </c>
      <c r="D2342" s="20" t="s">
        <v>1217</v>
      </c>
      <c r="E2342" s="22" t="s">
        <v>1214</v>
      </c>
      <c r="F2342" s="22" t="s">
        <v>57</v>
      </c>
      <c r="G2342" s="22" t="s">
        <v>1947</v>
      </c>
      <c r="H2342" s="24" t="s">
        <v>59</v>
      </c>
      <c r="I2342" s="24" t="s">
        <v>59</v>
      </c>
      <c r="J2342" s="24" t="s">
        <v>60</v>
      </c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16">
        <v>70.0</v>
      </c>
      <c r="B2343" s="35" t="str">
        <f t="array" ref="B2343">INDEX('Báo cáo 75 trang đích'!$B$2:$B$76,$A2343)</f>
        <v>https://techcombank.com/thong-tin/blog/vay-thau-chi-la-gi</v>
      </c>
      <c r="C2343" s="5" t="str">
        <f t="array" ref="C2343">INDEX('Báo cáo 75 trang đích'!$C$2:$C$76,$A2343)</f>
        <v>Unsecured Loan</v>
      </c>
      <c r="D2343" s="20" t="s">
        <v>1219</v>
      </c>
      <c r="E2343" s="22" t="s">
        <v>405</v>
      </c>
      <c r="F2343" s="22" t="s">
        <v>76</v>
      </c>
      <c r="G2343" s="22" t="s">
        <v>1948</v>
      </c>
      <c r="H2343" s="24" t="s">
        <v>59</v>
      </c>
      <c r="I2343" s="24" t="s">
        <v>59</v>
      </c>
      <c r="J2343" s="24" t="s">
        <v>60</v>
      </c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16">
        <v>70.0</v>
      </c>
      <c r="B2344" s="35" t="str">
        <f t="array" ref="B2344">INDEX('Báo cáo 75 trang đích'!$B$2:$B$76,$A2344)</f>
        <v>https://techcombank.com/thong-tin/blog/vay-thau-chi-la-gi</v>
      </c>
      <c r="C2344" s="5" t="str">
        <f t="array" ref="C2344">INDEX('Báo cáo 75 trang đích'!$C$2:$C$76,$A2344)</f>
        <v>Unsecured Loan</v>
      </c>
      <c r="D2344" s="20" t="s">
        <v>1673</v>
      </c>
      <c r="E2344" s="22" t="s">
        <v>1214</v>
      </c>
      <c r="F2344" s="22" t="s">
        <v>81</v>
      </c>
      <c r="G2344" s="22" t="s">
        <v>1949</v>
      </c>
      <c r="H2344" s="24" t="s">
        <v>59</v>
      </c>
      <c r="I2344" s="24" t="s">
        <v>59</v>
      </c>
      <c r="J2344" s="24" t="s">
        <v>60</v>
      </c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16">
        <v>70.0</v>
      </c>
      <c r="B2345" s="35" t="str">
        <f t="array" ref="B2345">INDEX('Báo cáo 75 trang đích'!$B$2:$B$76,$A2345)</f>
        <v>https://techcombank.com/thong-tin/blog/vay-thau-chi-la-gi</v>
      </c>
      <c r="C2345" s="5" t="str">
        <f t="array" ref="C2345">INDEX('Báo cáo 75 trang đích'!$C$2:$C$76,$A2345)</f>
        <v>Unsecured Loan</v>
      </c>
      <c r="D2345" s="20" t="s">
        <v>1508</v>
      </c>
      <c r="E2345" s="22" t="s">
        <v>405</v>
      </c>
      <c r="F2345" s="22" t="s">
        <v>81</v>
      </c>
      <c r="G2345" s="22" t="s">
        <v>1949</v>
      </c>
      <c r="H2345" s="24" t="s">
        <v>59</v>
      </c>
      <c r="I2345" s="24" t="s">
        <v>59</v>
      </c>
      <c r="J2345" s="24" t="s">
        <v>60</v>
      </c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16">
        <v>70.0</v>
      </c>
      <c r="B2346" s="35" t="str">
        <f t="array" ref="B2346">INDEX('Báo cáo 75 trang đích'!$B$2:$B$76,$A2346)</f>
        <v>https://techcombank.com/thong-tin/blog/vay-thau-chi-la-gi</v>
      </c>
      <c r="C2346" s="5" t="str">
        <f t="array" ref="C2346">INDEX('Báo cáo 75 trang đích'!$C$2:$C$76,$A2346)</f>
        <v>Unsecured Loan</v>
      </c>
      <c r="D2346" s="20" t="s">
        <v>316</v>
      </c>
      <c r="E2346" s="22" t="s">
        <v>1214</v>
      </c>
      <c r="F2346" s="22" t="s">
        <v>81</v>
      </c>
      <c r="G2346" s="22" t="s">
        <v>1949</v>
      </c>
      <c r="H2346" s="24" t="s">
        <v>59</v>
      </c>
      <c r="I2346" s="24" t="s">
        <v>59</v>
      </c>
      <c r="J2346" s="24" t="s">
        <v>60</v>
      </c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16">
        <v>70.0</v>
      </c>
      <c r="B2347" s="35" t="str">
        <f t="array" ref="B2347">INDEX('Báo cáo 75 trang đích'!$B$2:$B$76,$A2347)</f>
        <v>https://techcombank.com/thong-tin/blog/vay-thau-chi-la-gi</v>
      </c>
      <c r="C2347" s="5" t="str">
        <f t="array" ref="C2347">INDEX('Báo cáo 75 trang đích'!$C$2:$C$76,$A2347)</f>
        <v>Unsecured Loan</v>
      </c>
      <c r="D2347" s="20" t="s">
        <v>1120</v>
      </c>
      <c r="E2347" s="22" t="s">
        <v>405</v>
      </c>
      <c r="F2347" s="22" t="s">
        <v>81</v>
      </c>
      <c r="G2347" s="22" t="s">
        <v>1949</v>
      </c>
      <c r="H2347" s="24" t="s">
        <v>59</v>
      </c>
      <c r="I2347" s="24" t="s">
        <v>59</v>
      </c>
      <c r="J2347" s="24" t="s">
        <v>60</v>
      </c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16">
        <v>71.0</v>
      </c>
      <c r="B2348" s="35" t="str">
        <f t="array" ref="B2348">INDEX('Báo cáo 75 trang đích'!$B$2:$B$76,$A2348)</f>
        <v>https://techcombank.com/thong-tin/blog/kiem-tra-no-xau</v>
      </c>
      <c r="C2348" s="5" t="str">
        <f t="array" ref="C2348">INDEX('Báo cáo 75 trang đích'!$C$2:$C$76,$A2348)</f>
        <v>Unsecured Loan</v>
      </c>
      <c r="D2348" s="20" t="s">
        <v>1032</v>
      </c>
      <c r="E2348" s="22" t="s">
        <v>412</v>
      </c>
      <c r="F2348" s="22" t="s">
        <v>57</v>
      </c>
      <c r="G2348" s="22" t="s">
        <v>1950</v>
      </c>
      <c r="H2348" s="24" t="s">
        <v>59</v>
      </c>
      <c r="I2348" s="24" t="s">
        <v>59</v>
      </c>
      <c r="J2348" s="24" t="s">
        <v>60</v>
      </c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16">
        <v>71.0</v>
      </c>
      <c r="B2349" s="35" t="str">
        <f t="array" ref="B2349">INDEX('Báo cáo 75 trang đích'!$B$2:$B$76,$A2349)</f>
        <v>https://techcombank.com/thong-tin/blog/kiem-tra-no-xau</v>
      </c>
      <c r="C2349" s="5" t="str">
        <f t="array" ref="C2349">INDEX('Báo cáo 75 trang đích'!$C$2:$C$76,$A2349)</f>
        <v>Unsecured Loan</v>
      </c>
      <c r="D2349" s="20" t="s">
        <v>1223</v>
      </c>
      <c r="E2349" s="22" t="s">
        <v>1225</v>
      </c>
      <c r="F2349" s="22" t="s">
        <v>57</v>
      </c>
      <c r="G2349" s="22" t="s">
        <v>1951</v>
      </c>
      <c r="H2349" s="24" t="s">
        <v>59</v>
      </c>
      <c r="I2349" s="24" t="s">
        <v>59</v>
      </c>
      <c r="J2349" s="24" t="s">
        <v>60</v>
      </c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16">
        <v>71.0</v>
      </c>
      <c r="B2350" s="35" t="str">
        <f t="array" ref="B2350">INDEX('Báo cáo 75 trang đích'!$B$2:$B$76,$A2350)</f>
        <v>https://techcombank.com/thong-tin/blog/kiem-tra-no-xau</v>
      </c>
      <c r="C2350" s="5" t="str">
        <f t="array" ref="C2350">INDEX('Báo cáo 75 trang đích'!$C$2:$C$76,$A2350)</f>
        <v>Unsecured Loan</v>
      </c>
      <c r="D2350" s="20" t="s">
        <v>1226</v>
      </c>
      <c r="E2350" s="22" t="s">
        <v>412</v>
      </c>
      <c r="F2350" s="22" t="s">
        <v>57</v>
      </c>
      <c r="G2350" s="22" t="s">
        <v>1952</v>
      </c>
      <c r="H2350" s="24" t="s">
        <v>59</v>
      </c>
      <c r="I2350" s="24" t="s">
        <v>59</v>
      </c>
      <c r="J2350" s="24" t="s">
        <v>60</v>
      </c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16">
        <v>71.0</v>
      </c>
      <c r="B2351" s="35" t="str">
        <f t="array" ref="B2351">INDEX('Báo cáo 75 trang đích'!$B$2:$B$76,$A2351)</f>
        <v>https://techcombank.com/thong-tin/blog/kiem-tra-no-xau</v>
      </c>
      <c r="C2351" s="5" t="str">
        <f t="array" ref="C2351">INDEX('Báo cáo 75 trang đích'!$C$2:$C$76,$A2351)</f>
        <v>Unsecured Loan</v>
      </c>
      <c r="D2351" s="20" t="s">
        <v>809</v>
      </c>
      <c r="E2351" s="22" t="s">
        <v>1225</v>
      </c>
      <c r="F2351" s="22" t="s">
        <v>57</v>
      </c>
      <c r="G2351" s="22" t="s">
        <v>1953</v>
      </c>
      <c r="H2351" s="24" t="s">
        <v>59</v>
      </c>
      <c r="I2351" s="24" t="s">
        <v>59</v>
      </c>
      <c r="J2351" s="24" t="s">
        <v>60</v>
      </c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16">
        <v>71.0</v>
      </c>
      <c r="B2352" s="35" t="str">
        <f t="array" ref="B2352">INDEX('Báo cáo 75 trang đích'!$B$2:$B$76,$A2352)</f>
        <v>https://techcombank.com/thong-tin/blog/kiem-tra-no-xau</v>
      </c>
      <c r="C2352" s="5" t="str">
        <f t="array" ref="C2352">INDEX('Báo cáo 75 trang đích'!$C$2:$C$76,$A2352)</f>
        <v>Unsecured Loan</v>
      </c>
      <c r="D2352" s="20" t="s">
        <v>734</v>
      </c>
      <c r="E2352" s="22" t="s">
        <v>412</v>
      </c>
      <c r="F2352" s="22" t="s">
        <v>76</v>
      </c>
      <c r="G2352" s="22" t="s">
        <v>1954</v>
      </c>
      <c r="H2352" s="24" t="s">
        <v>59</v>
      </c>
      <c r="I2352" s="24" t="s">
        <v>59</v>
      </c>
      <c r="J2352" s="24" t="s">
        <v>60</v>
      </c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16">
        <v>71.0</v>
      </c>
      <c r="B2353" s="35" t="str">
        <f t="array" ref="B2353">INDEX('Báo cáo 75 trang đích'!$B$2:$B$76,$A2353)</f>
        <v>https://techcombank.com/thong-tin/blog/kiem-tra-no-xau</v>
      </c>
      <c r="C2353" s="5" t="str">
        <f t="array" ref="C2353">INDEX('Báo cáo 75 trang đích'!$C$2:$C$76,$A2353)</f>
        <v>Unsecured Loan</v>
      </c>
      <c r="D2353" s="20" t="s">
        <v>731</v>
      </c>
      <c r="E2353" s="22" t="s">
        <v>1225</v>
      </c>
      <c r="F2353" s="22" t="s">
        <v>81</v>
      </c>
      <c r="G2353" s="22" t="s">
        <v>1955</v>
      </c>
      <c r="H2353" s="24" t="s">
        <v>59</v>
      </c>
      <c r="I2353" s="24" t="s">
        <v>59</v>
      </c>
      <c r="J2353" s="24" t="s">
        <v>60</v>
      </c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16">
        <v>71.0</v>
      </c>
      <c r="B2354" s="35" t="str">
        <f t="array" ref="B2354">INDEX('Báo cáo 75 trang đích'!$B$2:$B$76,$A2354)</f>
        <v>https://techcombank.com/thong-tin/blog/kiem-tra-no-xau</v>
      </c>
      <c r="C2354" s="5" t="str">
        <f t="array" ref="C2354">INDEX('Báo cáo 75 trang đích'!$C$2:$C$76,$A2354)</f>
        <v>Unsecured Loan</v>
      </c>
      <c r="D2354" s="20" t="s">
        <v>722</v>
      </c>
      <c r="E2354" s="22" t="s">
        <v>412</v>
      </c>
      <c r="F2354" s="22" t="s">
        <v>81</v>
      </c>
      <c r="G2354" s="22" t="s">
        <v>1425</v>
      </c>
      <c r="H2354" s="24" t="s">
        <v>59</v>
      </c>
      <c r="I2354" s="24" t="s">
        <v>59</v>
      </c>
      <c r="J2354" s="24" t="s">
        <v>60</v>
      </c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16">
        <v>71.0</v>
      </c>
      <c r="B2355" s="35" t="str">
        <f t="array" ref="B2355">INDEX('Báo cáo 75 trang đích'!$B$2:$B$76,$A2355)</f>
        <v>https://techcombank.com/thong-tin/blog/kiem-tra-no-xau</v>
      </c>
      <c r="C2355" s="5" t="str">
        <f t="array" ref="C2355">INDEX('Báo cáo 75 trang đích'!$C$2:$C$76,$A2355)</f>
        <v>Unsecured Loan</v>
      </c>
      <c r="D2355" s="20" t="s">
        <v>1421</v>
      </c>
      <c r="E2355" s="22" t="s">
        <v>1225</v>
      </c>
      <c r="F2355" s="22" t="s">
        <v>81</v>
      </c>
      <c r="G2355" s="22" t="s">
        <v>1422</v>
      </c>
      <c r="H2355" s="24" t="s">
        <v>59</v>
      </c>
      <c r="I2355" s="24" t="s">
        <v>59</v>
      </c>
      <c r="J2355" s="24" t="s">
        <v>60</v>
      </c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16">
        <v>71.0</v>
      </c>
      <c r="B2356" s="35" t="str">
        <f t="array" ref="B2356">INDEX('Báo cáo 75 trang đích'!$B$2:$B$76,$A2356)</f>
        <v>https://techcombank.com/thong-tin/blog/kiem-tra-no-xau</v>
      </c>
      <c r="C2356" s="5" t="str">
        <f t="array" ref="C2356">INDEX('Báo cáo 75 trang đích'!$C$2:$C$76,$A2356)</f>
        <v>Unsecured Loan</v>
      </c>
      <c r="D2356" s="20" t="s">
        <v>391</v>
      </c>
      <c r="E2356" s="22" t="s">
        <v>412</v>
      </c>
      <c r="F2356" s="22" t="s">
        <v>81</v>
      </c>
      <c r="G2356" s="22" t="s">
        <v>1422</v>
      </c>
      <c r="H2356" s="24" t="s">
        <v>59</v>
      </c>
      <c r="I2356" s="24" t="s">
        <v>59</v>
      </c>
      <c r="J2356" s="24" t="s">
        <v>60</v>
      </c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16">
        <v>71.0</v>
      </c>
      <c r="B2357" s="35" t="str">
        <f t="array" ref="B2357">INDEX('Báo cáo 75 trang đích'!$B$2:$B$76,$A2357)</f>
        <v>https://techcombank.com/thong-tin/blog/kiem-tra-no-xau</v>
      </c>
      <c r="C2357" s="5" t="str">
        <f t="array" ref="C2357">INDEX('Báo cáo 75 trang đích'!$C$2:$C$76,$A2357)</f>
        <v>Unsecured Loan</v>
      </c>
      <c r="D2357" s="20" t="s">
        <v>811</v>
      </c>
      <c r="E2357" s="22" t="s">
        <v>1225</v>
      </c>
      <c r="F2357" s="22" t="s">
        <v>81</v>
      </c>
      <c r="G2357" s="22" t="s">
        <v>1422</v>
      </c>
      <c r="H2357" s="24" t="s">
        <v>59</v>
      </c>
      <c r="I2357" s="24" t="s">
        <v>59</v>
      </c>
      <c r="J2357" s="24" t="s">
        <v>60</v>
      </c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16">
        <v>71.0</v>
      </c>
      <c r="B2358" s="35" t="str">
        <f t="array" ref="B2358">INDEX('Báo cáo 75 trang đích'!$B$2:$B$76,$A2358)</f>
        <v>https://techcombank.com/thong-tin/blog/kiem-tra-no-xau</v>
      </c>
      <c r="C2358" s="5" t="str">
        <f t="array" ref="C2358">INDEX('Báo cáo 75 trang đích'!$C$2:$C$76,$A2358)</f>
        <v>Unsecured Loan</v>
      </c>
      <c r="D2358" s="20" t="s">
        <v>1424</v>
      </c>
      <c r="E2358" s="22" t="s">
        <v>412</v>
      </c>
      <c r="F2358" s="22" t="s">
        <v>81</v>
      </c>
      <c r="G2358" s="22" t="s">
        <v>1425</v>
      </c>
      <c r="H2358" s="24" t="s">
        <v>59</v>
      </c>
      <c r="I2358" s="24" t="s">
        <v>59</v>
      </c>
      <c r="J2358" s="24" t="s">
        <v>60</v>
      </c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16">
        <v>71.0</v>
      </c>
      <c r="B2359" s="35" t="str">
        <f t="array" ref="B2359">INDEX('Báo cáo 75 trang đích'!$B$2:$B$76,$A2359)</f>
        <v>https://techcombank.com/thong-tin/blog/kiem-tra-no-xau</v>
      </c>
      <c r="C2359" s="5" t="str">
        <f t="array" ref="C2359">INDEX('Báo cáo 75 trang đích'!$C$2:$C$76,$A2359)</f>
        <v>Unsecured Loan</v>
      </c>
      <c r="D2359" s="20" t="s">
        <v>727</v>
      </c>
      <c r="E2359" s="22" t="s">
        <v>1225</v>
      </c>
      <c r="F2359" s="22" t="s">
        <v>81</v>
      </c>
      <c r="G2359" s="22" t="s">
        <v>1956</v>
      </c>
      <c r="H2359" s="24" t="s">
        <v>59</v>
      </c>
      <c r="I2359" s="24" t="s">
        <v>59</v>
      </c>
      <c r="J2359" s="24" t="s">
        <v>60</v>
      </c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16">
        <v>71.0</v>
      </c>
      <c r="B2360" s="35" t="str">
        <f t="array" ref="B2360">INDEX('Báo cáo 75 trang đích'!$B$2:$B$76,$A2360)</f>
        <v>https://techcombank.com/thong-tin/blog/kiem-tra-no-xau</v>
      </c>
      <c r="C2360" s="5" t="str">
        <f t="array" ref="C2360">INDEX('Báo cáo 75 trang đích'!$C$2:$C$76,$A2360)</f>
        <v>Unsecured Loan</v>
      </c>
      <c r="D2360" s="20" t="s">
        <v>187</v>
      </c>
      <c r="E2360" s="22" t="s">
        <v>412</v>
      </c>
      <c r="F2360" s="22" t="s">
        <v>81</v>
      </c>
      <c r="G2360" s="22" t="s">
        <v>1425</v>
      </c>
      <c r="H2360" s="24" t="s">
        <v>59</v>
      </c>
      <c r="I2360" s="24" t="s">
        <v>59</v>
      </c>
      <c r="J2360" s="24" t="s">
        <v>60</v>
      </c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16">
        <v>71.0</v>
      </c>
      <c r="B2361" s="35" t="str">
        <f t="array" ref="B2361">INDEX('Báo cáo 75 trang đích'!$B$2:$B$76,$A2361)</f>
        <v>https://techcombank.com/thong-tin/blog/kiem-tra-no-xau</v>
      </c>
      <c r="C2361" s="5" t="str">
        <f t="array" ref="C2361">INDEX('Báo cáo 75 trang đích'!$C$2:$C$76,$A2361)</f>
        <v>Unsecured Loan</v>
      </c>
      <c r="D2361" s="20" t="s">
        <v>800</v>
      </c>
      <c r="E2361" s="22" t="s">
        <v>1225</v>
      </c>
      <c r="F2361" s="22" t="s">
        <v>81</v>
      </c>
      <c r="G2361" s="22" t="s">
        <v>1422</v>
      </c>
      <c r="H2361" s="24" t="s">
        <v>59</v>
      </c>
      <c r="I2361" s="24" t="s">
        <v>59</v>
      </c>
      <c r="J2361" s="24" t="s">
        <v>60</v>
      </c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16">
        <v>71.0</v>
      </c>
      <c r="B2362" s="35" t="str">
        <f t="array" ref="B2362">INDEX('Báo cáo 75 trang đích'!$B$2:$B$76,$A2362)</f>
        <v>https://techcombank.com/thong-tin/blog/kiem-tra-no-xau</v>
      </c>
      <c r="C2362" s="5" t="str">
        <f t="array" ref="C2362">INDEX('Báo cáo 75 trang đích'!$C$2:$C$76,$A2362)</f>
        <v>Unsecured Loan</v>
      </c>
      <c r="D2362" s="20" t="s">
        <v>820</v>
      </c>
      <c r="E2362" s="22" t="s">
        <v>412</v>
      </c>
      <c r="F2362" s="22" t="s">
        <v>81</v>
      </c>
      <c r="G2362" s="22" t="s">
        <v>1422</v>
      </c>
      <c r="H2362" s="24" t="s">
        <v>59</v>
      </c>
      <c r="I2362" s="24" t="s">
        <v>59</v>
      </c>
      <c r="J2362" s="24" t="s">
        <v>60</v>
      </c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16">
        <v>71.0</v>
      </c>
      <c r="B2363" s="35" t="str">
        <f t="array" ref="B2363">INDEX('Báo cáo 75 trang đích'!$B$2:$B$76,$A2363)</f>
        <v>https://techcombank.com/thong-tin/blog/kiem-tra-no-xau</v>
      </c>
      <c r="C2363" s="5" t="str">
        <f t="array" ref="C2363">INDEX('Báo cáo 75 trang đích'!$C$2:$C$76,$A2363)</f>
        <v>Unsecured Loan</v>
      </c>
      <c r="D2363" s="20" t="s">
        <v>724</v>
      </c>
      <c r="E2363" s="22" t="s">
        <v>1225</v>
      </c>
      <c r="F2363" s="22" t="s">
        <v>81</v>
      </c>
      <c r="G2363" s="22" t="s">
        <v>1425</v>
      </c>
      <c r="H2363" s="24" t="s">
        <v>59</v>
      </c>
      <c r="I2363" s="24" t="s">
        <v>59</v>
      </c>
      <c r="J2363" s="24" t="s">
        <v>60</v>
      </c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16">
        <v>72.0</v>
      </c>
      <c r="B2364" s="35" t="str">
        <f t="array" ref="B2364">INDEX('Báo cáo 75 trang đích'!$B$2:$B$76,$A2364)</f>
        <v>https://techcombank.com/thong-tin/blog/nen-vay-tin-chap-o-dau</v>
      </c>
      <c r="C2364" s="5" t="str">
        <f t="array" ref="C2364">INDEX('Báo cáo 75 trang đích'!$C$2:$C$76,$A2364)</f>
        <v>Unsecured Loan</v>
      </c>
      <c r="D2364" s="20" t="s">
        <v>1230</v>
      </c>
      <c r="E2364" s="22" t="s">
        <v>418</v>
      </c>
      <c r="F2364" s="22" t="s">
        <v>57</v>
      </c>
      <c r="G2364" s="22" t="s">
        <v>1957</v>
      </c>
      <c r="H2364" s="24" t="s">
        <v>59</v>
      </c>
      <c r="I2364" s="24" t="s">
        <v>59</v>
      </c>
      <c r="J2364" s="24" t="s">
        <v>60</v>
      </c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16">
        <v>72.0</v>
      </c>
      <c r="B2365" s="35" t="str">
        <f t="array" ref="B2365">INDEX('Báo cáo 75 trang đích'!$B$2:$B$76,$A2365)</f>
        <v>https://techcombank.com/thong-tin/blog/nen-vay-tin-chap-o-dau</v>
      </c>
      <c r="C2365" s="5" t="str">
        <f t="array" ref="C2365">INDEX('Báo cáo 75 trang đích'!$C$2:$C$76,$A2365)</f>
        <v>Unsecured Loan</v>
      </c>
      <c r="D2365" s="20" t="s">
        <v>1233</v>
      </c>
      <c r="E2365" s="22" t="s">
        <v>418</v>
      </c>
      <c r="F2365" s="22" t="s">
        <v>57</v>
      </c>
      <c r="G2365" s="22" t="s">
        <v>1958</v>
      </c>
      <c r="H2365" s="24" t="s">
        <v>59</v>
      </c>
      <c r="I2365" s="24" t="s">
        <v>59</v>
      </c>
      <c r="J2365" s="24" t="s">
        <v>60</v>
      </c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16">
        <v>72.0</v>
      </c>
      <c r="B2366" s="35" t="str">
        <f t="array" ref="B2366">INDEX('Báo cáo 75 trang đích'!$B$2:$B$76,$A2366)</f>
        <v>https://techcombank.com/thong-tin/blog/nen-vay-tin-chap-o-dau</v>
      </c>
      <c r="C2366" s="5" t="str">
        <f t="array" ref="C2366">INDEX('Báo cáo 75 trang đích'!$C$2:$C$76,$A2366)</f>
        <v>Unsecured Loan</v>
      </c>
      <c r="D2366" s="20" t="s">
        <v>1235</v>
      </c>
      <c r="E2366" s="22" t="s">
        <v>418</v>
      </c>
      <c r="F2366" s="22" t="s">
        <v>57</v>
      </c>
      <c r="G2366" s="22" t="s">
        <v>1959</v>
      </c>
      <c r="H2366" s="24" t="s">
        <v>59</v>
      </c>
      <c r="I2366" s="24" t="s">
        <v>59</v>
      </c>
      <c r="J2366" s="24" t="s">
        <v>60</v>
      </c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16">
        <v>72.0</v>
      </c>
      <c r="B2367" s="35" t="str">
        <f t="array" ref="B2367">INDEX('Báo cáo 75 trang đích'!$B$2:$B$76,$A2367)</f>
        <v>https://techcombank.com/thong-tin/blog/nen-vay-tin-chap-o-dau</v>
      </c>
      <c r="C2367" s="5" t="str">
        <f t="array" ref="C2367">INDEX('Báo cáo 75 trang đích'!$C$2:$C$76,$A2367)</f>
        <v>Unsecured Loan</v>
      </c>
      <c r="D2367" s="20" t="s">
        <v>1238</v>
      </c>
      <c r="E2367" s="22" t="s">
        <v>418</v>
      </c>
      <c r="F2367" s="22" t="s">
        <v>57</v>
      </c>
      <c r="G2367" s="22" t="s">
        <v>1960</v>
      </c>
      <c r="H2367" s="24" t="s">
        <v>59</v>
      </c>
      <c r="I2367" s="24" t="s">
        <v>59</v>
      </c>
      <c r="J2367" s="24" t="s">
        <v>60</v>
      </c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16">
        <v>72.0</v>
      </c>
      <c r="B2368" s="35" t="str">
        <f t="array" ref="B2368">INDEX('Báo cáo 75 trang đích'!$B$2:$B$76,$A2368)</f>
        <v>https://techcombank.com/thong-tin/blog/nen-vay-tin-chap-o-dau</v>
      </c>
      <c r="C2368" s="5" t="str">
        <f t="array" ref="C2368">INDEX('Báo cáo 75 trang đích'!$C$2:$C$76,$A2368)</f>
        <v>Unsecured Loan</v>
      </c>
      <c r="D2368" s="20" t="s">
        <v>728</v>
      </c>
      <c r="E2368" s="22" t="s">
        <v>418</v>
      </c>
      <c r="F2368" s="22" t="s">
        <v>57</v>
      </c>
      <c r="G2368" s="22" t="s">
        <v>1961</v>
      </c>
      <c r="H2368" s="24" t="s">
        <v>59</v>
      </c>
      <c r="I2368" s="24" t="s">
        <v>59</v>
      </c>
      <c r="J2368" s="24" t="s">
        <v>60</v>
      </c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16">
        <v>72.0</v>
      </c>
      <c r="B2369" s="35" t="str">
        <f t="array" ref="B2369">INDEX('Báo cáo 75 trang đích'!$B$2:$B$76,$A2369)</f>
        <v>https://techcombank.com/thong-tin/blog/nen-vay-tin-chap-o-dau</v>
      </c>
      <c r="C2369" s="5" t="str">
        <f t="array" ref="C2369">INDEX('Báo cáo 75 trang đích'!$C$2:$C$76,$A2369)</f>
        <v>Unsecured Loan</v>
      </c>
      <c r="D2369" s="20" t="s">
        <v>1758</v>
      </c>
      <c r="E2369" s="22" t="s">
        <v>418</v>
      </c>
      <c r="F2369" s="22" t="s">
        <v>81</v>
      </c>
      <c r="G2369" s="22" t="s">
        <v>1962</v>
      </c>
      <c r="H2369" s="24" t="s">
        <v>59</v>
      </c>
      <c r="I2369" s="24" t="s">
        <v>59</v>
      </c>
      <c r="J2369" s="24" t="s">
        <v>60</v>
      </c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16">
        <v>72.0</v>
      </c>
      <c r="B2370" s="35" t="str">
        <f t="array" ref="B2370">INDEX('Báo cáo 75 trang đích'!$B$2:$B$76,$A2370)</f>
        <v>https://techcombank.com/thong-tin/blog/nen-vay-tin-chap-o-dau</v>
      </c>
      <c r="C2370" s="5" t="str">
        <f t="array" ref="C2370">INDEX('Báo cáo 75 trang đích'!$C$2:$C$76,$A2370)</f>
        <v>Unsecured Loan</v>
      </c>
      <c r="D2370" s="20" t="s">
        <v>1963</v>
      </c>
      <c r="E2370" s="22" t="s">
        <v>418</v>
      </c>
      <c r="F2370" s="22" t="s">
        <v>81</v>
      </c>
      <c r="G2370" s="22" t="s">
        <v>1962</v>
      </c>
      <c r="H2370" s="24" t="s">
        <v>59</v>
      </c>
      <c r="I2370" s="24" t="s">
        <v>59</v>
      </c>
      <c r="J2370" s="24" t="s">
        <v>60</v>
      </c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16">
        <v>72.0</v>
      </c>
      <c r="B2371" s="35" t="str">
        <f t="array" ref="B2371">INDEX('Báo cáo 75 trang đích'!$B$2:$B$76,$A2371)</f>
        <v>https://techcombank.com/thong-tin/blog/nen-vay-tin-chap-o-dau</v>
      </c>
      <c r="C2371" s="5" t="str">
        <f t="array" ref="C2371">INDEX('Báo cáo 75 trang đích'!$C$2:$C$76,$A2371)</f>
        <v>Unsecured Loan</v>
      </c>
      <c r="D2371" s="20" t="s">
        <v>1671</v>
      </c>
      <c r="E2371" s="22" t="s">
        <v>418</v>
      </c>
      <c r="F2371" s="22" t="s">
        <v>81</v>
      </c>
      <c r="G2371" s="22" t="s">
        <v>1962</v>
      </c>
      <c r="H2371" s="24" t="s">
        <v>59</v>
      </c>
      <c r="I2371" s="24" t="s">
        <v>59</v>
      </c>
      <c r="J2371" s="24" t="s">
        <v>60</v>
      </c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16">
        <v>72.0</v>
      </c>
      <c r="B2372" s="35" t="str">
        <f t="array" ref="B2372">INDEX('Báo cáo 75 trang đích'!$B$2:$B$76,$A2372)</f>
        <v>https://techcombank.com/thong-tin/blog/nen-vay-tin-chap-o-dau</v>
      </c>
      <c r="C2372" s="5" t="str">
        <f t="array" ref="C2372">INDEX('Báo cáo 75 trang đích'!$C$2:$C$76,$A2372)</f>
        <v>Unsecured Loan</v>
      </c>
      <c r="D2372" s="20" t="s">
        <v>1673</v>
      </c>
      <c r="E2372" s="22" t="s">
        <v>418</v>
      </c>
      <c r="F2372" s="22" t="s">
        <v>81</v>
      </c>
      <c r="G2372" s="22" t="s">
        <v>1962</v>
      </c>
      <c r="H2372" s="24" t="s">
        <v>59</v>
      </c>
      <c r="I2372" s="24" t="s">
        <v>59</v>
      </c>
      <c r="J2372" s="24" t="s">
        <v>60</v>
      </c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16">
        <v>72.0</v>
      </c>
      <c r="B2373" s="35" t="str">
        <f t="array" ref="B2373">INDEX('Báo cáo 75 trang đích'!$B$2:$B$76,$A2373)</f>
        <v>https://techcombank.com/thong-tin/blog/nen-vay-tin-chap-o-dau</v>
      </c>
      <c r="C2373" s="5" t="str">
        <f t="array" ref="C2373">INDEX('Báo cáo 75 trang đích'!$C$2:$C$76,$A2373)</f>
        <v>Unsecured Loan</v>
      </c>
      <c r="D2373" s="20" t="s">
        <v>1508</v>
      </c>
      <c r="E2373" s="22" t="s">
        <v>418</v>
      </c>
      <c r="F2373" s="22" t="s">
        <v>81</v>
      </c>
      <c r="G2373" s="22" t="s">
        <v>1962</v>
      </c>
      <c r="H2373" s="24" t="s">
        <v>59</v>
      </c>
      <c r="I2373" s="24" t="s">
        <v>59</v>
      </c>
      <c r="J2373" s="24" t="s">
        <v>60</v>
      </c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16">
        <v>72.0</v>
      </c>
      <c r="B2374" s="35" t="str">
        <f t="array" ref="B2374">INDEX('Báo cáo 75 trang đích'!$B$2:$B$76,$A2374)</f>
        <v>https://techcombank.com/thong-tin/blog/nen-vay-tin-chap-o-dau</v>
      </c>
      <c r="C2374" s="5" t="str">
        <f t="array" ref="C2374">INDEX('Báo cáo 75 trang đích'!$C$2:$C$76,$A2374)</f>
        <v>Unsecured Loan</v>
      </c>
      <c r="D2374" s="20" t="s">
        <v>1964</v>
      </c>
      <c r="E2374" s="22" t="s">
        <v>418</v>
      </c>
      <c r="F2374" s="22" t="s">
        <v>81</v>
      </c>
      <c r="G2374" s="22" t="s">
        <v>1962</v>
      </c>
      <c r="H2374" s="24" t="s">
        <v>59</v>
      </c>
      <c r="I2374" s="24" t="s">
        <v>59</v>
      </c>
      <c r="J2374" s="24" t="s">
        <v>60</v>
      </c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16">
        <v>72.0</v>
      </c>
      <c r="B2375" s="35" t="str">
        <f t="array" ref="B2375">INDEX('Báo cáo 75 trang đích'!$B$2:$B$76,$A2375)</f>
        <v>https://techcombank.com/thong-tin/blog/nen-vay-tin-chap-o-dau</v>
      </c>
      <c r="C2375" s="5" t="str">
        <f t="array" ref="C2375">INDEX('Báo cáo 75 trang đích'!$C$2:$C$76,$A2375)</f>
        <v>Unsecured Loan</v>
      </c>
      <c r="D2375" s="20" t="s">
        <v>1278</v>
      </c>
      <c r="E2375" s="22" t="s">
        <v>418</v>
      </c>
      <c r="F2375" s="22" t="s">
        <v>81</v>
      </c>
      <c r="G2375" s="22" t="s">
        <v>1965</v>
      </c>
      <c r="H2375" s="24" t="s">
        <v>59</v>
      </c>
      <c r="I2375" s="24" t="s">
        <v>59</v>
      </c>
      <c r="J2375" s="24" t="s">
        <v>60</v>
      </c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16">
        <v>72.0</v>
      </c>
      <c r="B2376" s="35" t="str">
        <f t="array" ref="B2376">INDEX('Báo cáo 75 trang đích'!$B$2:$B$76,$A2376)</f>
        <v>https://techcombank.com/thong-tin/blog/nen-vay-tin-chap-o-dau</v>
      </c>
      <c r="C2376" s="5" t="str">
        <f t="array" ref="C2376">INDEX('Báo cáo 75 trang đích'!$C$2:$C$76,$A2376)</f>
        <v>Unsecured Loan</v>
      </c>
      <c r="D2376" s="20" t="s">
        <v>458</v>
      </c>
      <c r="E2376" s="22" t="s">
        <v>418</v>
      </c>
      <c r="F2376" s="22" t="s">
        <v>81</v>
      </c>
      <c r="G2376" s="22" t="s">
        <v>1935</v>
      </c>
      <c r="H2376" s="24" t="s">
        <v>59</v>
      </c>
      <c r="I2376" s="24" t="s">
        <v>59</v>
      </c>
      <c r="J2376" s="24" t="s">
        <v>60</v>
      </c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16">
        <v>72.0</v>
      </c>
      <c r="B2377" s="35" t="str">
        <f t="array" ref="B2377">INDEX('Báo cáo 75 trang đích'!$B$2:$B$76,$A2377)</f>
        <v>https://techcombank.com/thong-tin/blog/nen-vay-tin-chap-o-dau</v>
      </c>
      <c r="C2377" s="5" t="str">
        <f t="array" ref="C2377">INDEX('Báo cáo 75 trang đích'!$C$2:$C$76,$A2377)</f>
        <v>Unsecured Loan</v>
      </c>
      <c r="D2377" s="20" t="s">
        <v>1191</v>
      </c>
      <c r="E2377" s="22" t="s">
        <v>418</v>
      </c>
      <c r="F2377" s="22" t="s">
        <v>81</v>
      </c>
      <c r="G2377" s="22" t="s">
        <v>1935</v>
      </c>
      <c r="H2377" s="24" t="s">
        <v>59</v>
      </c>
      <c r="I2377" s="24" t="s">
        <v>59</v>
      </c>
      <c r="J2377" s="24" t="s">
        <v>60</v>
      </c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16">
        <v>72.0</v>
      </c>
      <c r="B2378" s="35" t="str">
        <f t="array" ref="B2378">INDEX('Báo cáo 75 trang đích'!$B$2:$B$76,$A2378)</f>
        <v>https://techcombank.com/thong-tin/blog/nen-vay-tin-chap-o-dau</v>
      </c>
      <c r="C2378" s="5" t="str">
        <f t="array" ref="C2378">INDEX('Báo cáo 75 trang đích'!$C$2:$C$76,$A2378)</f>
        <v>Unsecured Loan</v>
      </c>
      <c r="D2378" s="20" t="s">
        <v>1966</v>
      </c>
      <c r="E2378" s="22" t="s">
        <v>418</v>
      </c>
      <c r="F2378" s="22" t="s">
        <v>81</v>
      </c>
      <c r="G2378" s="22" t="s">
        <v>1965</v>
      </c>
      <c r="H2378" s="24" t="s">
        <v>59</v>
      </c>
      <c r="I2378" s="24" t="s">
        <v>59</v>
      </c>
      <c r="J2378" s="24" t="s">
        <v>60</v>
      </c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16">
        <v>72.0</v>
      </c>
      <c r="B2379" s="35" t="str">
        <f t="array" ref="B2379">INDEX('Báo cáo 75 trang đích'!$B$2:$B$76,$A2379)</f>
        <v>https://techcombank.com/thong-tin/blog/nen-vay-tin-chap-o-dau</v>
      </c>
      <c r="C2379" s="5" t="str">
        <f t="array" ref="C2379">INDEX('Báo cáo 75 trang đích'!$C$2:$C$76,$A2379)</f>
        <v>Unsecured Loan</v>
      </c>
      <c r="D2379" s="20" t="s">
        <v>684</v>
      </c>
      <c r="E2379" s="22" t="s">
        <v>418</v>
      </c>
      <c r="F2379" s="22" t="s">
        <v>81</v>
      </c>
      <c r="G2379" s="22" t="s">
        <v>1965</v>
      </c>
      <c r="H2379" s="24" t="s">
        <v>59</v>
      </c>
      <c r="I2379" s="24" t="s">
        <v>59</v>
      </c>
      <c r="J2379" s="24" t="s">
        <v>60</v>
      </c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16">
        <v>72.0</v>
      </c>
      <c r="B2380" s="35" t="str">
        <f t="array" ref="B2380">INDEX('Báo cáo 75 trang đích'!$B$2:$B$76,$A2380)</f>
        <v>https://techcombank.com/thong-tin/blog/nen-vay-tin-chap-o-dau</v>
      </c>
      <c r="C2380" s="5" t="str">
        <f t="array" ref="C2380">INDEX('Báo cáo 75 trang đích'!$C$2:$C$76,$A2380)</f>
        <v>Unsecured Loan</v>
      </c>
      <c r="D2380" s="20" t="s">
        <v>1440</v>
      </c>
      <c r="E2380" s="22" t="s">
        <v>418</v>
      </c>
      <c r="F2380" s="22" t="s">
        <v>81</v>
      </c>
      <c r="G2380" s="22" t="s">
        <v>1935</v>
      </c>
      <c r="H2380" s="24" t="s">
        <v>59</v>
      </c>
      <c r="I2380" s="24" t="s">
        <v>59</v>
      </c>
      <c r="J2380" s="24" t="s">
        <v>60</v>
      </c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16">
        <v>72.0</v>
      </c>
      <c r="B2381" s="35" t="str">
        <f t="array" ref="B2381">INDEX('Báo cáo 75 trang đích'!$B$2:$B$76,$A2381)</f>
        <v>https://techcombank.com/thong-tin/blog/nen-vay-tin-chap-o-dau</v>
      </c>
      <c r="C2381" s="5" t="str">
        <f t="array" ref="C2381">INDEX('Báo cáo 75 trang đích'!$C$2:$C$76,$A2381)</f>
        <v>Unsecured Loan</v>
      </c>
      <c r="D2381" s="20" t="s">
        <v>1166</v>
      </c>
      <c r="E2381" s="22" t="s">
        <v>418</v>
      </c>
      <c r="F2381" s="22" t="s">
        <v>81</v>
      </c>
      <c r="G2381" s="22" t="s">
        <v>1962</v>
      </c>
      <c r="H2381" s="24" t="s">
        <v>59</v>
      </c>
      <c r="I2381" s="24" t="s">
        <v>59</v>
      </c>
      <c r="J2381" s="24" t="s">
        <v>60</v>
      </c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16">
        <v>72.0</v>
      </c>
      <c r="B2382" s="35" t="str">
        <f t="array" ref="B2382">INDEX('Báo cáo 75 trang đích'!$B$2:$B$76,$A2382)</f>
        <v>https://techcombank.com/thong-tin/blog/nen-vay-tin-chap-o-dau</v>
      </c>
      <c r="C2382" s="5" t="str">
        <f t="array" ref="C2382">INDEX('Báo cáo 75 trang đích'!$C$2:$C$76,$A2382)</f>
        <v>Unsecured Loan</v>
      </c>
      <c r="D2382" s="20" t="s">
        <v>1691</v>
      </c>
      <c r="E2382" s="22" t="s">
        <v>418</v>
      </c>
      <c r="F2382" s="22" t="s">
        <v>81</v>
      </c>
      <c r="G2382" s="22" t="s">
        <v>1935</v>
      </c>
      <c r="H2382" s="24" t="s">
        <v>59</v>
      </c>
      <c r="I2382" s="24" t="s">
        <v>59</v>
      </c>
      <c r="J2382" s="24" t="s">
        <v>60</v>
      </c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16">
        <v>72.0</v>
      </c>
      <c r="B2383" s="35" t="str">
        <f t="array" ref="B2383">INDEX('Báo cáo 75 trang đích'!$B$2:$B$76,$A2383)</f>
        <v>https://techcombank.com/thong-tin/blog/nen-vay-tin-chap-o-dau</v>
      </c>
      <c r="C2383" s="5" t="str">
        <f t="array" ref="C2383">INDEX('Báo cáo 75 trang đích'!$C$2:$C$76,$A2383)</f>
        <v>Unsecured Loan</v>
      </c>
      <c r="D2383" s="20" t="s">
        <v>1187</v>
      </c>
      <c r="E2383" s="22" t="s">
        <v>418</v>
      </c>
      <c r="F2383" s="22" t="s">
        <v>81</v>
      </c>
      <c r="G2383" s="22" t="s">
        <v>1935</v>
      </c>
      <c r="H2383" s="24" t="s">
        <v>59</v>
      </c>
      <c r="I2383" s="24" t="s">
        <v>59</v>
      </c>
      <c r="J2383" s="24" t="s">
        <v>60</v>
      </c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16">
        <v>72.0</v>
      </c>
      <c r="B2384" s="35" t="str">
        <f t="array" ref="B2384">INDEX('Báo cáo 75 trang đích'!$B$2:$B$76,$A2384)</f>
        <v>https://techcombank.com/thong-tin/blog/nen-vay-tin-chap-o-dau</v>
      </c>
      <c r="C2384" s="5" t="str">
        <f t="array" ref="C2384">INDEX('Báo cáo 75 trang đích'!$C$2:$C$76,$A2384)</f>
        <v>Unsecured Loan</v>
      </c>
      <c r="D2384" s="20" t="s">
        <v>1226</v>
      </c>
      <c r="E2384" s="22" t="s">
        <v>418</v>
      </c>
      <c r="F2384" s="22" t="s">
        <v>81</v>
      </c>
      <c r="G2384" s="22" t="s">
        <v>1962</v>
      </c>
      <c r="H2384" s="24" t="s">
        <v>59</v>
      </c>
      <c r="I2384" s="24" t="s">
        <v>59</v>
      </c>
      <c r="J2384" s="24" t="s">
        <v>60</v>
      </c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16">
        <v>72.0</v>
      </c>
      <c r="B2385" s="35" t="str">
        <f t="array" ref="B2385">INDEX('Báo cáo 75 trang đích'!$B$2:$B$76,$A2385)</f>
        <v>https://techcombank.com/thong-tin/blog/nen-vay-tin-chap-o-dau</v>
      </c>
      <c r="C2385" s="5" t="str">
        <f t="array" ref="C2385">INDEX('Báo cáo 75 trang đích'!$C$2:$C$76,$A2385)</f>
        <v>Unsecured Loan</v>
      </c>
      <c r="D2385" s="20" t="s">
        <v>370</v>
      </c>
      <c r="E2385" s="22" t="s">
        <v>418</v>
      </c>
      <c r="F2385" s="22" t="s">
        <v>81</v>
      </c>
      <c r="G2385" s="22" t="s">
        <v>1935</v>
      </c>
      <c r="H2385" s="24" t="s">
        <v>59</v>
      </c>
      <c r="I2385" s="24" t="s">
        <v>59</v>
      </c>
      <c r="J2385" s="24" t="s">
        <v>60</v>
      </c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16">
        <v>72.0</v>
      </c>
      <c r="B2386" s="35" t="str">
        <f t="array" ref="B2386">INDEX('Báo cáo 75 trang đích'!$B$2:$B$76,$A2386)</f>
        <v>https://techcombank.com/thong-tin/blog/nen-vay-tin-chap-o-dau</v>
      </c>
      <c r="C2386" s="5" t="str">
        <f t="array" ref="C2386">INDEX('Báo cáo 75 trang đích'!$C$2:$C$76,$A2386)</f>
        <v>Unsecured Loan</v>
      </c>
      <c r="D2386" s="20" t="s">
        <v>1831</v>
      </c>
      <c r="E2386" s="22" t="s">
        <v>418</v>
      </c>
      <c r="F2386" s="22" t="s">
        <v>81</v>
      </c>
      <c r="G2386" s="22" t="s">
        <v>1967</v>
      </c>
      <c r="H2386" s="24" t="s">
        <v>59</v>
      </c>
      <c r="I2386" s="24" t="s">
        <v>59</v>
      </c>
      <c r="J2386" s="24" t="s">
        <v>60</v>
      </c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16">
        <v>72.0</v>
      </c>
      <c r="B2387" s="35" t="str">
        <f t="array" ref="B2387">INDEX('Báo cáo 75 trang đích'!$B$2:$B$76,$A2387)</f>
        <v>https://techcombank.com/thong-tin/blog/nen-vay-tin-chap-o-dau</v>
      </c>
      <c r="C2387" s="5" t="str">
        <f t="array" ref="C2387">INDEX('Báo cáo 75 trang đích'!$C$2:$C$76,$A2387)</f>
        <v>Unsecured Loan</v>
      </c>
      <c r="D2387" s="20" t="s">
        <v>1175</v>
      </c>
      <c r="E2387" s="22" t="s">
        <v>418</v>
      </c>
      <c r="F2387" s="22" t="s">
        <v>81</v>
      </c>
      <c r="G2387" s="22" t="s">
        <v>1935</v>
      </c>
      <c r="H2387" s="24" t="s">
        <v>59</v>
      </c>
      <c r="I2387" s="24" t="s">
        <v>59</v>
      </c>
      <c r="J2387" s="24" t="s">
        <v>60</v>
      </c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16">
        <v>72.0</v>
      </c>
      <c r="B2388" s="35" t="str">
        <f t="array" ref="B2388">INDEX('Báo cáo 75 trang đích'!$B$2:$B$76,$A2388)</f>
        <v>https://techcombank.com/thong-tin/blog/nen-vay-tin-chap-o-dau</v>
      </c>
      <c r="C2388" s="5" t="str">
        <f t="array" ref="C2388">INDEX('Báo cáo 75 trang đích'!$C$2:$C$76,$A2388)</f>
        <v>Unsecured Loan</v>
      </c>
      <c r="D2388" s="20" t="s">
        <v>366</v>
      </c>
      <c r="E2388" s="22" t="s">
        <v>418</v>
      </c>
      <c r="F2388" s="22" t="s">
        <v>81</v>
      </c>
      <c r="G2388" s="22" t="s">
        <v>1935</v>
      </c>
      <c r="H2388" s="24" t="s">
        <v>59</v>
      </c>
      <c r="I2388" s="24" t="s">
        <v>59</v>
      </c>
      <c r="J2388" s="24" t="s">
        <v>60</v>
      </c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16">
        <v>72.0</v>
      </c>
      <c r="B2389" s="35" t="str">
        <f t="array" ref="B2389">INDEX('Báo cáo 75 trang đích'!$B$2:$B$76,$A2389)</f>
        <v>https://techcombank.com/thong-tin/blog/nen-vay-tin-chap-o-dau</v>
      </c>
      <c r="C2389" s="5" t="str">
        <f t="array" ref="C2389">INDEX('Báo cáo 75 trang đích'!$C$2:$C$76,$A2389)</f>
        <v>Unsecured Loan</v>
      </c>
      <c r="D2389" s="20" t="s">
        <v>1057</v>
      </c>
      <c r="E2389" s="22" t="s">
        <v>418</v>
      </c>
      <c r="F2389" s="22" t="s">
        <v>81</v>
      </c>
      <c r="G2389" s="22" t="s">
        <v>1968</v>
      </c>
      <c r="H2389" s="24" t="s">
        <v>59</v>
      </c>
      <c r="I2389" s="24" t="s">
        <v>59</v>
      </c>
      <c r="J2389" s="24" t="s">
        <v>60</v>
      </c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16">
        <v>72.0</v>
      </c>
      <c r="B2390" s="35" t="str">
        <f t="array" ref="B2390">INDEX('Báo cáo 75 trang đích'!$B$2:$B$76,$A2390)</f>
        <v>https://techcombank.com/thong-tin/blog/nen-vay-tin-chap-o-dau</v>
      </c>
      <c r="C2390" s="5" t="str">
        <f t="array" ref="C2390">INDEX('Báo cáo 75 trang đích'!$C$2:$C$76,$A2390)</f>
        <v>Unsecured Loan</v>
      </c>
      <c r="D2390" s="20" t="s">
        <v>1820</v>
      </c>
      <c r="E2390" s="22" t="s">
        <v>418</v>
      </c>
      <c r="F2390" s="22" t="s">
        <v>81</v>
      </c>
      <c r="G2390" s="22" t="s">
        <v>1969</v>
      </c>
      <c r="H2390" s="24" t="s">
        <v>59</v>
      </c>
      <c r="I2390" s="24" t="s">
        <v>59</v>
      </c>
      <c r="J2390" s="24" t="s">
        <v>60</v>
      </c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16">
        <v>72.0</v>
      </c>
      <c r="B2391" s="35" t="str">
        <f t="array" ref="B2391">INDEX('Báo cáo 75 trang đích'!$B$2:$B$76,$A2391)</f>
        <v>https://techcombank.com/thong-tin/blog/nen-vay-tin-chap-o-dau</v>
      </c>
      <c r="C2391" s="5" t="str">
        <f t="array" ref="C2391">INDEX('Báo cáo 75 trang đích'!$C$2:$C$76,$A2391)</f>
        <v>Unsecured Loan</v>
      </c>
      <c r="D2391" s="20" t="s">
        <v>1518</v>
      </c>
      <c r="E2391" s="22" t="s">
        <v>418</v>
      </c>
      <c r="F2391" s="22" t="s">
        <v>81</v>
      </c>
      <c r="G2391" s="22" t="s">
        <v>1962</v>
      </c>
      <c r="H2391" s="24" t="s">
        <v>59</v>
      </c>
      <c r="I2391" s="24" t="s">
        <v>59</v>
      </c>
      <c r="J2391" s="24" t="s">
        <v>60</v>
      </c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16">
        <v>72.0</v>
      </c>
      <c r="B2392" s="35" t="str">
        <f t="array" ref="B2392">INDEX('Báo cáo 75 trang đích'!$B$2:$B$76,$A2392)</f>
        <v>https://techcombank.com/thong-tin/blog/nen-vay-tin-chap-o-dau</v>
      </c>
      <c r="C2392" s="5" t="str">
        <f t="array" ref="C2392">INDEX('Báo cáo 75 trang đích'!$C$2:$C$76,$A2392)</f>
        <v>Unsecured Loan</v>
      </c>
      <c r="D2392" s="20" t="s">
        <v>964</v>
      </c>
      <c r="E2392" s="22" t="s">
        <v>418</v>
      </c>
      <c r="F2392" s="22" t="s">
        <v>81</v>
      </c>
      <c r="G2392" s="22" t="s">
        <v>1935</v>
      </c>
      <c r="H2392" s="24" t="s">
        <v>59</v>
      </c>
      <c r="I2392" s="24" t="s">
        <v>59</v>
      </c>
      <c r="J2392" s="24" t="s">
        <v>60</v>
      </c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16">
        <v>72.0</v>
      </c>
      <c r="B2393" s="35" t="str">
        <f t="array" ref="B2393">INDEX('Báo cáo 75 trang đích'!$B$2:$B$76,$A2393)</f>
        <v>https://techcombank.com/thong-tin/blog/nen-vay-tin-chap-o-dau</v>
      </c>
      <c r="C2393" s="5" t="str">
        <f t="array" ref="C2393">INDEX('Báo cáo 75 trang đích'!$C$2:$C$76,$A2393)</f>
        <v>Unsecured Loan</v>
      </c>
      <c r="D2393" s="20" t="s">
        <v>393</v>
      </c>
      <c r="E2393" s="22" t="s">
        <v>418</v>
      </c>
      <c r="F2393" s="22" t="s">
        <v>81</v>
      </c>
      <c r="G2393" s="22" t="s">
        <v>1962</v>
      </c>
      <c r="H2393" s="24" t="s">
        <v>59</v>
      </c>
      <c r="I2393" s="24" t="s">
        <v>59</v>
      </c>
      <c r="J2393" s="24" t="s">
        <v>60</v>
      </c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16">
        <v>72.0</v>
      </c>
      <c r="B2394" s="35" t="str">
        <f t="array" ref="B2394">INDEX('Báo cáo 75 trang đích'!$B$2:$B$76,$A2394)</f>
        <v>https://techcombank.com/thong-tin/blog/nen-vay-tin-chap-o-dau</v>
      </c>
      <c r="C2394" s="5" t="str">
        <f t="array" ref="C2394">INDEX('Báo cáo 75 trang đích'!$C$2:$C$76,$A2394)</f>
        <v>Unsecured Loan</v>
      </c>
      <c r="D2394" s="20" t="s">
        <v>1639</v>
      </c>
      <c r="E2394" s="22" t="s">
        <v>418</v>
      </c>
      <c r="F2394" s="22" t="s">
        <v>81</v>
      </c>
      <c r="G2394" s="22" t="s">
        <v>1935</v>
      </c>
      <c r="H2394" s="24" t="s">
        <v>59</v>
      </c>
      <c r="I2394" s="24" t="s">
        <v>59</v>
      </c>
      <c r="J2394" s="24" t="s">
        <v>60</v>
      </c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16">
        <v>73.0</v>
      </c>
      <c r="B2395" s="35" t="str">
        <f t="array" ref="B2395">INDEX('Báo cáo 75 trang đích'!$B$2:$B$76,$A2395)</f>
        <v>https://techcombank.com/thong-tin/blog/no-xau-la-gi</v>
      </c>
      <c r="C2395" s="5" t="str">
        <f t="array" ref="C2395">INDEX('Báo cáo 75 trang đích'!$C$2:$C$76,$A2395)</f>
        <v>Unsecured Loan</v>
      </c>
      <c r="D2395" s="20" t="s">
        <v>731</v>
      </c>
      <c r="E2395" s="22" t="s">
        <v>423</v>
      </c>
      <c r="F2395" s="22" t="s">
        <v>57</v>
      </c>
      <c r="G2395" s="22" t="s">
        <v>1970</v>
      </c>
      <c r="H2395" s="24" t="s">
        <v>59</v>
      </c>
      <c r="I2395" s="24" t="s">
        <v>59</v>
      </c>
      <c r="J2395" s="24" t="s">
        <v>60</v>
      </c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16">
        <v>73.0</v>
      </c>
      <c r="B2396" s="35" t="str">
        <f t="array" ref="B2396">INDEX('Báo cáo 75 trang đích'!$B$2:$B$76,$A2396)</f>
        <v>https://techcombank.com/thong-tin/blog/no-xau-la-gi</v>
      </c>
      <c r="C2396" s="5" t="str">
        <f t="array" ref="C2396">INDEX('Báo cáo 75 trang đích'!$C$2:$C$76,$A2396)</f>
        <v>Unsecured Loan</v>
      </c>
      <c r="D2396" s="20" t="s">
        <v>727</v>
      </c>
      <c r="E2396" s="22" t="s">
        <v>1243</v>
      </c>
      <c r="F2396" s="22" t="s">
        <v>57</v>
      </c>
      <c r="G2396" s="22" t="s">
        <v>1971</v>
      </c>
      <c r="H2396" s="24" t="s">
        <v>59</v>
      </c>
      <c r="I2396" s="24" t="s">
        <v>59</v>
      </c>
      <c r="J2396" s="24" t="s">
        <v>60</v>
      </c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16">
        <v>73.0</v>
      </c>
      <c r="B2397" s="35" t="str">
        <f t="array" ref="B2397">INDEX('Báo cáo 75 trang đích'!$B$2:$B$76,$A2397)</f>
        <v>https://techcombank.com/thong-tin/blog/no-xau-la-gi</v>
      </c>
      <c r="C2397" s="5" t="str">
        <f t="array" ref="C2397">INDEX('Báo cáo 75 trang đích'!$C$2:$C$76,$A2397)</f>
        <v>Unsecured Loan</v>
      </c>
      <c r="D2397" s="20" t="s">
        <v>1244</v>
      </c>
      <c r="E2397" s="22" t="s">
        <v>423</v>
      </c>
      <c r="F2397" s="22" t="s">
        <v>76</v>
      </c>
      <c r="G2397" s="22" t="s">
        <v>1972</v>
      </c>
      <c r="H2397" s="24" t="s">
        <v>59</v>
      </c>
      <c r="I2397" s="24" t="s">
        <v>59</v>
      </c>
      <c r="J2397" s="24" t="s">
        <v>60</v>
      </c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16">
        <v>73.0</v>
      </c>
      <c r="B2398" s="35" t="str">
        <f t="array" ref="B2398">INDEX('Báo cáo 75 trang đích'!$B$2:$B$76,$A2398)</f>
        <v>https://techcombank.com/thong-tin/blog/no-xau-la-gi</v>
      </c>
      <c r="C2398" s="5" t="str">
        <f t="array" ref="C2398">INDEX('Báo cáo 75 trang đích'!$C$2:$C$76,$A2398)</f>
        <v>Unsecured Loan</v>
      </c>
      <c r="D2398" s="20" t="s">
        <v>820</v>
      </c>
      <c r="E2398" s="22" t="s">
        <v>1243</v>
      </c>
      <c r="F2398" s="22" t="s">
        <v>76</v>
      </c>
      <c r="G2398" s="22" t="s">
        <v>1973</v>
      </c>
      <c r="H2398" s="24" t="s">
        <v>59</v>
      </c>
      <c r="I2398" s="24" t="s">
        <v>59</v>
      </c>
      <c r="J2398" s="24" t="s">
        <v>60</v>
      </c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16">
        <v>73.0</v>
      </c>
      <c r="B2399" s="35" t="str">
        <f t="array" ref="B2399">INDEX('Báo cáo 75 trang đích'!$B$2:$B$76,$A2399)</f>
        <v>https://techcombank.com/thong-tin/blog/no-xau-la-gi</v>
      </c>
      <c r="C2399" s="5" t="str">
        <f t="array" ref="C2399">INDEX('Báo cáo 75 trang đích'!$C$2:$C$76,$A2399)</f>
        <v>Unsecured Loan</v>
      </c>
      <c r="D2399" s="20" t="s">
        <v>1421</v>
      </c>
      <c r="E2399" s="22" t="s">
        <v>423</v>
      </c>
      <c r="F2399" s="22" t="s">
        <v>76</v>
      </c>
      <c r="G2399" s="22" t="s">
        <v>1974</v>
      </c>
      <c r="H2399" s="24" t="s">
        <v>59</v>
      </c>
      <c r="I2399" s="24" t="s">
        <v>59</v>
      </c>
      <c r="J2399" s="24" t="s">
        <v>60</v>
      </c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16">
        <v>73.0</v>
      </c>
      <c r="B2400" s="35" t="str">
        <f t="array" ref="B2400">INDEX('Báo cáo 75 trang đích'!$B$2:$B$76,$A2400)</f>
        <v>https://techcombank.com/thong-tin/blog/no-xau-la-gi</v>
      </c>
      <c r="C2400" s="5" t="str">
        <f t="array" ref="C2400">INDEX('Báo cáo 75 trang đích'!$C$2:$C$76,$A2400)</f>
        <v>Unsecured Loan</v>
      </c>
      <c r="D2400" s="20" t="s">
        <v>1044</v>
      </c>
      <c r="E2400" s="22" t="s">
        <v>1243</v>
      </c>
      <c r="F2400" s="22" t="s">
        <v>81</v>
      </c>
      <c r="G2400" s="22" t="s">
        <v>1528</v>
      </c>
      <c r="H2400" s="24" t="s">
        <v>59</v>
      </c>
      <c r="I2400" s="24" t="s">
        <v>59</v>
      </c>
      <c r="J2400" s="24" t="s">
        <v>60</v>
      </c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16">
        <v>73.0</v>
      </c>
      <c r="B2401" s="35" t="str">
        <f t="array" ref="B2401">INDEX('Báo cáo 75 trang đích'!$B$2:$B$76,$A2401)</f>
        <v>https://techcombank.com/thong-tin/blog/no-xau-la-gi</v>
      </c>
      <c r="C2401" s="5" t="str">
        <f t="array" ref="C2401">INDEX('Báo cáo 75 trang đích'!$C$2:$C$76,$A2401)</f>
        <v>Unsecured Loan</v>
      </c>
      <c r="D2401" s="20" t="s">
        <v>382</v>
      </c>
      <c r="E2401" s="22" t="s">
        <v>423</v>
      </c>
      <c r="F2401" s="22" t="s">
        <v>81</v>
      </c>
      <c r="G2401" s="22" t="s">
        <v>1422</v>
      </c>
      <c r="H2401" s="24" t="s">
        <v>59</v>
      </c>
      <c r="I2401" s="24" t="s">
        <v>59</v>
      </c>
      <c r="J2401" s="24" t="s">
        <v>60</v>
      </c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16">
        <v>73.0</v>
      </c>
      <c r="B2402" s="35" t="str">
        <f t="array" ref="B2402">INDEX('Báo cáo 75 trang đích'!$B$2:$B$76,$A2402)</f>
        <v>https://techcombank.com/thong-tin/blog/no-xau-la-gi</v>
      </c>
      <c r="C2402" s="5" t="str">
        <f t="array" ref="C2402">INDEX('Báo cáo 75 trang đích'!$C$2:$C$76,$A2402)</f>
        <v>Unsecured Loan</v>
      </c>
      <c r="D2402" s="20" t="s">
        <v>813</v>
      </c>
      <c r="E2402" s="22" t="s">
        <v>1243</v>
      </c>
      <c r="F2402" s="22" t="s">
        <v>81</v>
      </c>
      <c r="G2402" s="22" t="s">
        <v>1528</v>
      </c>
      <c r="H2402" s="24" t="s">
        <v>59</v>
      </c>
      <c r="I2402" s="24" t="s">
        <v>59</v>
      </c>
      <c r="J2402" s="24" t="s">
        <v>60</v>
      </c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16">
        <v>73.0</v>
      </c>
      <c r="B2403" s="35" t="str">
        <f t="array" ref="B2403">INDEX('Báo cáo 75 trang đích'!$B$2:$B$76,$A2403)</f>
        <v>https://techcombank.com/thong-tin/blog/no-xau-la-gi</v>
      </c>
      <c r="C2403" s="5" t="str">
        <f t="array" ref="C2403">INDEX('Báo cáo 75 trang đích'!$C$2:$C$76,$A2403)</f>
        <v>Unsecured Loan</v>
      </c>
      <c r="D2403" s="20" t="s">
        <v>1032</v>
      </c>
      <c r="E2403" s="22" t="s">
        <v>423</v>
      </c>
      <c r="F2403" s="22" t="s">
        <v>81</v>
      </c>
      <c r="G2403" s="22" t="s">
        <v>1422</v>
      </c>
      <c r="H2403" s="24" t="s">
        <v>59</v>
      </c>
      <c r="I2403" s="24" t="s">
        <v>59</v>
      </c>
      <c r="J2403" s="24" t="s">
        <v>60</v>
      </c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16">
        <v>73.0</v>
      </c>
      <c r="B2404" s="35" t="str">
        <f t="array" ref="B2404">INDEX('Báo cáo 75 trang đích'!$B$2:$B$76,$A2404)</f>
        <v>https://techcombank.com/thong-tin/blog/no-xau-la-gi</v>
      </c>
      <c r="C2404" s="5" t="str">
        <f t="array" ref="C2404">INDEX('Báo cáo 75 trang đích'!$C$2:$C$76,$A2404)</f>
        <v>Unsecured Loan</v>
      </c>
      <c r="D2404" s="20" t="s">
        <v>811</v>
      </c>
      <c r="E2404" s="22" t="s">
        <v>1243</v>
      </c>
      <c r="F2404" s="22" t="s">
        <v>81</v>
      </c>
      <c r="G2404" s="22" t="s">
        <v>1422</v>
      </c>
      <c r="H2404" s="24" t="s">
        <v>59</v>
      </c>
      <c r="I2404" s="24" t="s">
        <v>59</v>
      </c>
      <c r="J2404" s="24" t="s">
        <v>60</v>
      </c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16">
        <v>73.0</v>
      </c>
      <c r="B2405" s="35" t="str">
        <f t="array" ref="B2405">INDEX('Báo cáo 75 trang đích'!$B$2:$B$76,$A2405)</f>
        <v>https://techcombank.com/thong-tin/blog/no-xau-la-gi</v>
      </c>
      <c r="C2405" s="5" t="str">
        <f t="array" ref="C2405">INDEX('Báo cáo 75 trang đích'!$C$2:$C$76,$A2405)</f>
        <v>Unsecured Loan</v>
      </c>
      <c r="D2405" s="20" t="s">
        <v>800</v>
      </c>
      <c r="E2405" s="22" t="s">
        <v>423</v>
      </c>
      <c r="F2405" s="22" t="s">
        <v>81</v>
      </c>
      <c r="G2405" s="22" t="s">
        <v>1422</v>
      </c>
      <c r="H2405" s="24" t="s">
        <v>59</v>
      </c>
      <c r="I2405" s="24" t="s">
        <v>59</v>
      </c>
      <c r="J2405" s="24" t="s">
        <v>60</v>
      </c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16">
        <v>73.0</v>
      </c>
      <c r="B2406" s="35" t="str">
        <f t="array" ref="B2406">INDEX('Báo cáo 75 trang đích'!$B$2:$B$76,$A2406)</f>
        <v>https://techcombank.com/thong-tin/blog/no-xau-la-gi</v>
      </c>
      <c r="C2406" s="5" t="str">
        <f t="array" ref="C2406">INDEX('Báo cáo 75 trang đích'!$C$2:$C$76,$A2406)</f>
        <v>Unsecured Loan</v>
      </c>
      <c r="D2406" s="20" t="s">
        <v>1223</v>
      </c>
      <c r="E2406" s="22" t="s">
        <v>1243</v>
      </c>
      <c r="F2406" s="22" t="s">
        <v>81</v>
      </c>
      <c r="G2406" s="22" t="s">
        <v>1422</v>
      </c>
      <c r="H2406" s="24" t="s">
        <v>59</v>
      </c>
      <c r="I2406" s="24" t="s">
        <v>59</v>
      </c>
      <c r="J2406" s="24" t="s">
        <v>60</v>
      </c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16">
        <v>73.0</v>
      </c>
      <c r="B2407" s="35" t="str">
        <f t="array" ref="B2407">INDEX('Báo cáo 75 trang đích'!$B$2:$B$76,$A2407)</f>
        <v>https://techcombank.com/thong-tin/blog/no-xau-la-gi</v>
      </c>
      <c r="C2407" s="5" t="str">
        <f t="array" ref="C2407">INDEX('Báo cáo 75 trang đích'!$C$2:$C$76,$A2407)</f>
        <v>Unsecured Loan</v>
      </c>
      <c r="D2407" s="20" t="s">
        <v>809</v>
      </c>
      <c r="E2407" s="22" t="s">
        <v>423</v>
      </c>
      <c r="F2407" s="22" t="s">
        <v>81</v>
      </c>
      <c r="G2407" s="22" t="s">
        <v>1422</v>
      </c>
      <c r="H2407" s="24" t="s">
        <v>59</v>
      </c>
      <c r="I2407" s="24" t="s">
        <v>59</v>
      </c>
      <c r="J2407" s="24" t="s">
        <v>60</v>
      </c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16">
        <v>73.0</v>
      </c>
      <c r="B2408" s="35" t="str">
        <f t="array" ref="B2408">INDEX('Báo cáo 75 trang đích'!$B$2:$B$76,$A2408)</f>
        <v>https://techcombank.com/thong-tin/blog/no-xau-la-gi</v>
      </c>
      <c r="C2408" s="5" t="str">
        <f t="array" ref="C2408">INDEX('Báo cáo 75 trang đích'!$C$2:$C$76,$A2408)</f>
        <v>Unsecured Loan</v>
      </c>
      <c r="D2408" s="20" t="s">
        <v>1226</v>
      </c>
      <c r="E2408" s="22" t="s">
        <v>1243</v>
      </c>
      <c r="F2408" s="22" t="s">
        <v>81</v>
      </c>
      <c r="G2408" s="22" t="s">
        <v>1422</v>
      </c>
      <c r="H2408" s="24" t="s">
        <v>59</v>
      </c>
      <c r="I2408" s="24" t="s">
        <v>59</v>
      </c>
      <c r="J2408" s="24" t="s">
        <v>60</v>
      </c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16">
        <v>73.0</v>
      </c>
      <c r="B2409" s="35" t="str">
        <f t="array" ref="B2409">INDEX('Báo cáo 75 trang đích'!$B$2:$B$76,$A2409)</f>
        <v>https://techcombank.com/thong-tin/blog/no-xau-la-gi</v>
      </c>
      <c r="C2409" s="5" t="str">
        <f t="array" ref="C2409">INDEX('Báo cáo 75 trang đích'!$C$2:$C$76,$A2409)</f>
        <v>Unsecured Loan</v>
      </c>
      <c r="D2409" s="20" t="s">
        <v>1207</v>
      </c>
      <c r="E2409" s="22" t="s">
        <v>423</v>
      </c>
      <c r="F2409" s="22" t="s">
        <v>81</v>
      </c>
      <c r="G2409" s="22" t="s">
        <v>1528</v>
      </c>
      <c r="H2409" s="24" t="s">
        <v>59</v>
      </c>
      <c r="I2409" s="24" t="s">
        <v>59</v>
      </c>
      <c r="J2409" s="24" t="s">
        <v>60</v>
      </c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16">
        <v>73.0</v>
      </c>
      <c r="B2410" s="35" t="str">
        <f t="array" ref="B2410">INDEX('Báo cáo 75 trang đích'!$B$2:$B$76,$A2410)</f>
        <v>https://techcombank.com/thong-tin/blog/no-xau-la-gi</v>
      </c>
      <c r="C2410" s="5" t="str">
        <f t="array" ref="C2410">INDEX('Báo cáo 75 trang đích'!$C$2:$C$76,$A2410)</f>
        <v>Unsecured Loan</v>
      </c>
      <c r="D2410" s="20" t="s">
        <v>734</v>
      </c>
      <c r="E2410" s="22" t="s">
        <v>1243</v>
      </c>
      <c r="F2410" s="22" t="s">
        <v>81</v>
      </c>
      <c r="G2410" s="22" t="s">
        <v>1422</v>
      </c>
      <c r="H2410" s="24" t="s">
        <v>59</v>
      </c>
      <c r="I2410" s="24" t="s">
        <v>59</v>
      </c>
      <c r="J2410" s="24" t="s">
        <v>60</v>
      </c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16">
        <v>74.0</v>
      </c>
      <c r="B2411" s="35" t="str">
        <f t="array" ref="B2411">INDEX('Báo cáo 75 trang đích'!$B$2:$B$76,$A2411)</f>
        <v>https://techcombank.com/thong-tin/blog/vay-tin-chap-khong-tra-duoc-co-sao-khong</v>
      </c>
      <c r="C2411" s="5" t="str">
        <f t="array" ref="C2411">INDEX('Báo cáo 75 trang đích'!$C$2:$C$76,$A2411)</f>
        <v>Unsecured Loan</v>
      </c>
      <c r="D2411" s="20" t="s">
        <v>1248</v>
      </c>
      <c r="E2411" s="22" t="s">
        <v>430</v>
      </c>
      <c r="F2411" s="22" t="s">
        <v>57</v>
      </c>
      <c r="G2411" s="22" t="s">
        <v>1975</v>
      </c>
      <c r="H2411" s="24" t="s">
        <v>59</v>
      </c>
      <c r="I2411" s="24" t="s">
        <v>59</v>
      </c>
      <c r="J2411" s="24" t="s">
        <v>60</v>
      </c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16">
        <v>74.0</v>
      </c>
      <c r="B2412" s="35" t="str">
        <f t="array" ref="B2412">INDEX('Báo cáo 75 trang đích'!$B$2:$B$76,$A2412)</f>
        <v>https://techcombank.com/thong-tin/blog/vay-tin-chap-khong-tra-duoc-co-sao-khong</v>
      </c>
      <c r="C2412" s="5" t="str">
        <f t="array" ref="C2412">INDEX('Báo cáo 75 trang đích'!$C$2:$C$76,$A2412)</f>
        <v>Unsecured Loan</v>
      </c>
      <c r="D2412" s="20" t="s">
        <v>1207</v>
      </c>
      <c r="E2412" s="22" t="s">
        <v>430</v>
      </c>
      <c r="F2412" s="22" t="s">
        <v>57</v>
      </c>
      <c r="G2412" s="22" t="s">
        <v>1976</v>
      </c>
      <c r="H2412" s="24" t="s">
        <v>59</v>
      </c>
      <c r="I2412" s="24" t="s">
        <v>59</v>
      </c>
      <c r="J2412" s="24" t="s">
        <v>60</v>
      </c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16">
        <v>74.0</v>
      </c>
      <c r="B2413" s="35" t="str">
        <f t="array" ref="B2413">INDEX('Báo cáo 75 trang đích'!$B$2:$B$76,$A2413)</f>
        <v>https://techcombank.com/thong-tin/blog/vay-tin-chap-khong-tra-duoc-co-sao-khong</v>
      </c>
      <c r="C2413" s="5" t="str">
        <f t="array" ref="C2413">INDEX('Báo cáo 75 trang đích'!$C$2:$C$76,$A2413)</f>
        <v>Unsecured Loan</v>
      </c>
      <c r="D2413" s="20" t="s">
        <v>820</v>
      </c>
      <c r="E2413" s="22" t="s">
        <v>430</v>
      </c>
      <c r="F2413" s="22" t="s">
        <v>76</v>
      </c>
      <c r="G2413" s="22" t="s">
        <v>1977</v>
      </c>
      <c r="H2413" s="24" t="s">
        <v>59</v>
      </c>
      <c r="I2413" s="24" t="s">
        <v>59</v>
      </c>
      <c r="J2413" s="24" t="s">
        <v>60</v>
      </c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16">
        <v>74.0</v>
      </c>
      <c r="B2414" s="35" t="str">
        <f t="array" ref="B2414">INDEX('Báo cáo 75 trang đích'!$B$2:$B$76,$A2414)</f>
        <v>https://techcombank.com/thong-tin/blog/vay-tin-chap-khong-tra-duoc-co-sao-khong</v>
      </c>
      <c r="C2414" s="5" t="str">
        <f t="array" ref="C2414">INDEX('Báo cáo 75 trang đích'!$C$2:$C$76,$A2414)</f>
        <v>Unsecured Loan</v>
      </c>
      <c r="D2414" s="20" t="s">
        <v>1230</v>
      </c>
      <c r="E2414" s="22" t="s">
        <v>430</v>
      </c>
      <c r="F2414" s="22" t="s">
        <v>76</v>
      </c>
      <c r="G2414" s="22" t="s">
        <v>1978</v>
      </c>
      <c r="H2414" s="24" t="s">
        <v>59</v>
      </c>
      <c r="I2414" s="24" t="s">
        <v>59</v>
      </c>
      <c r="J2414" s="24" t="s">
        <v>60</v>
      </c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16">
        <v>74.0</v>
      </c>
      <c r="B2415" s="35" t="str">
        <f t="array" ref="B2415">INDEX('Báo cáo 75 trang đích'!$B$2:$B$76,$A2415)</f>
        <v>https://techcombank.com/thong-tin/blog/vay-tin-chap-khong-tra-duoc-co-sao-khong</v>
      </c>
      <c r="C2415" s="5" t="str">
        <f t="array" ref="C2415">INDEX('Báo cáo 75 trang đích'!$C$2:$C$76,$A2415)</f>
        <v>Unsecured Loan</v>
      </c>
      <c r="D2415" s="20" t="s">
        <v>1074</v>
      </c>
      <c r="E2415" s="22" t="s">
        <v>430</v>
      </c>
      <c r="F2415" s="22" t="s">
        <v>76</v>
      </c>
      <c r="G2415" s="22" t="s">
        <v>1979</v>
      </c>
      <c r="H2415" s="24" t="s">
        <v>59</v>
      </c>
      <c r="I2415" s="24" t="s">
        <v>59</v>
      </c>
      <c r="J2415" s="24" t="s">
        <v>60</v>
      </c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16">
        <v>74.0</v>
      </c>
      <c r="B2416" s="35" t="str">
        <f t="array" ref="B2416">INDEX('Báo cáo 75 trang đích'!$B$2:$B$76,$A2416)</f>
        <v>https://techcombank.com/thong-tin/blog/vay-tin-chap-khong-tra-duoc-co-sao-khong</v>
      </c>
      <c r="C2416" s="5" t="str">
        <f t="array" ref="C2416">INDEX('Báo cáo 75 trang đích'!$C$2:$C$76,$A2416)</f>
        <v>Unsecured Loan</v>
      </c>
      <c r="D2416" s="20" t="s">
        <v>1044</v>
      </c>
      <c r="E2416" s="22" t="s">
        <v>430</v>
      </c>
      <c r="F2416" s="22" t="s">
        <v>81</v>
      </c>
      <c r="G2416" s="22" t="s">
        <v>1528</v>
      </c>
      <c r="H2416" s="24" t="s">
        <v>59</v>
      </c>
      <c r="I2416" s="24" t="s">
        <v>59</v>
      </c>
      <c r="J2416" s="24" t="s">
        <v>60</v>
      </c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16">
        <v>74.0</v>
      </c>
      <c r="B2417" s="35" t="str">
        <f t="array" ref="B2417">INDEX('Báo cáo 75 trang đích'!$B$2:$B$76,$A2417)</f>
        <v>https://techcombank.com/thong-tin/blog/vay-tin-chap-khong-tra-duoc-co-sao-khong</v>
      </c>
      <c r="C2417" s="5" t="str">
        <f t="array" ref="C2417">INDEX('Báo cáo 75 trang đích'!$C$2:$C$76,$A2417)</f>
        <v>Unsecured Loan</v>
      </c>
      <c r="D2417" s="20" t="s">
        <v>1758</v>
      </c>
      <c r="E2417" s="22" t="s">
        <v>430</v>
      </c>
      <c r="F2417" s="22" t="s">
        <v>81</v>
      </c>
      <c r="G2417" s="22" t="s">
        <v>1962</v>
      </c>
      <c r="H2417" s="24" t="s">
        <v>59</v>
      </c>
      <c r="I2417" s="24" t="s">
        <v>59</v>
      </c>
      <c r="J2417" s="24" t="s">
        <v>60</v>
      </c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16">
        <v>74.0</v>
      </c>
      <c r="B2418" s="35" t="str">
        <f t="array" ref="B2418">INDEX('Báo cáo 75 trang đích'!$B$2:$B$76,$A2418)</f>
        <v>https://techcombank.com/thong-tin/blog/vay-tin-chap-khong-tra-duoc-co-sao-khong</v>
      </c>
      <c r="C2418" s="5" t="str">
        <f t="array" ref="C2418">INDEX('Báo cáo 75 trang đích'!$C$2:$C$76,$A2418)</f>
        <v>Unsecured Loan</v>
      </c>
      <c r="D2418" s="20" t="s">
        <v>1963</v>
      </c>
      <c r="E2418" s="22" t="s">
        <v>430</v>
      </c>
      <c r="F2418" s="22" t="s">
        <v>81</v>
      </c>
      <c r="G2418" s="22" t="s">
        <v>1962</v>
      </c>
      <c r="H2418" s="24" t="s">
        <v>59</v>
      </c>
      <c r="I2418" s="24" t="s">
        <v>59</v>
      </c>
      <c r="J2418" s="24" t="s">
        <v>60</v>
      </c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16">
        <v>74.0</v>
      </c>
      <c r="B2419" s="35" t="str">
        <f t="array" ref="B2419">INDEX('Báo cáo 75 trang đích'!$B$2:$B$76,$A2419)</f>
        <v>https://techcombank.com/thong-tin/blog/vay-tin-chap-khong-tra-duoc-co-sao-khong</v>
      </c>
      <c r="C2419" s="5" t="str">
        <f t="array" ref="C2419">INDEX('Báo cáo 75 trang đích'!$C$2:$C$76,$A2419)</f>
        <v>Unsecured Loan</v>
      </c>
      <c r="D2419" s="20" t="s">
        <v>1671</v>
      </c>
      <c r="E2419" s="22" t="s">
        <v>430</v>
      </c>
      <c r="F2419" s="22" t="s">
        <v>81</v>
      </c>
      <c r="G2419" s="22" t="s">
        <v>1962</v>
      </c>
      <c r="H2419" s="24" t="s">
        <v>59</v>
      </c>
      <c r="I2419" s="24" t="s">
        <v>59</v>
      </c>
      <c r="J2419" s="24" t="s">
        <v>60</v>
      </c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16">
        <v>74.0</v>
      </c>
      <c r="B2420" s="35" t="str">
        <f t="array" ref="B2420">INDEX('Báo cáo 75 trang đích'!$B$2:$B$76,$A2420)</f>
        <v>https://techcombank.com/thong-tin/blog/vay-tin-chap-khong-tra-duoc-co-sao-khong</v>
      </c>
      <c r="C2420" s="5" t="str">
        <f t="array" ref="C2420">INDEX('Báo cáo 75 trang đích'!$C$2:$C$76,$A2420)</f>
        <v>Unsecured Loan</v>
      </c>
      <c r="D2420" s="20" t="s">
        <v>1673</v>
      </c>
      <c r="E2420" s="22" t="s">
        <v>430</v>
      </c>
      <c r="F2420" s="22" t="s">
        <v>81</v>
      </c>
      <c r="G2420" s="22" t="s">
        <v>1962</v>
      </c>
      <c r="H2420" s="24" t="s">
        <v>59</v>
      </c>
      <c r="I2420" s="24" t="s">
        <v>59</v>
      </c>
      <c r="J2420" s="24" t="s">
        <v>60</v>
      </c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16">
        <v>74.0</v>
      </c>
      <c r="B2421" s="35" t="str">
        <f t="array" ref="B2421">INDEX('Báo cáo 75 trang đích'!$B$2:$B$76,$A2421)</f>
        <v>https://techcombank.com/thong-tin/blog/vay-tin-chap-khong-tra-duoc-co-sao-khong</v>
      </c>
      <c r="C2421" s="5" t="str">
        <f t="array" ref="C2421">INDEX('Báo cáo 75 trang đích'!$C$2:$C$76,$A2421)</f>
        <v>Unsecured Loan</v>
      </c>
      <c r="D2421" s="20" t="s">
        <v>1508</v>
      </c>
      <c r="E2421" s="22" t="s">
        <v>430</v>
      </c>
      <c r="F2421" s="22" t="s">
        <v>81</v>
      </c>
      <c r="G2421" s="22" t="s">
        <v>1962</v>
      </c>
      <c r="H2421" s="24" t="s">
        <v>59</v>
      </c>
      <c r="I2421" s="24" t="s">
        <v>59</v>
      </c>
      <c r="J2421" s="24" t="s">
        <v>60</v>
      </c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16">
        <v>74.0</v>
      </c>
      <c r="B2422" s="35" t="str">
        <f t="array" ref="B2422">INDEX('Báo cáo 75 trang đích'!$B$2:$B$76,$A2422)</f>
        <v>https://techcombank.com/thong-tin/blog/vay-tin-chap-khong-tra-duoc-co-sao-khong</v>
      </c>
      <c r="C2422" s="5" t="str">
        <f t="array" ref="C2422">INDEX('Báo cáo 75 trang đích'!$C$2:$C$76,$A2422)</f>
        <v>Unsecured Loan</v>
      </c>
      <c r="D2422" s="20" t="s">
        <v>1964</v>
      </c>
      <c r="E2422" s="22" t="s">
        <v>430</v>
      </c>
      <c r="F2422" s="22" t="s">
        <v>81</v>
      </c>
      <c r="G2422" s="22" t="s">
        <v>1962</v>
      </c>
      <c r="H2422" s="24" t="s">
        <v>59</v>
      </c>
      <c r="I2422" s="24" t="s">
        <v>59</v>
      </c>
      <c r="J2422" s="24" t="s">
        <v>60</v>
      </c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16">
        <v>74.0</v>
      </c>
      <c r="B2423" s="35" t="str">
        <f t="array" ref="B2423">INDEX('Báo cáo 75 trang đích'!$B$2:$B$76,$A2423)</f>
        <v>https://techcombank.com/thong-tin/blog/vay-tin-chap-khong-tra-duoc-co-sao-khong</v>
      </c>
      <c r="C2423" s="5" t="str">
        <f t="array" ref="C2423">INDEX('Báo cáo 75 trang đích'!$C$2:$C$76,$A2423)</f>
        <v>Unsecured Loan</v>
      </c>
      <c r="D2423" s="20" t="s">
        <v>387</v>
      </c>
      <c r="E2423" s="22" t="s">
        <v>430</v>
      </c>
      <c r="F2423" s="22" t="s">
        <v>81</v>
      </c>
      <c r="G2423" s="22" t="s">
        <v>1962</v>
      </c>
      <c r="H2423" s="24" t="s">
        <v>59</v>
      </c>
      <c r="I2423" s="24" t="s">
        <v>59</v>
      </c>
      <c r="J2423" s="24" t="s">
        <v>60</v>
      </c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16">
        <v>74.0</v>
      </c>
      <c r="B2424" s="35" t="str">
        <f t="array" ref="B2424">INDEX('Báo cáo 75 trang đích'!$B$2:$B$76,$A2424)</f>
        <v>https://techcombank.com/thong-tin/blog/vay-tin-chap-khong-tra-duoc-co-sao-khong</v>
      </c>
      <c r="C2424" s="5" t="str">
        <f t="array" ref="C2424">INDEX('Báo cáo 75 trang đích'!$C$2:$C$76,$A2424)</f>
        <v>Unsecured Loan</v>
      </c>
      <c r="D2424" s="20" t="s">
        <v>731</v>
      </c>
      <c r="E2424" s="22" t="s">
        <v>430</v>
      </c>
      <c r="F2424" s="22" t="s">
        <v>81</v>
      </c>
      <c r="G2424" s="22" t="s">
        <v>1422</v>
      </c>
      <c r="H2424" s="24" t="s">
        <v>59</v>
      </c>
      <c r="I2424" s="24" t="s">
        <v>59</v>
      </c>
      <c r="J2424" s="24" t="s">
        <v>60</v>
      </c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16">
        <v>74.0</v>
      </c>
      <c r="B2425" s="35" t="str">
        <f t="array" ref="B2425">INDEX('Báo cáo 75 trang đích'!$B$2:$B$76,$A2425)</f>
        <v>https://techcombank.com/thong-tin/blog/vay-tin-chap-khong-tra-duoc-co-sao-khong</v>
      </c>
      <c r="C2425" s="5" t="str">
        <f t="array" ref="C2425">INDEX('Báo cáo 75 trang đích'!$C$2:$C$76,$A2425)</f>
        <v>Unsecured Loan</v>
      </c>
      <c r="D2425" s="20" t="s">
        <v>382</v>
      </c>
      <c r="E2425" s="22" t="s">
        <v>430</v>
      </c>
      <c r="F2425" s="22" t="s">
        <v>81</v>
      </c>
      <c r="G2425" s="22" t="s">
        <v>1422</v>
      </c>
      <c r="H2425" s="24" t="s">
        <v>59</v>
      </c>
      <c r="I2425" s="24" t="s">
        <v>59</v>
      </c>
      <c r="J2425" s="24" t="s">
        <v>60</v>
      </c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16">
        <v>74.0</v>
      </c>
      <c r="B2426" s="35" t="str">
        <f t="array" ref="B2426">INDEX('Báo cáo 75 trang đích'!$B$2:$B$76,$A2426)</f>
        <v>https://techcombank.com/thong-tin/blog/vay-tin-chap-khong-tra-duoc-co-sao-khong</v>
      </c>
      <c r="C2426" s="5" t="str">
        <f t="array" ref="C2426">INDEX('Báo cáo 75 trang đích'!$C$2:$C$76,$A2426)</f>
        <v>Unsecured Loan</v>
      </c>
      <c r="D2426" s="20" t="s">
        <v>1421</v>
      </c>
      <c r="E2426" s="22" t="s">
        <v>430</v>
      </c>
      <c r="F2426" s="22" t="s">
        <v>81</v>
      </c>
      <c r="G2426" s="22" t="s">
        <v>1422</v>
      </c>
      <c r="H2426" s="24" t="s">
        <v>59</v>
      </c>
      <c r="I2426" s="24" t="s">
        <v>59</v>
      </c>
      <c r="J2426" s="24" t="s">
        <v>60</v>
      </c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16">
        <v>74.0</v>
      </c>
      <c r="B2427" s="35" t="str">
        <f t="array" ref="B2427">INDEX('Báo cáo 75 trang đích'!$B$2:$B$76,$A2427)</f>
        <v>https://techcombank.com/thong-tin/blog/vay-tin-chap-khong-tra-duoc-co-sao-khong</v>
      </c>
      <c r="C2427" s="5" t="str">
        <f t="array" ref="C2427">INDEX('Báo cáo 75 trang đích'!$C$2:$C$76,$A2427)</f>
        <v>Unsecured Loan</v>
      </c>
      <c r="D2427" s="20" t="s">
        <v>1238</v>
      </c>
      <c r="E2427" s="22" t="s">
        <v>430</v>
      </c>
      <c r="F2427" s="22" t="s">
        <v>81</v>
      </c>
      <c r="G2427" s="22" t="s">
        <v>1962</v>
      </c>
      <c r="H2427" s="24" t="s">
        <v>59</v>
      </c>
      <c r="I2427" s="24" t="s">
        <v>59</v>
      </c>
      <c r="J2427" s="24" t="s">
        <v>60</v>
      </c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16">
        <v>74.0</v>
      </c>
      <c r="B2428" s="35" t="str">
        <f t="array" ref="B2428">INDEX('Báo cáo 75 trang đích'!$B$2:$B$76,$A2428)</f>
        <v>https://techcombank.com/thong-tin/blog/vay-tin-chap-khong-tra-duoc-co-sao-khong</v>
      </c>
      <c r="C2428" s="5" t="str">
        <f t="array" ref="C2428">INDEX('Báo cáo 75 trang đích'!$C$2:$C$76,$A2428)</f>
        <v>Unsecured Loan</v>
      </c>
      <c r="D2428" s="20" t="s">
        <v>391</v>
      </c>
      <c r="E2428" s="22" t="s">
        <v>430</v>
      </c>
      <c r="F2428" s="22" t="s">
        <v>81</v>
      </c>
      <c r="G2428" s="22" t="s">
        <v>1422</v>
      </c>
      <c r="H2428" s="24" t="s">
        <v>59</v>
      </c>
      <c r="I2428" s="24" t="s">
        <v>59</v>
      </c>
      <c r="J2428" s="24" t="s">
        <v>60</v>
      </c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16">
        <v>74.0</v>
      </c>
      <c r="B2429" s="35" t="str">
        <f t="array" ref="B2429">INDEX('Báo cáo 75 trang đích'!$B$2:$B$76,$A2429)</f>
        <v>https://techcombank.com/thong-tin/blog/vay-tin-chap-khong-tra-duoc-co-sao-khong</v>
      </c>
      <c r="C2429" s="5" t="str">
        <f t="array" ref="C2429">INDEX('Báo cáo 75 trang đích'!$C$2:$C$76,$A2429)</f>
        <v>Unsecured Loan</v>
      </c>
      <c r="D2429" s="20" t="s">
        <v>813</v>
      </c>
      <c r="E2429" s="22" t="s">
        <v>430</v>
      </c>
      <c r="F2429" s="22" t="s">
        <v>81</v>
      </c>
      <c r="G2429" s="22" t="s">
        <v>1528</v>
      </c>
      <c r="H2429" s="24" t="s">
        <v>59</v>
      </c>
      <c r="I2429" s="24" t="s">
        <v>59</v>
      </c>
      <c r="J2429" s="24" t="s">
        <v>60</v>
      </c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16">
        <v>74.0</v>
      </c>
      <c r="B2430" s="35" t="str">
        <f t="array" ref="B2430">INDEX('Báo cáo 75 trang đích'!$B$2:$B$76,$A2430)</f>
        <v>https://techcombank.com/thong-tin/blog/vay-tin-chap-khong-tra-duoc-co-sao-khong</v>
      </c>
      <c r="C2430" s="5" t="str">
        <f t="array" ref="C2430">INDEX('Báo cáo 75 trang đích'!$C$2:$C$76,$A2430)</f>
        <v>Unsecured Loan</v>
      </c>
      <c r="D2430" s="20" t="s">
        <v>1032</v>
      </c>
      <c r="E2430" s="22" t="s">
        <v>430</v>
      </c>
      <c r="F2430" s="22" t="s">
        <v>81</v>
      </c>
      <c r="G2430" s="22" t="s">
        <v>1422</v>
      </c>
      <c r="H2430" s="24" t="s">
        <v>59</v>
      </c>
      <c r="I2430" s="24" t="s">
        <v>59</v>
      </c>
      <c r="J2430" s="24" t="s">
        <v>60</v>
      </c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16">
        <v>74.0</v>
      </c>
      <c r="B2431" s="35" t="str">
        <f t="array" ref="B2431">INDEX('Báo cáo 75 trang đích'!$B$2:$B$76,$A2431)</f>
        <v>https://techcombank.com/thong-tin/blog/vay-tin-chap-khong-tra-duoc-co-sao-khong</v>
      </c>
      <c r="C2431" s="5" t="str">
        <f t="array" ref="C2431">INDEX('Báo cáo 75 trang đích'!$C$2:$C$76,$A2431)</f>
        <v>Unsecured Loan</v>
      </c>
      <c r="D2431" s="20" t="s">
        <v>1233</v>
      </c>
      <c r="E2431" s="22" t="s">
        <v>430</v>
      </c>
      <c r="F2431" s="22" t="s">
        <v>81</v>
      </c>
      <c r="G2431" s="22" t="s">
        <v>1962</v>
      </c>
      <c r="H2431" s="24" t="s">
        <v>59</v>
      </c>
      <c r="I2431" s="24" t="s">
        <v>59</v>
      </c>
      <c r="J2431" s="24" t="s">
        <v>60</v>
      </c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16">
        <v>74.0</v>
      </c>
      <c r="B2432" s="35" t="str">
        <f t="array" ref="B2432">INDEX('Báo cáo 75 trang đích'!$B$2:$B$76,$A2432)</f>
        <v>https://techcombank.com/thong-tin/blog/vay-tin-chap-khong-tra-duoc-co-sao-khong</v>
      </c>
      <c r="C2432" s="5" t="str">
        <f t="array" ref="C2432">INDEX('Báo cáo 75 trang đích'!$C$2:$C$76,$A2432)</f>
        <v>Unsecured Loan</v>
      </c>
      <c r="D2432" s="20" t="s">
        <v>811</v>
      </c>
      <c r="E2432" s="22" t="s">
        <v>430</v>
      </c>
      <c r="F2432" s="22" t="s">
        <v>81</v>
      </c>
      <c r="G2432" s="22" t="s">
        <v>1422</v>
      </c>
      <c r="H2432" s="24" t="s">
        <v>59</v>
      </c>
      <c r="I2432" s="24" t="s">
        <v>59</v>
      </c>
      <c r="J2432" s="24" t="s">
        <v>60</v>
      </c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16">
        <v>74.0</v>
      </c>
      <c r="B2433" s="35" t="str">
        <f t="array" ref="B2433">INDEX('Báo cáo 75 trang đích'!$B$2:$B$76,$A2433)</f>
        <v>https://techcombank.com/thong-tin/blog/vay-tin-chap-khong-tra-duoc-co-sao-khong</v>
      </c>
      <c r="C2433" s="5" t="str">
        <f t="array" ref="C2433">INDEX('Báo cáo 75 trang đích'!$C$2:$C$76,$A2433)</f>
        <v>Unsecured Loan</v>
      </c>
      <c r="D2433" s="20" t="s">
        <v>727</v>
      </c>
      <c r="E2433" s="22" t="s">
        <v>430</v>
      </c>
      <c r="F2433" s="22" t="s">
        <v>81</v>
      </c>
      <c r="G2433" s="22" t="s">
        <v>1422</v>
      </c>
      <c r="H2433" s="24" t="s">
        <v>59</v>
      </c>
      <c r="I2433" s="24" t="s">
        <v>59</v>
      </c>
      <c r="J2433" s="24" t="s">
        <v>60</v>
      </c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16">
        <v>74.0</v>
      </c>
      <c r="B2434" s="35" t="str">
        <f t="array" ref="B2434">INDEX('Báo cáo 75 trang đích'!$B$2:$B$76,$A2434)</f>
        <v>https://techcombank.com/thong-tin/blog/vay-tin-chap-khong-tra-duoc-co-sao-khong</v>
      </c>
      <c r="C2434" s="5" t="str">
        <f t="array" ref="C2434">INDEX('Báo cáo 75 trang đích'!$C$2:$C$76,$A2434)</f>
        <v>Unsecured Loan</v>
      </c>
      <c r="D2434" s="20" t="s">
        <v>1235</v>
      </c>
      <c r="E2434" s="22" t="s">
        <v>430</v>
      </c>
      <c r="F2434" s="22" t="s">
        <v>81</v>
      </c>
      <c r="G2434" s="22" t="s">
        <v>1962</v>
      </c>
      <c r="H2434" s="24" t="s">
        <v>59</v>
      </c>
      <c r="I2434" s="24" t="s">
        <v>59</v>
      </c>
      <c r="J2434" s="24" t="s">
        <v>60</v>
      </c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16">
        <v>74.0</v>
      </c>
      <c r="B2435" s="35" t="str">
        <f t="array" ref="B2435">INDEX('Báo cáo 75 trang đích'!$B$2:$B$76,$A2435)</f>
        <v>https://techcombank.com/thong-tin/blog/vay-tin-chap-khong-tra-duoc-co-sao-khong</v>
      </c>
      <c r="C2435" s="5" t="str">
        <f t="array" ref="C2435">INDEX('Báo cáo 75 trang đích'!$C$2:$C$76,$A2435)</f>
        <v>Unsecured Loan</v>
      </c>
      <c r="D2435" s="20" t="s">
        <v>1166</v>
      </c>
      <c r="E2435" s="22" t="s">
        <v>430</v>
      </c>
      <c r="F2435" s="22" t="s">
        <v>81</v>
      </c>
      <c r="G2435" s="22" t="s">
        <v>1962</v>
      </c>
      <c r="H2435" s="24" t="s">
        <v>59</v>
      </c>
      <c r="I2435" s="24" t="s">
        <v>59</v>
      </c>
      <c r="J2435" s="24" t="s">
        <v>60</v>
      </c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16">
        <v>74.0</v>
      </c>
      <c r="B2436" s="35" t="str">
        <f t="array" ref="B2436">INDEX('Báo cáo 75 trang đích'!$B$2:$B$76,$A2436)</f>
        <v>https://techcombank.com/thong-tin/blog/vay-tin-chap-khong-tra-duoc-co-sao-khong</v>
      </c>
      <c r="C2436" s="5" t="str">
        <f t="array" ref="C2436">INDEX('Báo cáo 75 trang đích'!$C$2:$C$76,$A2436)</f>
        <v>Unsecured Loan</v>
      </c>
      <c r="D2436" s="20" t="s">
        <v>800</v>
      </c>
      <c r="E2436" s="22" t="s">
        <v>430</v>
      </c>
      <c r="F2436" s="22" t="s">
        <v>81</v>
      </c>
      <c r="G2436" s="22" t="s">
        <v>1422</v>
      </c>
      <c r="H2436" s="24" t="s">
        <v>59</v>
      </c>
      <c r="I2436" s="24" t="s">
        <v>59</v>
      </c>
      <c r="J2436" s="24" t="s">
        <v>60</v>
      </c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16">
        <v>74.0</v>
      </c>
      <c r="B2437" s="35" t="str">
        <f t="array" ref="B2437">INDEX('Báo cáo 75 trang đích'!$B$2:$B$76,$A2437)</f>
        <v>https://techcombank.com/thong-tin/blog/vay-tin-chap-khong-tra-duoc-co-sao-khong</v>
      </c>
      <c r="C2437" s="5" t="str">
        <f t="array" ref="C2437">INDEX('Báo cáo 75 trang đích'!$C$2:$C$76,$A2437)</f>
        <v>Unsecured Loan</v>
      </c>
      <c r="D2437" s="20" t="s">
        <v>1223</v>
      </c>
      <c r="E2437" s="22" t="s">
        <v>430</v>
      </c>
      <c r="F2437" s="22" t="s">
        <v>81</v>
      </c>
      <c r="G2437" s="22" t="s">
        <v>1422</v>
      </c>
      <c r="H2437" s="24" t="s">
        <v>59</v>
      </c>
      <c r="I2437" s="24" t="s">
        <v>59</v>
      </c>
      <c r="J2437" s="24" t="s">
        <v>60</v>
      </c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16">
        <v>74.0</v>
      </c>
      <c r="B2438" s="35" t="str">
        <f t="array" ref="B2438">INDEX('Báo cáo 75 trang đích'!$B$2:$B$76,$A2438)</f>
        <v>https://techcombank.com/thong-tin/blog/vay-tin-chap-khong-tra-duoc-co-sao-khong</v>
      </c>
      <c r="C2438" s="5" t="str">
        <f t="array" ref="C2438">INDEX('Báo cáo 75 trang đích'!$C$2:$C$76,$A2438)</f>
        <v>Unsecured Loan</v>
      </c>
      <c r="D2438" s="20" t="s">
        <v>809</v>
      </c>
      <c r="E2438" s="22" t="s">
        <v>430</v>
      </c>
      <c r="F2438" s="22" t="s">
        <v>81</v>
      </c>
      <c r="G2438" s="22" t="s">
        <v>1422</v>
      </c>
      <c r="H2438" s="24" t="s">
        <v>59</v>
      </c>
      <c r="I2438" s="24" t="s">
        <v>59</v>
      </c>
      <c r="J2438" s="24" t="s">
        <v>60</v>
      </c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16">
        <v>74.0</v>
      </c>
      <c r="B2439" s="35" t="str">
        <f t="array" ref="B2439">INDEX('Báo cáo 75 trang đích'!$B$2:$B$76,$A2439)</f>
        <v>https://techcombank.com/thong-tin/blog/vay-tin-chap-khong-tra-duoc-co-sao-khong</v>
      </c>
      <c r="C2439" s="5" t="str">
        <f t="array" ref="C2439">INDEX('Báo cáo 75 trang đích'!$C$2:$C$76,$A2439)</f>
        <v>Unsecured Loan</v>
      </c>
      <c r="D2439" s="20" t="s">
        <v>1226</v>
      </c>
      <c r="E2439" s="22" t="s">
        <v>430</v>
      </c>
      <c r="F2439" s="22" t="s">
        <v>81</v>
      </c>
      <c r="G2439" s="22" t="s">
        <v>1980</v>
      </c>
      <c r="H2439" s="24" t="s">
        <v>59</v>
      </c>
      <c r="I2439" s="24" t="s">
        <v>59</v>
      </c>
      <c r="J2439" s="24" t="s">
        <v>60</v>
      </c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16">
        <v>74.0</v>
      </c>
      <c r="B2440" s="35" t="str">
        <f t="array" ref="B2440">INDEX('Báo cáo 75 trang đích'!$B$2:$B$76,$A2440)</f>
        <v>https://techcombank.com/thong-tin/blog/vay-tin-chap-khong-tra-duoc-co-sao-khong</v>
      </c>
      <c r="C2440" s="5" t="str">
        <f t="array" ref="C2440">INDEX('Báo cáo 75 trang đích'!$C$2:$C$76,$A2440)</f>
        <v>Unsecured Loan</v>
      </c>
      <c r="D2440" s="20" t="s">
        <v>1831</v>
      </c>
      <c r="E2440" s="22" t="s">
        <v>430</v>
      </c>
      <c r="F2440" s="22" t="s">
        <v>81</v>
      </c>
      <c r="G2440" s="22" t="s">
        <v>1962</v>
      </c>
      <c r="H2440" s="24" t="s">
        <v>59</v>
      </c>
      <c r="I2440" s="24" t="s">
        <v>59</v>
      </c>
      <c r="J2440" s="24" t="s">
        <v>60</v>
      </c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16">
        <v>74.0</v>
      </c>
      <c r="B2441" s="35" t="str">
        <f t="array" ref="B2441">INDEX('Báo cáo 75 trang đích'!$B$2:$B$76,$A2441)</f>
        <v>https://techcombank.com/thong-tin/blog/vay-tin-chap-khong-tra-duoc-co-sao-khong</v>
      </c>
      <c r="C2441" s="5" t="str">
        <f t="array" ref="C2441">INDEX('Báo cáo 75 trang đích'!$C$2:$C$76,$A2441)</f>
        <v>Unsecured Loan</v>
      </c>
      <c r="D2441" s="20" t="s">
        <v>734</v>
      </c>
      <c r="E2441" s="22" t="s">
        <v>430</v>
      </c>
      <c r="F2441" s="22" t="s">
        <v>81</v>
      </c>
      <c r="G2441" s="22" t="s">
        <v>1422</v>
      </c>
      <c r="H2441" s="24" t="s">
        <v>59</v>
      </c>
      <c r="I2441" s="24" t="s">
        <v>59</v>
      </c>
      <c r="J2441" s="24" t="s">
        <v>60</v>
      </c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16">
        <v>74.0</v>
      </c>
      <c r="B2442" s="35" t="str">
        <f t="array" ref="B2442">INDEX('Báo cáo 75 trang đích'!$B$2:$B$76,$A2442)</f>
        <v>https://techcombank.com/thong-tin/blog/vay-tin-chap-khong-tra-duoc-co-sao-khong</v>
      </c>
      <c r="C2442" s="5" t="str">
        <f t="array" ref="C2442">INDEX('Báo cáo 75 trang đích'!$C$2:$C$76,$A2442)</f>
        <v>Unsecured Loan</v>
      </c>
      <c r="D2442" s="20" t="s">
        <v>728</v>
      </c>
      <c r="E2442" s="22" t="s">
        <v>430</v>
      </c>
      <c r="F2442" s="22" t="s">
        <v>81</v>
      </c>
      <c r="G2442" s="22" t="s">
        <v>1962</v>
      </c>
      <c r="H2442" s="24" t="s">
        <v>59</v>
      </c>
      <c r="I2442" s="24" t="s">
        <v>59</v>
      </c>
      <c r="J2442" s="24" t="s">
        <v>60</v>
      </c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16">
        <v>74.0</v>
      </c>
      <c r="B2443" s="35" t="str">
        <f t="array" ref="B2443">INDEX('Báo cáo 75 trang đích'!$B$2:$B$76,$A2443)</f>
        <v>https://techcombank.com/thong-tin/blog/vay-tin-chap-khong-tra-duoc-co-sao-khong</v>
      </c>
      <c r="C2443" s="5" t="str">
        <f t="array" ref="C2443">INDEX('Báo cáo 75 trang đích'!$C$2:$C$76,$A2443)</f>
        <v>Unsecured Loan</v>
      </c>
      <c r="D2443" s="20" t="s">
        <v>1057</v>
      </c>
      <c r="E2443" s="22" t="s">
        <v>430</v>
      </c>
      <c r="F2443" s="22" t="s">
        <v>81</v>
      </c>
      <c r="G2443" s="22" t="s">
        <v>1962</v>
      </c>
      <c r="H2443" s="24" t="s">
        <v>59</v>
      </c>
      <c r="I2443" s="24" t="s">
        <v>59</v>
      </c>
      <c r="J2443" s="24" t="s">
        <v>60</v>
      </c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16">
        <v>74.0</v>
      </c>
      <c r="B2444" s="35" t="str">
        <f t="array" ref="B2444">INDEX('Báo cáo 75 trang đích'!$B$2:$B$76,$A2444)</f>
        <v>https://techcombank.com/thong-tin/blog/vay-tin-chap-khong-tra-duoc-co-sao-khong</v>
      </c>
      <c r="C2444" s="5" t="str">
        <f t="array" ref="C2444">INDEX('Báo cáo 75 trang đích'!$C$2:$C$76,$A2444)</f>
        <v>Unsecured Loan</v>
      </c>
      <c r="D2444" s="20" t="s">
        <v>1518</v>
      </c>
      <c r="E2444" s="22" t="s">
        <v>430</v>
      </c>
      <c r="F2444" s="22" t="s">
        <v>81</v>
      </c>
      <c r="G2444" s="22" t="s">
        <v>1962</v>
      </c>
      <c r="H2444" s="24" t="s">
        <v>59</v>
      </c>
      <c r="I2444" s="24" t="s">
        <v>59</v>
      </c>
      <c r="J2444" s="24" t="s">
        <v>60</v>
      </c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16">
        <v>75.0</v>
      </c>
      <c r="B2445" s="35" t="str">
        <f t="array" ref="B2445">INDEX('Báo cáo 75 trang đích'!$B$2:$B$76,$A2445)</f>
        <v>https://techcombank.com/thong-tin/blog/phuong-phap-dau-tu-chung-chi-quy</v>
      </c>
      <c r="C2445" s="5" t="str">
        <f t="array" ref="C2445">INDEX('Báo cáo 75 trang đích'!$C$2:$C$76,$A2445)</f>
        <v>Wealth</v>
      </c>
      <c r="D2445" s="20" t="s">
        <v>1254</v>
      </c>
      <c r="E2445" s="22" t="s">
        <v>435</v>
      </c>
      <c r="F2445" s="22" t="s">
        <v>57</v>
      </c>
      <c r="G2445" s="22" t="s">
        <v>1981</v>
      </c>
      <c r="H2445" s="24" t="s">
        <v>59</v>
      </c>
      <c r="I2445" s="24" t="s">
        <v>59</v>
      </c>
      <c r="J2445" s="24" t="s">
        <v>60</v>
      </c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16">
        <v>75.0</v>
      </c>
      <c r="B2446" s="35" t="str">
        <f t="array" ref="B2446">INDEX('Báo cáo 75 trang đích'!$B$2:$B$76,$A2446)</f>
        <v>https://techcombank.com/thong-tin/blog/phuong-phap-dau-tu-chung-chi-quy</v>
      </c>
      <c r="C2446" s="5" t="str">
        <f t="array" ref="C2446">INDEX('Báo cáo 75 trang đích'!$C$2:$C$76,$A2446)</f>
        <v>Wealth</v>
      </c>
      <c r="D2446" s="20" t="s">
        <v>221</v>
      </c>
      <c r="E2446" s="22" t="s">
        <v>1258</v>
      </c>
      <c r="F2446" s="22" t="s">
        <v>57</v>
      </c>
      <c r="G2446" s="22" t="s">
        <v>1982</v>
      </c>
      <c r="H2446" s="24" t="s">
        <v>59</v>
      </c>
      <c r="I2446" s="24" t="s">
        <v>59</v>
      </c>
      <c r="J2446" s="24" t="s">
        <v>60</v>
      </c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16">
        <v>75.0</v>
      </c>
      <c r="B2447" s="35" t="str">
        <f t="array" ref="B2447">INDEX('Báo cáo 75 trang đích'!$B$2:$B$76,$A2447)</f>
        <v>https://techcombank.com/thong-tin/blog/phuong-phap-dau-tu-chung-chi-quy</v>
      </c>
      <c r="C2447" s="5" t="str">
        <f t="array" ref="C2447">INDEX('Báo cáo 75 trang đích'!$C$2:$C$76,$A2447)</f>
        <v>Wealth</v>
      </c>
      <c r="D2447" s="20" t="s">
        <v>1259</v>
      </c>
      <c r="E2447" s="22" t="s">
        <v>1261</v>
      </c>
      <c r="F2447" s="22" t="s">
        <v>57</v>
      </c>
      <c r="G2447" s="22" t="s">
        <v>1983</v>
      </c>
      <c r="H2447" s="24" t="s">
        <v>59</v>
      </c>
      <c r="I2447" s="24" t="s">
        <v>59</v>
      </c>
      <c r="J2447" s="24" t="s">
        <v>60</v>
      </c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16">
        <v>75.0</v>
      </c>
      <c r="B2448" s="35" t="str">
        <f t="array" ref="B2448">INDEX('Báo cáo 75 trang đích'!$B$2:$B$76,$A2448)</f>
        <v>https://techcombank.com/thong-tin/blog/phuong-phap-dau-tu-chung-chi-quy</v>
      </c>
      <c r="C2448" s="5" t="str">
        <f t="array" ref="C2448">INDEX('Báo cáo 75 trang đích'!$C$2:$C$76,$A2448)</f>
        <v>Wealth</v>
      </c>
      <c r="D2448" s="20" t="s">
        <v>1262</v>
      </c>
      <c r="E2448" s="22" t="s">
        <v>435</v>
      </c>
      <c r="F2448" s="22" t="s">
        <v>57</v>
      </c>
      <c r="G2448" s="22" t="s">
        <v>1984</v>
      </c>
      <c r="H2448" s="24" t="s">
        <v>59</v>
      </c>
      <c r="I2448" s="24" t="s">
        <v>59</v>
      </c>
      <c r="J2448" s="24" t="s">
        <v>60</v>
      </c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16">
        <v>75.0</v>
      </c>
      <c r="B2449" s="35" t="str">
        <f t="array" ref="B2449">INDEX('Báo cáo 75 trang đích'!$B$2:$B$76,$A2449)</f>
        <v>https://techcombank.com/thong-tin/blog/phuong-phap-dau-tu-chung-chi-quy</v>
      </c>
      <c r="C2449" s="5" t="str">
        <f t="array" ref="C2449">INDEX('Báo cáo 75 trang đích'!$C$2:$C$76,$A2449)</f>
        <v>Wealth</v>
      </c>
      <c r="D2449" s="20" t="s">
        <v>1264</v>
      </c>
      <c r="E2449" s="22" t="s">
        <v>1258</v>
      </c>
      <c r="F2449" s="22" t="s">
        <v>57</v>
      </c>
      <c r="G2449" s="22" t="s">
        <v>1985</v>
      </c>
      <c r="H2449" s="24" t="s">
        <v>59</v>
      </c>
      <c r="I2449" s="24" t="s">
        <v>59</v>
      </c>
      <c r="J2449" s="24" t="s">
        <v>60</v>
      </c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16">
        <v>75.0</v>
      </c>
      <c r="B2450" s="35" t="str">
        <f t="array" ref="B2450">INDEX('Báo cáo 75 trang đích'!$B$2:$B$76,$A2450)</f>
        <v>https://techcombank.com/thong-tin/blog/phuong-phap-dau-tu-chung-chi-quy</v>
      </c>
      <c r="C2450" s="5" t="str">
        <f t="array" ref="C2450">INDEX('Báo cáo 75 trang đích'!$C$2:$C$76,$A2450)</f>
        <v>Wealth</v>
      </c>
      <c r="D2450" s="20" t="s">
        <v>1986</v>
      </c>
      <c r="E2450" s="22" t="s">
        <v>1261</v>
      </c>
      <c r="F2450" s="22" t="s">
        <v>81</v>
      </c>
      <c r="G2450" s="22" t="s">
        <v>1987</v>
      </c>
      <c r="H2450" s="24" t="s">
        <v>59</v>
      </c>
      <c r="I2450" s="24" t="s">
        <v>59</v>
      </c>
      <c r="J2450" s="24" t="s">
        <v>60</v>
      </c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16">
        <v>75.0</v>
      </c>
      <c r="B2451" s="35" t="str">
        <f t="array" ref="B2451">INDEX('Báo cáo 75 trang đích'!$B$2:$B$76,$A2451)</f>
        <v>https://techcombank.com/thong-tin/blog/phuong-phap-dau-tu-chung-chi-quy</v>
      </c>
      <c r="C2451" s="5" t="str">
        <f t="array" ref="C2451">INDEX('Báo cáo 75 trang đích'!$C$2:$C$76,$A2451)</f>
        <v>Wealth</v>
      </c>
      <c r="D2451" s="20" t="s">
        <v>1988</v>
      </c>
      <c r="E2451" s="22" t="s">
        <v>435</v>
      </c>
      <c r="F2451" s="22" t="s">
        <v>81</v>
      </c>
      <c r="G2451" s="22" t="s">
        <v>1987</v>
      </c>
      <c r="H2451" s="24" t="s">
        <v>59</v>
      </c>
      <c r="I2451" s="24" t="s">
        <v>59</v>
      </c>
      <c r="J2451" s="24" t="s">
        <v>60</v>
      </c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16">
        <v>75.0</v>
      </c>
      <c r="B2452" s="35" t="str">
        <f t="array" ref="B2452">INDEX('Báo cáo 75 trang đích'!$B$2:$B$76,$A2452)</f>
        <v>https://techcombank.com/thong-tin/blog/phuong-phap-dau-tu-chung-chi-quy</v>
      </c>
      <c r="C2452" s="5" t="str">
        <f t="array" ref="C2452">INDEX('Báo cáo 75 trang đích'!$C$2:$C$76,$A2452)</f>
        <v>Wealth</v>
      </c>
      <c r="D2452" s="20" t="s">
        <v>1989</v>
      </c>
      <c r="E2452" s="22" t="s">
        <v>1258</v>
      </c>
      <c r="F2452" s="22" t="s">
        <v>81</v>
      </c>
      <c r="G2452" s="22" t="s">
        <v>1987</v>
      </c>
      <c r="H2452" s="24" t="s">
        <v>59</v>
      </c>
      <c r="I2452" s="24" t="s">
        <v>59</v>
      </c>
      <c r="J2452" s="24" t="s">
        <v>60</v>
      </c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16">
        <v>75.0</v>
      </c>
      <c r="B2453" s="35" t="str">
        <f t="array" ref="B2453">INDEX('Báo cáo 75 trang đích'!$B$2:$B$76,$A2453)</f>
        <v>https://techcombank.com/thong-tin/blog/phuong-phap-dau-tu-chung-chi-quy</v>
      </c>
      <c r="C2453" s="5" t="str">
        <f t="array" ref="C2453">INDEX('Báo cáo 75 trang đích'!$C$2:$C$76,$A2453)</f>
        <v>Wealth</v>
      </c>
      <c r="D2453" s="20" t="s">
        <v>1351</v>
      </c>
      <c r="E2453" s="22" t="s">
        <v>1261</v>
      </c>
      <c r="F2453" s="22" t="s">
        <v>81</v>
      </c>
      <c r="G2453" s="22" t="s">
        <v>1987</v>
      </c>
      <c r="H2453" s="24" t="s">
        <v>59</v>
      </c>
      <c r="I2453" s="24" t="s">
        <v>59</v>
      </c>
      <c r="J2453" s="24" t="s">
        <v>60</v>
      </c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16">
        <v>75.0</v>
      </c>
      <c r="B2454" s="35" t="str">
        <f t="array" ref="B2454">INDEX('Báo cáo 75 trang đích'!$B$2:$B$76,$A2454)</f>
        <v>https://techcombank.com/thong-tin/blog/phuong-phap-dau-tu-chung-chi-quy</v>
      </c>
      <c r="C2454" s="5" t="str">
        <f t="array" ref="C2454">INDEX('Báo cáo 75 trang đích'!$C$2:$C$76,$A2454)</f>
        <v>Wealth</v>
      </c>
      <c r="D2454" s="20" t="s">
        <v>1757</v>
      </c>
      <c r="E2454" s="22" t="s">
        <v>435</v>
      </c>
      <c r="F2454" s="22" t="s">
        <v>81</v>
      </c>
      <c r="G2454" s="22" t="s">
        <v>1987</v>
      </c>
      <c r="H2454" s="24" t="s">
        <v>59</v>
      </c>
      <c r="I2454" s="24" t="s">
        <v>59</v>
      </c>
      <c r="J2454" s="24" t="s">
        <v>60</v>
      </c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16">
        <v>75.0</v>
      </c>
      <c r="B2455" s="35" t="str">
        <f t="array" ref="B2455">INDEX('Báo cáo 75 trang đích'!$B$2:$B$76,$A2455)</f>
        <v>https://techcombank.com/thong-tin/blog/phuong-phap-dau-tu-chung-chi-quy</v>
      </c>
      <c r="C2455" s="5" t="str">
        <f t="array" ref="C2455">INDEX('Báo cáo 75 trang đích'!$C$2:$C$76,$A2455)</f>
        <v>Wealth</v>
      </c>
      <c r="D2455" s="20" t="s">
        <v>1384</v>
      </c>
      <c r="E2455" s="22" t="s">
        <v>1258</v>
      </c>
      <c r="F2455" s="22" t="s">
        <v>81</v>
      </c>
      <c r="G2455" s="22" t="s">
        <v>1987</v>
      </c>
      <c r="H2455" s="24" t="s">
        <v>59</v>
      </c>
      <c r="I2455" s="24" t="s">
        <v>59</v>
      </c>
      <c r="J2455" s="24" t="s">
        <v>60</v>
      </c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16">
        <v>75.0</v>
      </c>
      <c r="B2456" s="35" t="str">
        <f t="array" ref="B2456">INDEX('Báo cáo 75 trang đích'!$B$2:$B$76,$A2456)</f>
        <v>https://techcombank.com/thong-tin/blog/phuong-phap-dau-tu-chung-chi-quy</v>
      </c>
      <c r="C2456" s="5" t="str">
        <f t="array" ref="C2456">INDEX('Báo cáo 75 trang đích'!$C$2:$C$76,$A2456)</f>
        <v>Wealth</v>
      </c>
      <c r="D2456" s="20" t="s">
        <v>1990</v>
      </c>
      <c r="E2456" s="22" t="s">
        <v>1261</v>
      </c>
      <c r="F2456" s="22" t="s">
        <v>81</v>
      </c>
      <c r="G2456" s="22" t="s">
        <v>1987</v>
      </c>
      <c r="H2456" s="24" t="s">
        <v>59</v>
      </c>
      <c r="I2456" s="24" t="s">
        <v>59</v>
      </c>
      <c r="J2456" s="24" t="s">
        <v>60</v>
      </c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16">
        <v>75.0</v>
      </c>
      <c r="B2457" s="35" t="str">
        <f t="array" ref="B2457">INDEX('Báo cáo 75 trang đích'!$B$2:$B$76,$A2457)</f>
        <v>https://techcombank.com/thong-tin/blog/phuong-phap-dau-tu-chung-chi-quy</v>
      </c>
      <c r="C2457" s="5" t="str">
        <f t="array" ref="C2457">INDEX('Báo cáo 75 trang đích'!$C$2:$C$76,$A2457)</f>
        <v>Wealth</v>
      </c>
      <c r="D2457" s="20" t="s">
        <v>200</v>
      </c>
      <c r="E2457" s="22" t="s">
        <v>435</v>
      </c>
      <c r="F2457" s="22" t="s">
        <v>81</v>
      </c>
      <c r="G2457" s="22" t="s">
        <v>1987</v>
      </c>
      <c r="H2457" s="24" t="s">
        <v>59</v>
      </c>
      <c r="I2457" s="24" t="s">
        <v>59</v>
      </c>
      <c r="J2457" s="24" t="s">
        <v>60</v>
      </c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16">
        <v>75.0</v>
      </c>
      <c r="B2458" s="35" t="str">
        <f t="array" ref="B2458">INDEX('Báo cáo 75 trang đích'!$B$2:$B$76,$A2458)</f>
        <v>https://techcombank.com/thong-tin/blog/phuong-phap-dau-tu-chung-chi-quy</v>
      </c>
      <c r="C2458" s="5" t="str">
        <f t="array" ref="C2458">INDEX('Báo cáo 75 trang đích'!$C$2:$C$76,$A2458)</f>
        <v>Wealth</v>
      </c>
      <c r="D2458" s="20" t="s">
        <v>1885</v>
      </c>
      <c r="E2458" s="22" t="s">
        <v>1258</v>
      </c>
      <c r="F2458" s="22" t="s">
        <v>81</v>
      </c>
      <c r="G2458" s="22" t="s">
        <v>1987</v>
      </c>
      <c r="H2458" s="24" t="s">
        <v>59</v>
      </c>
      <c r="I2458" s="24" t="s">
        <v>59</v>
      </c>
      <c r="J2458" s="24" t="s">
        <v>60</v>
      </c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16">
        <v>75.0</v>
      </c>
      <c r="B2459" s="35" t="str">
        <f t="array" ref="B2459">INDEX('Báo cáo 75 trang đích'!$B$2:$B$76,$A2459)</f>
        <v>https://techcombank.com/thong-tin/blog/phuong-phap-dau-tu-chung-chi-quy</v>
      </c>
      <c r="C2459" s="5" t="str">
        <f t="array" ref="C2459">INDEX('Báo cáo 75 trang đích'!$C$2:$C$76,$A2459)</f>
        <v>Wealth</v>
      </c>
      <c r="D2459" s="20" t="s">
        <v>203</v>
      </c>
      <c r="E2459" s="22" t="s">
        <v>1261</v>
      </c>
      <c r="F2459" s="22" t="s">
        <v>81</v>
      </c>
      <c r="G2459" s="22" t="s">
        <v>1987</v>
      </c>
      <c r="H2459" s="24" t="s">
        <v>59</v>
      </c>
      <c r="I2459" s="24" t="s">
        <v>59</v>
      </c>
      <c r="J2459" s="24" t="s">
        <v>60</v>
      </c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16">
        <v>75.0</v>
      </c>
      <c r="B2460" s="35" t="str">
        <f t="array" ref="B2460">INDEX('Báo cáo 75 trang đích'!$B$2:$B$76,$A2460)</f>
        <v>https://techcombank.com/thong-tin/blog/phuong-phap-dau-tu-chung-chi-quy</v>
      </c>
      <c r="C2460" s="5" t="str">
        <f t="array" ref="C2460">INDEX('Báo cáo 75 trang đích'!$C$2:$C$76,$A2460)</f>
        <v>Wealth</v>
      </c>
      <c r="D2460" s="20" t="s">
        <v>1887</v>
      </c>
      <c r="E2460" s="22" t="s">
        <v>435</v>
      </c>
      <c r="F2460" s="22" t="s">
        <v>81</v>
      </c>
      <c r="G2460" s="22" t="s">
        <v>1987</v>
      </c>
      <c r="H2460" s="24" t="s">
        <v>59</v>
      </c>
      <c r="I2460" s="24" t="s">
        <v>59</v>
      </c>
      <c r="J2460" s="24" t="s">
        <v>60</v>
      </c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16">
        <v>75.0</v>
      </c>
      <c r="B2461" s="35" t="str">
        <f t="array" ref="B2461">INDEX('Báo cáo 75 trang đích'!$B$2:$B$76,$A2461)</f>
        <v>https://techcombank.com/thong-tin/blog/phuong-phap-dau-tu-chung-chi-quy</v>
      </c>
      <c r="C2461" s="5" t="str">
        <f t="array" ref="C2461">INDEX('Báo cáo 75 trang đích'!$C$2:$C$76,$A2461)</f>
        <v>Wealth</v>
      </c>
      <c r="D2461" s="20" t="s">
        <v>1991</v>
      </c>
      <c r="E2461" s="22" t="s">
        <v>1258</v>
      </c>
      <c r="F2461" s="22" t="s">
        <v>81</v>
      </c>
      <c r="G2461" s="22" t="s">
        <v>1987</v>
      </c>
      <c r="H2461" s="24" t="s">
        <v>59</v>
      </c>
      <c r="I2461" s="24" t="s">
        <v>59</v>
      </c>
      <c r="J2461" s="24" t="s">
        <v>60</v>
      </c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16">
        <v>75.0</v>
      </c>
      <c r="B2462" s="35" t="str">
        <f t="array" ref="B2462">INDEX('Báo cáo 75 trang đích'!$B$2:$B$76,$A2462)</f>
        <v>https://techcombank.com/thong-tin/blog/phuong-phap-dau-tu-chung-chi-quy</v>
      </c>
      <c r="C2462" s="5" t="str">
        <f t="array" ref="C2462">INDEX('Báo cáo 75 trang đích'!$C$2:$C$76,$A2462)</f>
        <v>Wealth</v>
      </c>
      <c r="D2462" s="20" t="s">
        <v>1992</v>
      </c>
      <c r="E2462" s="22" t="s">
        <v>1261</v>
      </c>
      <c r="F2462" s="22" t="s">
        <v>81</v>
      </c>
      <c r="G2462" s="22" t="s">
        <v>1987</v>
      </c>
      <c r="H2462" s="24" t="s">
        <v>59</v>
      </c>
      <c r="I2462" s="24" t="s">
        <v>59</v>
      </c>
      <c r="J2462" s="24" t="s">
        <v>60</v>
      </c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16">
        <v>75.0</v>
      </c>
      <c r="B2463" s="35" t="str">
        <f t="array" ref="B2463">INDEX('Báo cáo 75 trang đích'!$B$2:$B$76,$A2463)</f>
        <v>https://techcombank.com/thong-tin/blog/phuong-phap-dau-tu-chung-chi-quy</v>
      </c>
      <c r="C2463" s="5" t="str">
        <f t="array" ref="C2463">INDEX('Báo cáo 75 trang đích'!$C$2:$C$76,$A2463)</f>
        <v>Wealth</v>
      </c>
      <c r="D2463" s="20" t="s">
        <v>1397</v>
      </c>
      <c r="E2463" s="22" t="s">
        <v>435</v>
      </c>
      <c r="F2463" s="22" t="s">
        <v>81</v>
      </c>
      <c r="G2463" s="22" t="s">
        <v>1987</v>
      </c>
      <c r="H2463" s="24" t="s">
        <v>59</v>
      </c>
      <c r="I2463" s="24" t="s">
        <v>59</v>
      </c>
      <c r="J2463" s="24" t="s">
        <v>60</v>
      </c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16">
        <v>75.0</v>
      </c>
      <c r="B2464" s="35" t="str">
        <f t="array" ref="B2464">INDEX('Báo cáo 75 trang đích'!$B$2:$B$76,$A2464)</f>
        <v>https://techcombank.com/thong-tin/blog/phuong-phap-dau-tu-chung-chi-quy</v>
      </c>
      <c r="C2464" s="5" t="str">
        <f t="array" ref="C2464">INDEX('Báo cáo 75 trang đích'!$C$2:$C$76,$A2464)</f>
        <v>Wealth</v>
      </c>
      <c r="D2464" s="20" t="s">
        <v>1993</v>
      </c>
      <c r="E2464" s="22" t="s">
        <v>1258</v>
      </c>
      <c r="F2464" s="22" t="s">
        <v>81</v>
      </c>
      <c r="G2464" s="22" t="s">
        <v>1994</v>
      </c>
      <c r="H2464" s="24" t="s">
        <v>59</v>
      </c>
      <c r="I2464" s="24" t="s">
        <v>59</v>
      </c>
      <c r="J2464" s="24" t="s">
        <v>60</v>
      </c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16">
        <v>75.0</v>
      </c>
      <c r="B2465" s="35" t="str">
        <f t="array" ref="B2465">INDEX('Báo cáo 75 trang đích'!$B$2:$B$76,$A2465)</f>
        <v>https://techcombank.com/thong-tin/blog/phuong-phap-dau-tu-chung-chi-quy</v>
      </c>
      <c r="C2465" s="5" t="str">
        <f t="array" ref="C2465">INDEX('Báo cáo 75 trang đích'!$C$2:$C$76,$A2465)</f>
        <v>Wealth</v>
      </c>
      <c r="D2465" s="20" t="s">
        <v>208</v>
      </c>
      <c r="E2465" s="22" t="s">
        <v>1261</v>
      </c>
      <c r="F2465" s="22" t="s">
        <v>81</v>
      </c>
      <c r="G2465" s="22" t="s">
        <v>1987</v>
      </c>
      <c r="H2465" s="24" t="s">
        <v>59</v>
      </c>
      <c r="I2465" s="24" t="s">
        <v>59</v>
      </c>
      <c r="J2465" s="24" t="s">
        <v>60</v>
      </c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16">
        <v>75.0</v>
      </c>
      <c r="B2466" s="35" t="str">
        <f t="array" ref="B2466">INDEX('Báo cáo 75 trang đích'!$B$2:$B$76,$A2466)</f>
        <v>https://techcombank.com/thong-tin/blog/phuong-phap-dau-tu-chung-chi-quy</v>
      </c>
      <c r="C2466" s="5" t="str">
        <f t="array" ref="C2466">INDEX('Báo cáo 75 trang đích'!$C$2:$C$76,$A2466)</f>
        <v>Wealth</v>
      </c>
      <c r="D2466" s="20" t="s">
        <v>1995</v>
      </c>
      <c r="E2466" s="22" t="s">
        <v>435</v>
      </c>
      <c r="F2466" s="22" t="s">
        <v>81</v>
      </c>
      <c r="G2466" s="22" t="s">
        <v>1987</v>
      </c>
      <c r="H2466" s="24" t="s">
        <v>59</v>
      </c>
      <c r="I2466" s="24" t="s">
        <v>59</v>
      </c>
      <c r="J2466" s="24" t="s">
        <v>60</v>
      </c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16">
        <v>75.0</v>
      </c>
      <c r="B2467" s="35" t="str">
        <f t="array" ref="B2467">INDEX('Báo cáo 75 trang đích'!$B$2:$B$76,$A2467)</f>
        <v>https://techcombank.com/thong-tin/blog/phuong-phap-dau-tu-chung-chi-quy</v>
      </c>
      <c r="C2467" s="5" t="str">
        <f t="array" ref="C2467">INDEX('Báo cáo 75 trang đích'!$C$2:$C$76,$A2467)</f>
        <v>Wealth</v>
      </c>
      <c r="D2467" s="20" t="s">
        <v>210</v>
      </c>
      <c r="E2467" s="22" t="s">
        <v>1258</v>
      </c>
      <c r="F2467" s="22" t="s">
        <v>81</v>
      </c>
      <c r="G2467" s="22" t="s">
        <v>1996</v>
      </c>
      <c r="H2467" s="24" t="s">
        <v>59</v>
      </c>
      <c r="I2467" s="24" t="s">
        <v>59</v>
      </c>
      <c r="J2467" s="24" t="s">
        <v>60</v>
      </c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16">
        <v>75.0</v>
      </c>
      <c r="B2468" s="35" t="str">
        <f t="array" ref="B2468">INDEX('Báo cáo 75 trang đích'!$B$2:$B$76,$A2468)</f>
        <v>https://techcombank.com/thong-tin/blog/phuong-phap-dau-tu-chung-chi-quy</v>
      </c>
      <c r="C2468" s="5" t="str">
        <f t="array" ref="C2468">INDEX('Báo cáo 75 trang đích'!$C$2:$C$76,$A2468)</f>
        <v>Wealth</v>
      </c>
      <c r="D2468" s="20" t="s">
        <v>1894</v>
      </c>
      <c r="E2468" s="22" t="s">
        <v>1261</v>
      </c>
      <c r="F2468" s="22" t="s">
        <v>81</v>
      </c>
      <c r="G2468" s="22" t="s">
        <v>1987</v>
      </c>
      <c r="H2468" s="24" t="s">
        <v>59</v>
      </c>
      <c r="I2468" s="24" t="s">
        <v>59</v>
      </c>
      <c r="J2468" s="24" t="s">
        <v>60</v>
      </c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16">
        <v>75.0</v>
      </c>
      <c r="B2469" s="35" t="str">
        <f t="array" ref="B2469">INDEX('Báo cáo 75 trang đích'!$B$2:$B$76,$A2469)</f>
        <v>https://techcombank.com/thong-tin/blog/phuong-phap-dau-tu-chung-chi-quy</v>
      </c>
      <c r="C2469" s="5" t="str">
        <f t="array" ref="C2469">INDEX('Báo cáo 75 trang đích'!$C$2:$C$76,$A2469)</f>
        <v>Wealth</v>
      </c>
      <c r="D2469" s="20" t="s">
        <v>1543</v>
      </c>
      <c r="E2469" s="22" t="s">
        <v>435</v>
      </c>
      <c r="F2469" s="22" t="s">
        <v>81</v>
      </c>
      <c r="G2469" s="22" t="s">
        <v>1996</v>
      </c>
      <c r="H2469" s="24" t="s">
        <v>59</v>
      </c>
      <c r="I2469" s="24" t="s">
        <v>59</v>
      </c>
      <c r="J2469" s="24" t="s">
        <v>60</v>
      </c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16">
        <v>75.0</v>
      </c>
      <c r="B2470" s="35" t="str">
        <f t="array" ref="B2470">INDEX('Báo cáo 75 trang đích'!$B$2:$B$76,$A2470)</f>
        <v>https://techcombank.com/thong-tin/blog/phuong-phap-dau-tu-chung-chi-quy</v>
      </c>
      <c r="C2470" s="5" t="str">
        <f t="array" ref="C2470">INDEX('Báo cáo 75 trang đích'!$C$2:$C$76,$A2470)</f>
        <v>Wealth</v>
      </c>
      <c r="D2470" s="20" t="s">
        <v>214</v>
      </c>
      <c r="E2470" s="22" t="s">
        <v>1258</v>
      </c>
      <c r="F2470" s="22" t="s">
        <v>81</v>
      </c>
      <c r="G2470" s="22" t="s">
        <v>1996</v>
      </c>
      <c r="H2470" s="24" t="s">
        <v>59</v>
      </c>
      <c r="I2470" s="24" t="s">
        <v>59</v>
      </c>
      <c r="J2470" s="24" t="s">
        <v>60</v>
      </c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16">
        <v>75.0</v>
      </c>
      <c r="B2471" s="35" t="str">
        <f t="array" ref="B2471">INDEX('Báo cáo 75 trang đích'!$B$2:$B$76,$A2471)</f>
        <v>https://techcombank.com/thong-tin/blog/phuong-phap-dau-tu-chung-chi-quy</v>
      </c>
      <c r="C2471" s="5" t="str">
        <f t="array" ref="C2471">INDEX('Báo cáo 75 trang đích'!$C$2:$C$76,$A2471)</f>
        <v>Wealth</v>
      </c>
      <c r="D2471" s="20" t="s">
        <v>1545</v>
      </c>
      <c r="E2471" s="22" t="s">
        <v>1261</v>
      </c>
      <c r="F2471" s="22" t="s">
        <v>81</v>
      </c>
      <c r="G2471" s="22" t="s">
        <v>1987</v>
      </c>
      <c r="H2471" s="24" t="s">
        <v>59</v>
      </c>
      <c r="I2471" s="24" t="s">
        <v>59</v>
      </c>
      <c r="J2471" s="24" t="s">
        <v>60</v>
      </c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16">
        <v>75.0</v>
      </c>
      <c r="B2472" s="35" t="str">
        <f t="array" ref="B2472">INDEX('Báo cáo 75 trang đích'!$B$2:$B$76,$A2472)</f>
        <v>https://techcombank.com/thong-tin/blog/phuong-phap-dau-tu-chung-chi-quy</v>
      </c>
      <c r="C2472" s="5" t="str">
        <f t="array" ref="C2472">INDEX('Báo cáo 75 trang đích'!$C$2:$C$76,$A2472)</f>
        <v>Wealth</v>
      </c>
      <c r="D2472" s="20" t="s">
        <v>831</v>
      </c>
      <c r="E2472" s="22" t="s">
        <v>435</v>
      </c>
      <c r="F2472" s="22" t="s">
        <v>81</v>
      </c>
      <c r="G2472" s="22" t="s">
        <v>1987</v>
      </c>
      <c r="H2472" s="24" t="s">
        <v>59</v>
      </c>
      <c r="I2472" s="24" t="s">
        <v>59</v>
      </c>
      <c r="J2472" s="24" t="s">
        <v>60</v>
      </c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16">
        <v>75.0</v>
      </c>
      <c r="B2473" s="35" t="str">
        <f t="array" ref="B2473">INDEX('Báo cáo 75 trang đích'!$B$2:$B$76,$A2473)</f>
        <v>https://techcombank.com/thong-tin/blog/phuong-phap-dau-tu-chung-chi-quy</v>
      </c>
      <c r="C2473" s="5" t="str">
        <f t="array" ref="C2473">INDEX('Báo cáo 75 trang đích'!$C$2:$C$76,$A2473)</f>
        <v>Wealth</v>
      </c>
      <c r="D2473" s="20" t="s">
        <v>1547</v>
      </c>
      <c r="E2473" s="22" t="s">
        <v>1258</v>
      </c>
      <c r="F2473" s="22" t="s">
        <v>81</v>
      </c>
      <c r="G2473" s="22" t="s">
        <v>1987</v>
      </c>
      <c r="H2473" s="24" t="s">
        <v>59</v>
      </c>
      <c r="I2473" s="24" t="s">
        <v>59</v>
      </c>
      <c r="J2473" s="24" t="s">
        <v>60</v>
      </c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16">
        <v>75.0</v>
      </c>
      <c r="B2474" s="35" t="str">
        <f t="array" ref="B2474">INDEX('Báo cáo 75 trang đích'!$B$2:$B$76,$A2474)</f>
        <v>https://techcombank.com/thong-tin/blog/phuong-phap-dau-tu-chung-chi-quy</v>
      </c>
      <c r="C2474" s="5" t="str">
        <f t="array" ref="C2474">INDEX('Báo cáo 75 trang đích'!$C$2:$C$76,$A2474)</f>
        <v>Wealth</v>
      </c>
      <c r="D2474" s="20" t="s">
        <v>1279</v>
      </c>
      <c r="E2474" s="22" t="s">
        <v>1261</v>
      </c>
      <c r="F2474" s="22" t="s">
        <v>81</v>
      </c>
      <c r="G2474" s="22" t="s">
        <v>1987</v>
      </c>
      <c r="H2474" s="24" t="s">
        <v>59</v>
      </c>
      <c r="I2474" s="24" t="s">
        <v>59</v>
      </c>
      <c r="J2474" s="24" t="s">
        <v>60</v>
      </c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16">
        <v>75.0</v>
      </c>
      <c r="B2475" s="35" t="str">
        <f t="array" ref="B2475">INDEX('Báo cáo 75 trang đích'!$B$2:$B$76,$A2475)</f>
        <v>https://techcombank.com/thong-tin/blog/phuong-phap-dau-tu-chung-chi-quy</v>
      </c>
      <c r="C2475" s="5" t="str">
        <f t="array" ref="C2475">INDEX('Báo cáo 75 trang đích'!$C$2:$C$76,$A2475)</f>
        <v>Wealth</v>
      </c>
      <c r="D2475" s="20" t="s">
        <v>1548</v>
      </c>
      <c r="E2475" s="22" t="s">
        <v>435</v>
      </c>
      <c r="F2475" s="22" t="s">
        <v>81</v>
      </c>
      <c r="G2475" s="22" t="s">
        <v>1987</v>
      </c>
      <c r="H2475" s="24" t="s">
        <v>59</v>
      </c>
      <c r="I2475" s="24" t="s">
        <v>59</v>
      </c>
      <c r="J2475" s="24" t="s">
        <v>60</v>
      </c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16">
        <v>75.0</v>
      </c>
      <c r="B2476" s="35" t="str">
        <f t="array" ref="B2476">INDEX('Báo cáo 75 trang đích'!$B$2:$B$76,$A2476)</f>
        <v>https://techcombank.com/thong-tin/blog/phuong-phap-dau-tu-chung-chi-quy</v>
      </c>
      <c r="C2476" s="5" t="str">
        <f t="array" ref="C2476">INDEX('Báo cáo 75 trang đích'!$C$2:$C$76,$A2476)</f>
        <v>Wealth</v>
      </c>
      <c r="D2476" s="20" t="s">
        <v>217</v>
      </c>
      <c r="E2476" s="22" t="s">
        <v>1258</v>
      </c>
      <c r="F2476" s="22" t="s">
        <v>81</v>
      </c>
      <c r="G2476" s="22" t="s">
        <v>1987</v>
      </c>
      <c r="H2476" s="24" t="s">
        <v>59</v>
      </c>
      <c r="I2476" s="24" t="s">
        <v>59</v>
      </c>
      <c r="J2476" s="24" t="s">
        <v>60</v>
      </c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16">
        <v>75.0</v>
      </c>
      <c r="B2477" s="35" t="str">
        <f t="array" ref="B2477">INDEX('Báo cáo 75 trang đích'!$B$2:$B$76,$A2477)</f>
        <v>https://techcombank.com/thong-tin/blog/phuong-phap-dau-tu-chung-chi-quy</v>
      </c>
      <c r="C2477" s="5" t="str">
        <f t="array" ref="C2477">INDEX('Báo cáo 75 trang đích'!$C$2:$C$76,$A2477)</f>
        <v>Wealth</v>
      </c>
      <c r="D2477" s="20" t="s">
        <v>1102</v>
      </c>
      <c r="E2477" s="22" t="s">
        <v>1261</v>
      </c>
      <c r="F2477" s="22" t="s">
        <v>81</v>
      </c>
      <c r="G2477" s="22" t="s">
        <v>1987</v>
      </c>
      <c r="H2477" s="24" t="s">
        <v>59</v>
      </c>
      <c r="I2477" s="24" t="s">
        <v>59</v>
      </c>
      <c r="J2477" s="24" t="s">
        <v>60</v>
      </c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16">
        <v>75.0</v>
      </c>
      <c r="B2478" s="35" t="str">
        <f t="array" ref="B2478">INDEX('Báo cáo 75 trang đích'!$B$2:$B$76,$A2478)</f>
        <v>https://techcombank.com/thong-tin/blog/phuong-phap-dau-tu-chung-chi-quy</v>
      </c>
      <c r="C2478" s="5" t="str">
        <f t="array" ref="C2478">INDEX('Báo cáo 75 trang đích'!$C$2:$C$76,$A2478)</f>
        <v>Wealth</v>
      </c>
      <c r="D2478" s="20" t="s">
        <v>1405</v>
      </c>
      <c r="E2478" s="22" t="s">
        <v>435</v>
      </c>
      <c r="F2478" s="22" t="s">
        <v>81</v>
      </c>
      <c r="G2478" s="22" t="s">
        <v>1987</v>
      </c>
      <c r="H2478" s="24" t="s">
        <v>59</v>
      </c>
      <c r="I2478" s="24" t="s">
        <v>59</v>
      </c>
      <c r="J2478" s="24" t="s">
        <v>60</v>
      </c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16">
        <v>75.0</v>
      </c>
      <c r="B2479" s="35" t="str">
        <f t="array" ref="B2479">INDEX('Báo cáo 75 trang đích'!$B$2:$B$76,$A2479)</f>
        <v>https://techcombank.com/thong-tin/blog/phuong-phap-dau-tu-chung-chi-quy</v>
      </c>
      <c r="C2479" s="5" t="str">
        <f t="array" ref="C2479">INDEX('Báo cáo 75 trang đích'!$C$2:$C$76,$A2479)</f>
        <v>Wealth</v>
      </c>
      <c r="D2479" s="20" t="s">
        <v>840</v>
      </c>
      <c r="E2479" s="22" t="s">
        <v>1258</v>
      </c>
      <c r="F2479" s="22" t="s">
        <v>81</v>
      </c>
      <c r="G2479" s="22" t="s">
        <v>1987</v>
      </c>
      <c r="H2479" s="24" t="s">
        <v>59</v>
      </c>
      <c r="I2479" s="24" t="s">
        <v>59</v>
      </c>
      <c r="J2479" s="24" t="s">
        <v>60</v>
      </c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16">
        <v>75.0</v>
      </c>
      <c r="B2480" s="35" t="str">
        <f t="array" ref="B2480">INDEX('Báo cáo 75 trang đích'!$B$2:$B$76,$A2480)</f>
        <v>https://techcombank.com/thong-tin/blog/phuong-phap-dau-tu-chung-chi-quy</v>
      </c>
      <c r="C2480" s="5" t="str">
        <f t="array" ref="C2480">INDEX('Báo cáo 75 trang đích'!$C$2:$C$76,$A2480)</f>
        <v>Wealth</v>
      </c>
      <c r="D2480" s="20" t="s">
        <v>1997</v>
      </c>
      <c r="E2480" s="22" t="s">
        <v>1261</v>
      </c>
      <c r="F2480" s="22" t="s">
        <v>81</v>
      </c>
      <c r="G2480" s="22" t="s">
        <v>1987</v>
      </c>
      <c r="H2480" s="24" t="s">
        <v>59</v>
      </c>
      <c r="I2480" s="24" t="s">
        <v>59</v>
      </c>
      <c r="J2480" s="24" t="s">
        <v>60</v>
      </c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16">
        <v>75.0</v>
      </c>
      <c r="B2481" s="35" t="str">
        <f t="array" ref="B2481">INDEX('Báo cáo 75 trang đích'!$B$2:$B$76,$A2481)</f>
        <v>https://techcombank.com/thong-tin/blog/phuong-phap-dau-tu-chung-chi-quy</v>
      </c>
      <c r="C2481" s="5" t="str">
        <f t="array" ref="C2481">INDEX('Báo cáo 75 trang đích'!$C$2:$C$76,$A2481)</f>
        <v>Wealth</v>
      </c>
      <c r="D2481" s="20" t="s">
        <v>1549</v>
      </c>
      <c r="E2481" s="22" t="s">
        <v>435</v>
      </c>
      <c r="F2481" s="22" t="s">
        <v>81</v>
      </c>
      <c r="G2481" s="22" t="s">
        <v>1987</v>
      </c>
      <c r="H2481" s="24" t="s">
        <v>59</v>
      </c>
      <c r="I2481" s="24" t="s">
        <v>59</v>
      </c>
      <c r="J2481" s="24" t="s">
        <v>60</v>
      </c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16">
        <v>75.0</v>
      </c>
      <c r="B2482" s="35" t="str">
        <f t="array" ref="B2482">INDEX('Báo cáo 75 trang đích'!$B$2:$B$76,$A2482)</f>
        <v>https://techcombank.com/thong-tin/blog/phuong-phap-dau-tu-chung-chi-quy</v>
      </c>
      <c r="C2482" s="5" t="str">
        <f t="array" ref="C2482">INDEX('Báo cáo 75 trang đích'!$C$2:$C$76,$A2482)</f>
        <v>Wealth</v>
      </c>
      <c r="D2482" s="20" t="s">
        <v>1998</v>
      </c>
      <c r="E2482" s="22" t="s">
        <v>1258</v>
      </c>
      <c r="F2482" s="22" t="s">
        <v>81</v>
      </c>
      <c r="G2482" s="22" t="s">
        <v>1987</v>
      </c>
      <c r="H2482" s="24" t="s">
        <v>59</v>
      </c>
      <c r="I2482" s="24" t="s">
        <v>59</v>
      </c>
      <c r="J2482" s="24" t="s">
        <v>60</v>
      </c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16">
        <v>75.0</v>
      </c>
      <c r="B2483" s="35" t="str">
        <f t="array" ref="B2483">INDEX('Báo cáo 75 trang đích'!$B$2:$B$76,$A2483)</f>
        <v>https://techcombank.com/thong-tin/blog/phuong-phap-dau-tu-chung-chi-quy</v>
      </c>
      <c r="C2483" s="5" t="str">
        <f t="array" ref="C2483">INDEX('Báo cáo 75 trang đích'!$C$2:$C$76,$A2483)</f>
        <v>Wealth</v>
      </c>
      <c r="D2483" s="20" t="s">
        <v>1999</v>
      </c>
      <c r="E2483" s="22" t="s">
        <v>1261</v>
      </c>
      <c r="F2483" s="22" t="s">
        <v>81</v>
      </c>
      <c r="G2483" s="22" t="s">
        <v>1987</v>
      </c>
      <c r="H2483" s="24" t="s">
        <v>59</v>
      </c>
      <c r="I2483" s="24" t="s">
        <v>59</v>
      </c>
      <c r="J2483" s="24" t="s">
        <v>60</v>
      </c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16">
        <v>75.0</v>
      </c>
      <c r="B2484" s="35" t="str">
        <f t="array" ref="B2484">INDEX('Báo cáo 75 trang đích'!$B$2:$B$76,$A2484)</f>
        <v>https://techcombank.com/thong-tin/blog/phuong-phap-dau-tu-chung-chi-quy</v>
      </c>
      <c r="C2484" s="5" t="str">
        <f t="array" ref="C2484">INDEX('Báo cáo 75 trang đích'!$C$2:$C$76,$A2484)</f>
        <v>Wealth</v>
      </c>
      <c r="D2484" s="20" t="s">
        <v>2000</v>
      </c>
      <c r="E2484" s="22" t="s">
        <v>435</v>
      </c>
      <c r="F2484" s="22" t="s">
        <v>81</v>
      </c>
      <c r="G2484" s="22" t="s">
        <v>1987</v>
      </c>
      <c r="H2484" s="24" t="s">
        <v>59</v>
      </c>
      <c r="I2484" s="24" t="s">
        <v>59</v>
      </c>
      <c r="J2484" s="24" t="s">
        <v>60</v>
      </c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16">
        <v>75.0</v>
      </c>
      <c r="B2485" s="35" t="str">
        <f t="array" ref="B2485">INDEX('Báo cáo 75 trang đích'!$B$2:$B$76,$A2485)</f>
        <v>https://techcombank.com/thong-tin/blog/phuong-phap-dau-tu-chung-chi-quy</v>
      </c>
      <c r="C2485" s="5" t="str">
        <f t="array" ref="C2485">INDEX('Báo cáo 75 trang đích'!$C$2:$C$76,$A2485)</f>
        <v>Wealth</v>
      </c>
      <c r="D2485" s="20" t="s">
        <v>1912</v>
      </c>
      <c r="E2485" s="22" t="s">
        <v>1258</v>
      </c>
      <c r="F2485" s="22" t="s">
        <v>81</v>
      </c>
      <c r="G2485" s="22" t="s">
        <v>1996</v>
      </c>
      <c r="H2485" s="24" t="s">
        <v>59</v>
      </c>
      <c r="I2485" s="24" t="s">
        <v>59</v>
      </c>
      <c r="J2485" s="24" t="s">
        <v>60</v>
      </c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16">
        <v>75.0</v>
      </c>
      <c r="B2486" s="35" t="str">
        <f t="array" ref="B2486">INDEX('Báo cáo 75 trang đích'!$B$2:$B$76,$A2486)</f>
        <v>https://techcombank.com/thong-tin/blog/phuong-phap-dau-tu-chung-chi-quy</v>
      </c>
      <c r="C2486" s="5" t="str">
        <f t="array" ref="C2486">INDEX('Báo cáo 75 trang đích'!$C$2:$C$76,$A2486)</f>
        <v>Wealth</v>
      </c>
      <c r="D2486" s="20" t="s">
        <v>2001</v>
      </c>
      <c r="E2486" s="22" t="s">
        <v>1261</v>
      </c>
      <c r="F2486" s="22" t="s">
        <v>81</v>
      </c>
      <c r="G2486" s="22" t="s">
        <v>1996</v>
      </c>
      <c r="H2486" s="24" t="s">
        <v>59</v>
      </c>
      <c r="I2486" s="24" t="s">
        <v>59</v>
      </c>
      <c r="J2486" s="24" t="s">
        <v>60</v>
      </c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16">
        <v>75.0</v>
      </c>
      <c r="B2487" s="35" t="str">
        <f t="array" ref="B2487">INDEX('Báo cáo 75 trang đích'!$B$2:$B$76,$A2487)</f>
        <v>https://techcombank.com/thong-tin/blog/phuong-phap-dau-tu-chung-chi-quy</v>
      </c>
      <c r="C2487" s="5" t="str">
        <f t="array" ref="C2487">INDEX('Báo cáo 75 trang đích'!$C$2:$C$76,$A2487)</f>
        <v>Wealth</v>
      </c>
      <c r="D2487" s="20" t="s">
        <v>2002</v>
      </c>
      <c r="E2487" s="22" t="s">
        <v>435</v>
      </c>
      <c r="F2487" s="22" t="s">
        <v>81</v>
      </c>
      <c r="G2487" s="22" t="s">
        <v>1994</v>
      </c>
      <c r="H2487" s="24" t="s">
        <v>59</v>
      </c>
      <c r="I2487" s="24" t="s">
        <v>59</v>
      </c>
      <c r="J2487" s="24" t="s">
        <v>60</v>
      </c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16">
        <v>75.0</v>
      </c>
      <c r="B2488" s="35" t="str">
        <f t="array" ref="B2488">INDEX('Báo cáo 75 trang đích'!$B$2:$B$76,$A2488)</f>
        <v>https://techcombank.com/thong-tin/blog/phuong-phap-dau-tu-chung-chi-quy</v>
      </c>
      <c r="C2488" s="5" t="str">
        <f t="array" ref="C2488">INDEX('Báo cáo 75 trang đích'!$C$2:$C$76,$A2488)</f>
        <v>Wealth</v>
      </c>
      <c r="D2488" s="20" t="s">
        <v>1848</v>
      </c>
      <c r="E2488" s="22" t="s">
        <v>1258</v>
      </c>
      <c r="F2488" s="22" t="s">
        <v>81</v>
      </c>
      <c r="G2488" s="22" t="s">
        <v>1987</v>
      </c>
      <c r="H2488" s="24" t="s">
        <v>59</v>
      </c>
      <c r="I2488" s="24" t="s">
        <v>59</v>
      </c>
      <c r="J2488" s="24" t="s">
        <v>60</v>
      </c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16">
        <v>75.0</v>
      </c>
      <c r="B2489" s="35" t="str">
        <f t="array" ref="B2489">INDEX('Báo cáo 75 trang đích'!$B$2:$B$76,$A2489)</f>
        <v>https://techcombank.com/thong-tin/blog/phuong-phap-dau-tu-chung-chi-quy</v>
      </c>
      <c r="C2489" s="5" t="str">
        <f t="array" ref="C2489">INDEX('Báo cáo 75 trang đích'!$C$2:$C$76,$A2489)</f>
        <v>Wealth</v>
      </c>
      <c r="D2489" s="20" t="s">
        <v>2003</v>
      </c>
      <c r="E2489" s="22" t="s">
        <v>1261</v>
      </c>
      <c r="F2489" s="22" t="s">
        <v>81</v>
      </c>
      <c r="G2489" s="22" t="s">
        <v>1987</v>
      </c>
      <c r="H2489" s="24" t="s">
        <v>59</v>
      </c>
      <c r="I2489" s="24" t="s">
        <v>59</v>
      </c>
      <c r="J2489" s="24" t="s">
        <v>60</v>
      </c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16">
        <v>75.0</v>
      </c>
      <c r="B2490" s="35" t="str">
        <f t="array" ref="B2490">INDEX('Báo cáo 75 trang đích'!$B$2:$B$76,$A2490)</f>
        <v>https://techcombank.com/thong-tin/blog/phuong-phap-dau-tu-chung-chi-quy</v>
      </c>
      <c r="C2490" s="5" t="str">
        <f t="array" ref="C2490">INDEX('Báo cáo 75 trang đích'!$C$2:$C$76,$A2490)</f>
        <v>Wealth</v>
      </c>
      <c r="D2490" s="20" t="s">
        <v>1362</v>
      </c>
      <c r="E2490" s="22" t="s">
        <v>435</v>
      </c>
      <c r="F2490" s="22" t="s">
        <v>81</v>
      </c>
      <c r="G2490" s="22" t="s">
        <v>1987</v>
      </c>
      <c r="H2490" s="24" t="s">
        <v>59</v>
      </c>
      <c r="I2490" s="24" t="s">
        <v>59</v>
      </c>
      <c r="J2490" s="24" t="s">
        <v>60</v>
      </c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16">
        <v>75.0</v>
      </c>
      <c r="B2491" s="35" t="str">
        <f t="array" ref="B2491">INDEX('Báo cáo 75 trang đích'!$B$2:$B$76,$A2491)</f>
        <v>https://techcombank.com/thong-tin/blog/phuong-phap-dau-tu-chung-chi-quy</v>
      </c>
      <c r="C2491" s="5" t="str">
        <f t="array" ref="C2491">INDEX('Báo cáo 75 trang đích'!$C$2:$C$76,$A2491)</f>
        <v>Wealth</v>
      </c>
      <c r="D2491" s="20" t="s">
        <v>1409</v>
      </c>
      <c r="E2491" s="22" t="s">
        <v>1258</v>
      </c>
      <c r="F2491" s="22" t="s">
        <v>81</v>
      </c>
      <c r="G2491" s="22" t="s">
        <v>1987</v>
      </c>
      <c r="H2491" s="24" t="s">
        <v>59</v>
      </c>
      <c r="I2491" s="24" t="s">
        <v>59</v>
      </c>
      <c r="J2491" s="24" t="s">
        <v>60</v>
      </c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16">
        <v>75.0</v>
      </c>
      <c r="B2492" s="35" t="str">
        <f t="array" ref="B2492">INDEX('Báo cáo 75 trang đích'!$B$2:$B$76,$A2492)</f>
        <v>https://techcombank.com/thong-tin/blog/phuong-phap-dau-tu-chung-chi-quy</v>
      </c>
      <c r="C2492" s="5" t="str">
        <f t="array" ref="C2492">INDEX('Báo cáo 75 trang đích'!$C$2:$C$76,$A2492)</f>
        <v>Wealth</v>
      </c>
      <c r="D2492" s="20" t="s">
        <v>2004</v>
      </c>
      <c r="E2492" s="22" t="s">
        <v>1261</v>
      </c>
      <c r="F2492" s="22" t="s">
        <v>81</v>
      </c>
      <c r="G2492" s="22" t="s">
        <v>1994</v>
      </c>
      <c r="H2492" s="24" t="s">
        <v>59</v>
      </c>
      <c r="I2492" s="24" t="s">
        <v>59</v>
      </c>
      <c r="J2492" s="24" t="s">
        <v>60</v>
      </c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16">
        <v>75.0</v>
      </c>
      <c r="B2493" s="35" t="str">
        <f t="array" ref="B2493">INDEX('Báo cáo 75 trang đích'!$B$2:$B$76,$A2493)</f>
        <v>https://techcombank.com/thong-tin/blog/phuong-phap-dau-tu-chung-chi-quy</v>
      </c>
      <c r="C2493" s="5" t="str">
        <f t="array" ref="C2493">INDEX('Báo cáo 75 trang đích'!$C$2:$C$76,$A2493)</f>
        <v>Wealth</v>
      </c>
      <c r="D2493" s="20" t="s">
        <v>2005</v>
      </c>
      <c r="E2493" s="22" t="s">
        <v>435</v>
      </c>
      <c r="F2493" s="22" t="s">
        <v>81</v>
      </c>
      <c r="G2493" s="22" t="s">
        <v>1987</v>
      </c>
      <c r="H2493" s="24" t="s">
        <v>59</v>
      </c>
      <c r="I2493" s="24" t="s">
        <v>59</v>
      </c>
      <c r="J2493" s="24" t="s">
        <v>60</v>
      </c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16">
        <v>75.0</v>
      </c>
      <c r="B2494" s="35" t="str">
        <f t="array" ref="B2494">INDEX('Báo cáo 75 trang đích'!$B$2:$B$76,$A2494)</f>
        <v>https://techcombank.com/thong-tin/blog/phuong-phap-dau-tu-chung-chi-quy</v>
      </c>
      <c r="C2494" s="5" t="str">
        <f t="array" ref="C2494">INDEX('Báo cáo 75 trang đích'!$C$2:$C$76,$A2494)</f>
        <v>Wealth</v>
      </c>
      <c r="D2494" s="20" t="s">
        <v>1913</v>
      </c>
      <c r="E2494" s="22" t="s">
        <v>1258</v>
      </c>
      <c r="F2494" s="22" t="s">
        <v>81</v>
      </c>
      <c r="G2494" s="22" t="s">
        <v>1987</v>
      </c>
      <c r="H2494" s="24" t="s">
        <v>59</v>
      </c>
      <c r="I2494" s="24" t="s">
        <v>59</v>
      </c>
      <c r="J2494" s="24" t="s">
        <v>60</v>
      </c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16">
        <v>75.0</v>
      </c>
      <c r="B2495" s="35" t="str">
        <f t="array" ref="B2495">INDEX('Báo cáo 75 trang đích'!$B$2:$B$76,$A2495)</f>
        <v>https://techcombank.com/thong-tin/blog/phuong-phap-dau-tu-chung-chi-quy</v>
      </c>
      <c r="C2495" s="5" t="str">
        <f t="array" ref="C2495">INDEX('Báo cáo 75 trang đích'!$C$2:$C$76,$A2495)</f>
        <v>Wealth</v>
      </c>
      <c r="D2495" s="20" t="s">
        <v>1289</v>
      </c>
      <c r="E2495" s="22" t="s">
        <v>1261</v>
      </c>
      <c r="F2495" s="22" t="s">
        <v>81</v>
      </c>
      <c r="G2495" s="22" t="s">
        <v>1987</v>
      </c>
      <c r="H2495" s="24" t="s">
        <v>59</v>
      </c>
      <c r="I2495" s="24" t="s">
        <v>59</v>
      </c>
      <c r="J2495" s="24" t="s">
        <v>60</v>
      </c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16">
        <v>75.0</v>
      </c>
      <c r="B2496" s="35" t="str">
        <f t="array" ref="B2496">INDEX('Báo cáo 75 trang đích'!$B$2:$B$76,$A2496)</f>
        <v>https://techcombank.com/thong-tin/blog/phuong-phap-dau-tu-chung-chi-quy</v>
      </c>
      <c r="C2496" s="5" t="str">
        <f t="array" ref="C2496">INDEX('Báo cáo 75 trang đích'!$C$2:$C$76,$A2496)</f>
        <v>Wealth</v>
      </c>
      <c r="D2496" s="20" t="s">
        <v>225</v>
      </c>
      <c r="E2496" s="22" t="s">
        <v>435</v>
      </c>
      <c r="F2496" s="22" t="s">
        <v>81</v>
      </c>
      <c r="G2496" s="22" t="s">
        <v>1987</v>
      </c>
      <c r="H2496" s="24" t="s">
        <v>59</v>
      </c>
      <c r="I2496" s="24" t="s">
        <v>59</v>
      </c>
      <c r="J2496" s="24" t="s">
        <v>60</v>
      </c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16">
        <v>75.0</v>
      </c>
      <c r="B2497" s="35" t="str">
        <f t="array" ref="B2497">INDEX('Báo cáo 75 trang đích'!$B$2:$B$76,$A2497)</f>
        <v>https://techcombank.com/thong-tin/blog/phuong-phap-dau-tu-chung-chi-quy</v>
      </c>
      <c r="C2497" s="5" t="str">
        <f t="array" ref="C2497">INDEX('Báo cáo 75 trang đích'!$C$2:$C$76,$A2497)</f>
        <v>Wealth</v>
      </c>
      <c r="D2497" s="20" t="s">
        <v>1901</v>
      </c>
      <c r="E2497" s="22" t="s">
        <v>1258</v>
      </c>
      <c r="F2497" s="22" t="s">
        <v>81</v>
      </c>
      <c r="G2497" s="22" t="s">
        <v>1987</v>
      </c>
      <c r="H2497" s="24" t="s">
        <v>59</v>
      </c>
      <c r="I2497" s="24" t="s">
        <v>59</v>
      </c>
      <c r="J2497" s="24" t="s">
        <v>60</v>
      </c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16">
        <v>75.0</v>
      </c>
      <c r="B2498" s="35" t="str">
        <f t="array" ref="B2498">INDEX('Báo cáo 75 trang đích'!$B$2:$B$76,$A2498)</f>
        <v>https://techcombank.com/thong-tin/blog/phuong-phap-dau-tu-chung-chi-quy</v>
      </c>
      <c r="C2498" s="5" t="str">
        <f t="array" ref="C2498">INDEX('Báo cáo 75 trang đích'!$C$2:$C$76,$A2498)</f>
        <v>Wealth</v>
      </c>
      <c r="D2498" s="20" t="s">
        <v>1411</v>
      </c>
      <c r="E2498" s="22" t="s">
        <v>1261</v>
      </c>
      <c r="F2498" s="22" t="s">
        <v>81</v>
      </c>
      <c r="G2498" s="22" t="s">
        <v>1987</v>
      </c>
      <c r="H2498" s="24" t="s">
        <v>59</v>
      </c>
      <c r="I2498" s="24" t="s">
        <v>59</v>
      </c>
      <c r="J2498" s="24" t="s">
        <v>60</v>
      </c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16">
        <v>75.0</v>
      </c>
      <c r="B2499" s="35" t="str">
        <f t="array" ref="B2499">INDEX('Báo cáo 75 trang đích'!$B$2:$B$76,$A2499)</f>
        <v>https://techcombank.com/thong-tin/blog/phuong-phap-dau-tu-chung-chi-quy</v>
      </c>
      <c r="C2499" s="5" t="str">
        <f t="array" ref="C2499">INDEX('Báo cáo 75 trang đích'!$C$2:$C$76,$A2499)</f>
        <v>Wealth</v>
      </c>
      <c r="D2499" s="20" t="s">
        <v>2006</v>
      </c>
      <c r="E2499" s="22" t="s">
        <v>435</v>
      </c>
      <c r="F2499" s="22" t="s">
        <v>81</v>
      </c>
      <c r="G2499" s="22" t="s">
        <v>1987</v>
      </c>
      <c r="H2499" s="24" t="s">
        <v>59</v>
      </c>
      <c r="I2499" s="24" t="s">
        <v>59</v>
      </c>
      <c r="J2499" s="24" t="s">
        <v>60</v>
      </c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16">
        <v>75.0</v>
      </c>
      <c r="B2500" s="35" t="str">
        <f t="array" ref="B2500">INDEX('Báo cáo 75 trang đích'!$B$2:$B$76,$A2500)</f>
        <v>https://techcombank.com/thong-tin/blog/phuong-phap-dau-tu-chung-chi-quy</v>
      </c>
      <c r="C2500" s="5" t="str">
        <f t="array" ref="C2500">INDEX('Báo cáo 75 trang đích'!$C$2:$C$76,$A2500)</f>
        <v>Wealth</v>
      </c>
      <c r="D2500" s="20" t="s">
        <v>2007</v>
      </c>
      <c r="E2500" s="22" t="s">
        <v>1258</v>
      </c>
      <c r="F2500" s="22" t="s">
        <v>81</v>
      </c>
      <c r="G2500" s="22" t="s">
        <v>1987</v>
      </c>
      <c r="H2500" s="24" t="s">
        <v>59</v>
      </c>
      <c r="I2500" s="24" t="s">
        <v>59</v>
      </c>
      <c r="J2500" s="24" t="s">
        <v>60</v>
      </c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16">
        <v>75.0</v>
      </c>
      <c r="B2501" s="35" t="str">
        <f t="array" ref="B2501">INDEX('Báo cáo 75 trang đích'!$B$2:$B$76,$A2501)</f>
        <v>https://techcombank.com/thong-tin/blog/phuong-phap-dau-tu-chung-chi-quy</v>
      </c>
      <c r="C2501" s="5" t="str">
        <f t="array" ref="C2501">INDEX('Báo cáo 75 trang đích'!$C$2:$C$76,$A2501)</f>
        <v>Wealth</v>
      </c>
      <c r="D2501" s="20" t="s">
        <v>834</v>
      </c>
      <c r="E2501" s="22" t="s">
        <v>1261</v>
      </c>
      <c r="F2501" s="22" t="s">
        <v>81</v>
      </c>
      <c r="G2501" s="22" t="s">
        <v>1987</v>
      </c>
      <c r="H2501" s="24" t="s">
        <v>59</v>
      </c>
      <c r="I2501" s="24" t="s">
        <v>59</v>
      </c>
      <c r="J2501" s="24" t="s">
        <v>60</v>
      </c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16">
        <v>75.0</v>
      </c>
      <c r="B2502" s="35" t="str">
        <f t="array" ref="B2502">INDEX('Báo cáo 75 trang đích'!$B$2:$B$76,$A2502)</f>
        <v>https://techcombank.com/thong-tin/blog/phuong-phap-dau-tu-chung-chi-quy</v>
      </c>
      <c r="C2502" s="5" t="str">
        <f t="array" ref="C2502">INDEX('Báo cáo 75 trang đích'!$C$2:$C$76,$A2502)</f>
        <v>Wealth</v>
      </c>
      <c r="D2502" s="20" t="s">
        <v>836</v>
      </c>
      <c r="E2502" s="22" t="s">
        <v>435</v>
      </c>
      <c r="F2502" s="22" t="s">
        <v>81</v>
      </c>
      <c r="G2502" s="22" t="s">
        <v>1987</v>
      </c>
      <c r="H2502" s="24" t="s">
        <v>59</v>
      </c>
      <c r="I2502" s="24" t="s">
        <v>59</v>
      </c>
      <c r="J2502" s="24" t="s">
        <v>60</v>
      </c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16">
        <v>75.0</v>
      </c>
      <c r="B2503" s="35" t="str">
        <f t="array" ref="B2503">INDEX('Báo cáo 75 trang đích'!$B$2:$B$76,$A2503)</f>
        <v>https://techcombank.com/thong-tin/blog/phuong-phap-dau-tu-chung-chi-quy</v>
      </c>
      <c r="C2503" s="5" t="str">
        <f t="array" ref="C2503">INDEX('Báo cáo 75 trang đích'!$C$2:$C$76,$A2503)</f>
        <v>Wealth</v>
      </c>
      <c r="D2503" s="20" t="s">
        <v>2008</v>
      </c>
      <c r="E2503" s="22" t="s">
        <v>1258</v>
      </c>
      <c r="F2503" s="22" t="s">
        <v>81</v>
      </c>
      <c r="G2503" s="22" t="s">
        <v>1987</v>
      </c>
      <c r="H2503" s="24" t="s">
        <v>59</v>
      </c>
      <c r="I2503" s="24" t="s">
        <v>59</v>
      </c>
      <c r="J2503" s="24" t="s">
        <v>60</v>
      </c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16">
        <v>75.0</v>
      </c>
      <c r="B2504" s="35" t="str">
        <f t="array" ref="B2504">INDEX('Báo cáo 75 trang đích'!$B$2:$B$76,$A2504)</f>
        <v>https://techcombank.com/thong-tin/blog/phuong-phap-dau-tu-chung-chi-quy</v>
      </c>
      <c r="C2504" s="5" t="str">
        <f t="array" ref="C2504">INDEX('Báo cáo 75 trang đích'!$C$2:$C$76,$A2504)</f>
        <v>Wealth</v>
      </c>
      <c r="D2504" s="20" t="s">
        <v>2009</v>
      </c>
      <c r="E2504" s="22" t="s">
        <v>1261</v>
      </c>
      <c r="F2504" s="22" t="s">
        <v>81</v>
      </c>
      <c r="G2504" s="22" t="s">
        <v>1996</v>
      </c>
      <c r="H2504" s="24" t="s">
        <v>59</v>
      </c>
      <c r="I2504" s="24" t="s">
        <v>59</v>
      </c>
      <c r="J2504" s="24" t="s">
        <v>60</v>
      </c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16">
        <v>75.0</v>
      </c>
      <c r="B2505" s="35" t="str">
        <f t="array" ref="B2505">INDEX('Báo cáo 75 trang đích'!$B$2:$B$76,$A2505)</f>
        <v>https://techcombank.com/thong-tin/blog/phuong-phap-dau-tu-chung-chi-quy</v>
      </c>
      <c r="C2505" s="5" t="str">
        <f t="array" ref="C2505">INDEX('Báo cáo 75 trang đích'!$C$2:$C$76,$A2505)</f>
        <v>Wealth</v>
      </c>
      <c r="D2505" s="20" t="s">
        <v>2010</v>
      </c>
      <c r="E2505" s="22" t="s">
        <v>435</v>
      </c>
      <c r="F2505" s="22" t="s">
        <v>81</v>
      </c>
      <c r="G2505" s="22" t="s">
        <v>1987</v>
      </c>
      <c r="H2505" s="24" t="s">
        <v>59</v>
      </c>
      <c r="I2505" s="24" t="s">
        <v>59</v>
      </c>
      <c r="J2505" s="24" t="s">
        <v>60</v>
      </c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25"/>
      <c r="B2506" s="38"/>
      <c r="C2506" s="38"/>
      <c r="D2506" s="38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25"/>
      <c r="B2507" s="38"/>
      <c r="C2507" s="38"/>
      <c r="D2507" s="38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25"/>
      <c r="B2508" s="38"/>
      <c r="C2508" s="38"/>
      <c r="D2508" s="38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25"/>
      <c r="B2509" s="38"/>
      <c r="C2509" s="38"/>
      <c r="D2509" s="38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25"/>
      <c r="B2510" s="38"/>
      <c r="C2510" s="38"/>
      <c r="D2510" s="38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25"/>
      <c r="B2511" s="38"/>
      <c r="C2511" s="38"/>
      <c r="D2511" s="38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25"/>
      <c r="B2512" s="38"/>
      <c r="C2512" s="38"/>
      <c r="D2512" s="38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25"/>
      <c r="B2513" s="38"/>
      <c r="C2513" s="38"/>
      <c r="D2513" s="38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25"/>
      <c r="B2514" s="38"/>
      <c r="C2514" s="38"/>
      <c r="D2514" s="38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25"/>
      <c r="B2515" s="38"/>
      <c r="C2515" s="38"/>
      <c r="D2515" s="38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25"/>
      <c r="B2516" s="38"/>
      <c r="C2516" s="38"/>
      <c r="D2516" s="38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25"/>
      <c r="B2517" s="38"/>
      <c r="C2517" s="38"/>
      <c r="D2517" s="38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25"/>
      <c r="B2518" s="38"/>
      <c r="C2518" s="38"/>
      <c r="D2518" s="38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25"/>
      <c r="B2519" s="38"/>
      <c r="C2519" s="38"/>
      <c r="D2519" s="38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25"/>
      <c r="B2520" s="38"/>
      <c r="C2520" s="38"/>
      <c r="D2520" s="38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25"/>
      <c r="B2521" s="38"/>
      <c r="C2521" s="38"/>
      <c r="D2521" s="38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25"/>
      <c r="B2522" s="38"/>
      <c r="C2522" s="38"/>
      <c r="D2522" s="38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25"/>
      <c r="B2523" s="38"/>
      <c r="C2523" s="38"/>
      <c r="D2523" s="38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25"/>
      <c r="B2524" s="38"/>
      <c r="C2524" s="38"/>
      <c r="D2524" s="38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25"/>
      <c r="B2525" s="38"/>
      <c r="C2525" s="38"/>
      <c r="D2525" s="38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25"/>
      <c r="B2526" s="38"/>
      <c r="C2526" s="38"/>
      <c r="D2526" s="38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25"/>
      <c r="B2527" s="38"/>
      <c r="C2527" s="38"/>
      <c r="D2527" s="38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25"/>
      <c r="B2528" s="38"/>
      <c r="C2528" s="38"/>
      <c r="D2528" s="38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25"/>
      <c r="B2529" s="38"/>
      <c r="C2529" s="38"/>
      <c r="D2529" s="38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25"/>
      <c r="B2530" s="38"/>
      <c r="C2530" s="38"/>
      <c r="D2530" s="38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25"/>
      <c r="B2531" s="38"/>
      <c r="C2531" s="38"/>
      <c r="D2531" s="38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25"/>
      <c r="B2532" s="38"/>
      <c r="C2532" s="38"/>
      <c r="D2532" s="38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25"/>
      <c r="B2533" s="38"/>
      <c r="C2533" s="38"/>
      <c r="D2533" s="38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25"/>
      <c r="B2534" s="38"/>
      <c r="C2534" s="38"/>
      <c r="D2534" s="38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25"/>
      <c r="B2535" s="38"/>
      <c r="C2535" s="38"/>
      <c r="D2535" s="38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25"/>
      <c r="B2536" s="38"/>
      <c r="C2536" s="38"/>
      <c r="D2536" s="38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25"/>
      <c r="B2537" s="38"/>
      <c r="C2537" s="38"/>
      <c r="D2537" s="38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25"/>
      <c r="B2538" s="38"/>
      <c r="C2538" s="38"/>
      <c r="D2538" s="38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25"/>
      <c r="B2539" s="38"/>
      <c r="C2539" s="38"/>
      <c r="D2539" s="38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25"/>
      <c r="B2540" s="38"/>
      <c r="C2540" s="38"/>
      <c r="D2540" s="38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25"/>
      <c r="B2541" s="38"/>
      <c r="C2541" s="38"/>
      <c r="D2541" s="38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25"/>
      <c r="B2542" s="38"/>
      <c r="C2542" s="38"/>
      <c r="D2542" s="38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25"/>
      <c r="B2543" s="38"/>
      <c r="C2543" s="38"/>
      <c r="D2543" s="38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25"/>
      <c r="B2544" s="38"/>
      <c r="C2544" s="38"/>
      <c r="D2544" s="38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25"/>
      <c r="B2545" s="38"/>
      <c r="C2545" s="38"/>
      <c r="D2545" s="38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25"/>
      <c r="B2546" s="38"/>
      <c r="C2546" s="38"/>
      <c r="D2546" s="38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25"/>
      <c r="B2547" s="38"/>
      <c r="C2547" s="38"/>
      <c r="D2547" s="38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25"/>
      <c r="B2548" s="38"/>
      <c r="C2548" s="38"/>
      <c r="D2548" s="38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25"/>
      <c r="B2549" s="38"/>
      <c r="C2549" s="38"/>
      <c r="D2549" s="38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25"/>
      <c r="B2550" s="38"/>
      <c r="C2550" s="38"/>
      <c r="D2550" s="38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25"/>
      <c r="B2551" s="38"/>
      <c r="C2551" s="38"/>
      <c r="D2551" s="38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25"/>
      <c r="B2552" s="38"/>
      <c r="C2552" s="38"/>
      <c r="D2552" s="38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25"/>
      <c r="B2553" s="38"/>
      <c r="C2553" s="38"/>
      <c r="D2553" s="38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25"/>
      <c r="B2554" s="38"/>
      <c r="C2554" s="38"/>
      <c r="D2554" s="38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25"/>
      <c r="B2555" s="38"/>
      <c r="C2555" s="38"/>
      <c r="D2555" s="38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25"/>
      <c r="B2556" s="38"/>
      <c r="C2556" s="38"/>
      <c r="D2556" s="38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25"/>
      <c r="B2557" s="38"/>
      <c r="C2557" s="38"/>
      <c r="D2557" s="38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25"/>
      <c r="B2558" s="38"/>
      <c r="C2558" s="38"/>
      <c r="D2558" s="38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25"/>
      <c r="B2559" s="38"/>
      <c r="C2559" s="38"/>
      <c r="D2559" s="38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25"/>
      <c r="B2560" s="38"/>
      <c r="C2560" s="38"/>
      <c r="D2560" s="38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25"/>
      <c r="B2561" s="38"/>
      <c r="C2561" s="38"/>
      <c r="D2561" s="38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25"/>
      <c r="B2562" s="38"/>
      <c r="C2562" s="38"/>
      <c r="D2562" s="38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25"/>
      <c r="B2563" s="38"/>
      <c r="C2563" s="38"/>
      <c r="D2563" s="38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25"/>
      <c r="B2564" s="38"/>
      <c r="C2564" s="38"/>
      <c r="D2564" s="38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25"/>
      <c r="B2565" s="38"/>
      <c r="C2565" s="38"/>
      <c r="D2565" s="38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25"/>
      <c r="B2566" s="38"/>
      <c r="C2566" s="38"/>
      <c r="D2566" s="38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25"/>
      <c r="B2567" s="38"/>
      <c r="C2567" s="38"/>
      <c r="D2567" s="38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25"/>
      <c r="B2568" s="38"/>
      <c r="C2568" s="38"/>
      <c r="D2568" s="38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25"/>
      <c r="B2569" s="38"/>
      <c r="C2569" s="38"/>
      <c r="D2569" s="38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25"/>
      <c r="B2570" s="38"/>
      <c r="C2570" s="38"/>
      <c r="D2570" s="38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25"/>
      <c r="B2571" s="38"/>
      <c r="C2571" s="38"/>
      <c r="D2571" s="38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25"/>
      <c r="B2572" s="38"/>
      <c r="C2572" s="38"/>
      <c r="D2572" s="38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25"/>
      <c r="B2573" s="38"/>
      <c r="C2573" s="38"/>
      <c r="D2573" s="38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25"/>
      <c r="B2574" s="38"/>
      <c r="C2574" s="38"/>
      <c r="D2574" s="38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25"/>
      <c r="B2575" s="38"/>
      <c r="C2575" s="38"/>
      <c r="D2575" s="38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25"/>
      <c r="B2576" s="38"/>
      <c r="C2576" s="38"/>
      <c r="D2576" s="38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25"/>
      <c r="B2577" s="38"/>
      <c r="C2577" s="38"/>
      <c r="D2577" s="38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25"/>
      <c r="B2578" s="38"/>
      <c r="C2578" s="38"/>
      <c r="D2578" s="38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25"/>
      <c r="B2579" s="38"/>
      <c r="C2579" s="38"/>
      <c r="D2579" s="38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25"/>
      <c r="B2580" s="38"/>
      <c r="C2580" s="38"/>
      <c r="D2580" s="38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25"/>
      <c r="B2581" s="38"/>
      <c r="C2581" s="38"/>
      <c r="D2581" s="38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25"/>
      <c r="B2582" s="38"/>
      <c r="C2582" s="38"/>
      <c r="D2582" s="38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25"/>
      <c r="B2583" s="38"/>
      <c r="C2583" s="38"/>
      <c r="D2583" s="38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25"/>
      <c r="B2584" s="38"/>
      <c r="C2584" s="38"/>
      <c r="D2584" s="38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25"/>
      <c r="B2585" s="38"/>
      <c r="C2585" s="38"/>
      <c r="D2585" s="38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25"/>
      <c r="B2586" s="38"/>
      <c r="C2586" s="38"/>
      <c r="D2586" s="38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25"/>
      <c r="B2587" s="38"/>
      <c r="C2587" s="38"/>
      <c r="D2587" s="38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25"/>
      <c r="B2588" s="38"/>
      <c r="C2588" s="38"/>
      <c r="D2588" s="38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25"/>
      <c r="B2589" s="38"/>
      <c r="C2589" s="38"/>
      <c r="D2589" s="38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25"/>
      <c r="B2590" s="38"/>
      <c r="C2590" s="38"/>
      <c r="D2590" s="38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25"/>
      <c r="B2591" s="38"/>
      <c r="C2591" s="38"/>
      <c r="D2591" s="38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25"/>
      <c r="B2592" s="38"/>
      <c r="C2592" s="38"/>
      <c r="D2592" s="38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25"/>
      <c r="B2593" s="38"/>
      <c r="C2593" s="38"/>
      <c r="D2593" s="38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25"/>
      <c r="B2594" s="38"/>
      <c r="C2594" s="38"/>
      <c r="D2594" s="38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25"/>
      <c r="B2595" s="38"/>
      <c r="C2595" s="38"/>
      <c r="D2595" s="38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25"/>
      <c r="B2596" s="38"/>
      <c r="C2596" s="38"/>
      <c r="D2596" s="38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25"/>
      <c r="B2597" s="38"/>
      <c r="C2597" s="38"/>
      <c r="D2597" s="38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25"/>
      <c r="B2598" s="38"/>
      <c r="C2598" s="38"/>
      <c r="D2598" s="38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25"/>
      <c r="B2599" s="38"/>
      <c r="C2599" s="38"/>
      <c r="D2599" s="38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25"/>
      <c r="B2600" s="38"/>
      <c r="C2600" s="38"/>
      <c r="D2600" s="38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</sheetData>
  <conditionalFormatting sqref="F2:F2600">
    <cfRule type="cellIs" dxfId="6" priority="1" stopIfTrue="1" operator="equal">
      <formula>"CẦN SOÁT"</formula>
    </cfRule>
  </conditionalFormatting>
  <conditionalFormatting sqref="F2:F2600">
    <cfRule type="cellIs" dxfId="4" priority="2" stopIfTrue="1" operator="equal">
      <formula>"CÓ THỂ ĐI"</formula>
    </cfRule>
  </conditionalFormatting>
  <conditionalFormatting sqref="F2:F2600">
    <cfRule type="cellIs" dxfId="5" priority="3" stopIfTrue="1" operator="equal">
      <formula>"PHÙ HỢP CAO"</formula>
    </cfRule>
  </conditionalFormatting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  <hyperlink r:id="rId80" ref="D81"/>
    <hyperlink r:id="rId81" ref="D82"/>
    <hyperlink r:id="rId82" ref="D83"/>
    <hyperlink r:id="rId83" ref="D84"/>
    <hyperlink r:id="rId84" ref="D85"/>
    <hyperlink r:id="rId85" ref="D86"/>
    <hyperlink r:id="rId86" ref="D87"/>
    <hyperlink r:id="rId87" ref="D88"/>
    <hyperlink r:id="rId88" ref="D89"/>
    <hyperlink r:id="rId89" ref="D90"/>
    <hyperlink r:id="rId90" ref="D91"/>
    <hyperlink r:id="rId91" ref="D92"/>
    <hyperlink r:id="rId92" ref="D93"/>
    <hyperlink r:id="rId93" ref="D94"/>
    <hyperlink r:id="rId94" ref="D95"/>
    <hyperlink r:id="rId95" ref="D96"/>
    <hyperlink r:id="rId96" ref="D97"/>
    <hyperlink r:id="rId97" ref="D98"/>
    <hyperlink r:id="rId98" ref="D99"/>
    <hyperlink r:id="rId99" ref="D100"/>
    <hyperlink r:id="rId100" ref="D101"/>
    <hyperlink r:id="rId101" ref="D102"/>
    <hyperlink r:id="rId102" ref="D103"/>
    <hyperlink r:id="rId103" ref="D104"/>
    <hyperlink r:id="rId104" ref="D105"/>
    <hyperlink r:id="rId105" ref="D106"/>
    <hyperlink r:id="rId106" ref="D107"/>
    <hyperlink r:id="rId107" ref="D108"/>
    <hyperlink r:id="rId108" ref="D109"/>
    <hyperlink r:id="rId109" ref="D110"/>
    <hyperlink r:id="rId110" ref="D111"/>
    <hyperlink r:id="rId111" ref="D112"/>
    <hyperlink r:id="rId112" ref="D113"/>
    <hyperlink r:id="rId113" ref="D114"/>
    <hyperlink r:id="rId114" ref="D115"/>
    <hyperlink r:id="rId115" ref="D116"/>
    <hyperlink r:id="rId116" ref="D117"/>
    <hyperlink r:id="rId117" ref="D118"/>
    <hyperlink r:id="rId118" ref="D119"/>
    <hyperlink r:id="rId119" ref="D120"/>
    <hyperlink r:id="rId120" ref="D121"/>
    <hyperlink r:id="rId121" ref="D122"/>
    <hyperlink r:id="rId122" ref="D123"/>
    <hyperlink r:id="rId123" ref="D124"/>
    <hyperlink r:id="rId124" ref="D125"/>
    <hyperlink r:id="rId125" ref="D126"/>
    <hyperlink r:id="rId126" ref="D127"/>
    <hyperlink r:id="rId127" ref="D128"/>
    <hyperlink r:id="rId128" ref="D129"/>
    <hyperlink r:id="rId129" ref="D130"/>
    <hyperlink r:id="rId130" ref="D131"/>
    <hyperlink r:id="rId131" ref="D132"/>
    <hyperlink r:id="rId132" ref="D133"/>
    <hyperlink r:id="rId133" ref="D134"/>
    <hyperlink r:id="rId134" ref="D135"/>
    <hyperlink r:id="rId135" ref="D136"/>
    <hyperlink r:id="rId136" ref="D137"/>
    <hyperlink r:id="rId137" ref="D138"/>
    <hyperlink r:id="rId138" ref="D139"/>
    <hyperlink r:id="rId139" ref="D140"/>
    <hyperlink r:id="rId140" ref="D141"/>
    <hyperlink r:id="rId141" ref="D142"/>
    <hyperlink r:id="rId142" ref="D143"/>
    <hyperlink r:id="rId143" ref="D144"/>
    <hyperlink r:id="rId144" ref="D145"/>
    <hyperlink r:id="rId145" ref="D146"/>
    <hyperlink r:id="rId146" ref="D147"/>
    <hyperlink r:id="rId147" ref="D148"/>
    <hyperlink r:id="rId148" ref="D149"/>
    <hyperlink r:id="rId149" ref="D150"/>
    <hyperlink r:id="rId150" ref="D151"/>
    <hyperlink r:id="rId151" ref="D152"/>
    <hyperlink r:id="rId152" ref="D153"/>
    <hyperlink r:id="rId153" ref="D154"/>
    <hyperlink r:id="rId154" ref="D155"/>
    <hyperlink r:id="rId155" ref="D156"/>
    <hyperlink r:id="rId156" ref="D157"/>
    <hyperlink r:id="rId157" ref="D158"/>
    <hyperlink r:id="rId158" ref="D159"/>
    <hyperlink r:id="rId159" ref="D160"/>
    <hyperlink r:id="rId160" ref="D161"/>
    <hyperlink r:id="rId161" ref="D162"/>
    <hyperlink r:id="rId162" ref="D163"/>
    <hyperlink r:id="rId163" ref="D164"/>
    <hyperlink r:id="rId164" ref="D165"/>
    <hyperlink r:id="rId165" ref="D166"/>
    <hyperlink r:id="rId166" ref="D167"/>
    <hyperlink r:id="rId167" ref="D168"/>
    <hyperlink r:id="rId168" ref="D169"/>
    <hyperlink r:id="rId169" ref="D170"/>
    <hyperlink r:id="rId170" ref="D171"/>
    <hyperlink r:id="rId171" ref="D172"/>
    <hyperlink r:id="rId172" ref="D173"/>
    <hyperlink r:id="rId173" ref="D174"/>
    <hyperlink r:id="rId174" ref="D175"/>
    <hyperlink r:id="rId175" ref="D176"/>
    <hyperlink r:id="rId176" ref="D177"/>
    <hyperlink r:id="rId177" ref="D178"/>
    <hyperlink r:id="rId178" ref="D179"/>
    <hyperlink r:id="rId179" ref="D180"/>
    <hyperlink r:id="rId180" ref="D181"/>
    <hyperlink r:id="rId181" ref="D182"/>
    <hyperlink r:id="rId182" ref="D183"/>
    <hyperlink r:id="rId183" ref="D184"/>
    <hyperlink r:id="rId184" ref="D185"/>
    <hyperlink r:id="rId185" ref="D186"/>
    <hyperlink r:id="rId186" ref="D187"/>
    <hyperlink r:id="rId187" ref="D188"/>
    <hyperlink r:id="rId188" ref="D189"/>
    <hyperlink r:id="rId189" ref="D190"/>
    <hyperlink r:id="rId190" ref="D191"/>
    <hyperlink r:id="rId191" ref="D192"/>
    <hyperlink r:id="rId192" ref="D193"/>
    <hyperlink r:id="rId193" ref="D194"/>
    <hyperlink r:id="rId194" ref="D195"/>
    <hyperlink r:id="rId195" ref="D196"/>
    <hyperlink r:id="rId196" ref="D197"/>
    <hyperlink r:id="rId197" ref="D198"/>
    <hyperlink r:id="rId198" ref="D199"/>
    <hyperlink r:id="rId199" ref="D200"/>
    <hyperlink r:id="rId200" ref="D201"/>
    <hyperlink r:id="rId201" ref="D202"/>
    <hyperlink r:id="rId202" ref="D203"/>
    <hyperlink r:id="rId203" ref="D204"/>
    <hyperlink r:id="rId204" ref="D205"/>
    <hyperlink r:id="rId205" ref="D206"/>
    <hyperlink r:id="rId206" ref="D207"/>
    <hyperlink r:id="rId207" ref="D208"/>
    <hyperlink r:id="rId208" ref="D209"/>
    <hyperlink r:id="rId209" ref="D210"/>
    <hyperlink r:id="rId210" ref="D211"/>
    <hyperlink r:id="rId211" ref="D212"/>
    <hyperlink r:id="rId212" ref="D213"/>
    <hyperlink r:id="rId213" ref="D214"/>
    <hyperlink r:id="rId214" ref="D215"/>
    <hyperlink r:id="rId215" ref="D216"/>
    <hyperlink r:id="rId216" ref="D217"/>
    <hyperlink r:id="rId217" ref="D218"/>
    <hyperlink r:id="rId218" ref="D219"/>
    <hyperlink r:id="rId219" ref="D220"/>
    <hyperlink r:id="rId220" ref="D221"/>
    <hyperlink r:id="rId221" ref="D222"/>
    <hyperlink r:id="rId222" ref="D223"/>
    <hyperlink r:id="rId223" ref="D224"/>
    <hyperlink r:id="rId224" ref="D225"/>
    <hyperlink r:id="rId225" ref="D226"/>
    <hyperlink r:id="rId226" ref="D227"/>
    <hyperlink r:id="rId227" ref="D228"/>
    <hyperlink r:id="rId228" ref="D229"/>
    <hyperlink r:id="rId229" ref="D230"/>
    <hyperlink r:id="rId230" ref="D231"/>
    <hyperlink r:id="rId231" ref="D232"/>
    <hyperlink r:id="rId232" ref="D233"/>
    <hyperlink r:id="rId233" ref="D234"/>
    <hyperlink r:id="rId234" ref="D235"/>
    <hyperlink r:id="rId235" ref="D236"/>
    <hyperlink r:id="rId236" ref="D237"/>
    <hyperlink r:id="rId237" ref="D238"/>
    <hyperlink r:id="rId238" ref="D239"/>
    <hyperlink r:id="rId239" ref="D240"/>
    <hyperlink r:id="rId240" ref="D241"/>
    <hyperlink r:id="rId241" ref="D242"/>
    <hyperlink r:id="rId242" ref="D243"/>
    <hyperlink r:id="rId243" ref="D244"/>
    <hyperlink r:id="rId244" ref="D245"/>
    <hyperlink r:id="rId245" ref="D246"/>
    <hyperlink r:id="rId246" ref="D247"/>
    <hyperlink r:id="rId247" ref="D248"/>
    <hyperlink r:id="rId248" ref="D249"/>
    <hyperlink r:id="rId249" ref="D250"/>
    <hyperlink r:id="rId250" ref="D251"/>
    <hyperlink r:id="rId251" ref="D252"/>
    <hyperlink r:id="rId252" ref="D253"/>
    <hyperlink r:id="rId253" ref="D254"/>
    <hyperlink r:id="rId254" ref="D255"/>
    <hyperlink r:id="rId255" ref="D256"/>
    <hyperlink r:id="rId256" ref="D257"/>
    <hyperlink r:id="rId257" ref="D258"/>
    <hyperlink r:id="rId258" ref="D259"/>
    <hyperlink r:id="rId259" ref="D260"/>
    <hyperlink r:id="rId260" ref="D261"/>
    <hyperlink r:id="rId261" ref="D262"/>
    <hyperlink r:id="rId262" ref="D263"/>
    <hyperlink r:id="rId263" ref="D264"/>
    <hyperlink r:id="rId264" ref="D265"/>
    <hyperlink r:id="rId265" ref="D266"/>
    <hyperlink r:id="rId266" ref="D267"/>
    <hyperlink r:id="rId267" ref="D268"/>
    <hyperlink r:id="rId268" ref="D269"/>
    <hyperlink r:id="rId269" ref="D270"/>
    <hyperlink r:id="rId270" ref="D271"/>
    <hyperlink r:id="rId271" ref="D272"/>
    <hyperlink r:id="rId272" ref="D273"/>
    <hyperlink r:id="rId273" ref="D274"/>
    <hyperlink r:id="rId274" ref="D275"/>
    <hyperlink r:id="rId275" ref="D276"/>
    <hyperlink r:id="rId276" ref="D277"/>
    <hyperlink r:id="rId277" ref="D278"/>
    <hyperlink r:id="rId278" ref="D279"/>
    <hyperlink r:id="rId279" ref="D280"/>
    <hyperlink r:id="rId280" ref="D281"/>
    <hyperlink r:id="rId281" ref="D282"/>
    <hyperlink r:id="rId282" ref="D283"/>
    <hyperlink r:id="rId283" ref="D284"/>
    <hyperlink r:id="rId284" ref="D285"/>
    <hyperlink r:id="rId285" ref="D286"/>
    <hyperlink r:id="rId286" ref="D287"/>
    <hyperlink r:id="rId287" ref="D288"/>
    <hyperlink r:id="rId288" ref="D289"/>
    <hyperlink r:id="rId289" ref="D290"/>
    <hyperlink r:id="rId290" ref="D291"/>
    <hyperlink r:id="rId291" ref="D292"/>
    <hyperlink r:id="rId292" ref="D293"/>
    <hyperlink r:id="rId293" ref="D294"/>
    <hyperlink r:id="rId294" ref="D295"/>
    <hyperlink r:id="rId295" ref="D296"/>
    <hyperlink r:id="rId296" ref="D297"/>
    <hyperlink r:id="rId297" ref="D298"/>
    <hyperlink r:id="rId298" ref="D299"/>
    <hyperlink r:id="rId299" ref="D300"/>
    <hyperlink r:id="rId300" ref="D301"/>
    <hyperlink r:id="rId301" ref="D302"/>
    <hyperlink r:id="rId302" ref="D303"/>
    <hyperlink r:id="rId303" ref="D304"/>
    <hyperlink r:id="rId304" ref="D305"/>
    <hyperlink r:id="rId305" ref="D306"/>
    <hyperlink r:id="rId306" ref="D307"/>
    <hyperlink r:id="rId307" ref="D308"/>
    <hyperlink r:id="rId308" ref="D309"/>
    <hyperlink r:id="rId309" ref="D310"/>
    <hyperlink r:id="rId310" ref="D311"/>
    <hyperlink r:id="rId311" ref="D312"/>
    <hyperlink r:id="rId312" ref="D313"/>
    <hyperlink r:id="rId313" ref="D314"/>
    <hyperlink r:id="rId314" ref="D315"/>
    <hyperlink r:id="rId315" ref="D316"/>
    <hyperlink r:id="rId316" ref="D317"/>
    <hyperlink r:id="rId317" ref="D318"/>
    <hyperlink r:id="rId318" ref="D319"/>
    <hyperlink r:id="rId319" ref="D320"/>
    <hyperlink r:id="rId320" ref="D321"/>
    <hyperlink r:id="rId321" ref="D322"/>
    <hyperlink r:id="rId322" ref="D323"/>
    <hyperlink r:id="rId323" ref="D324"/>
    <hyperlink r:id="rId324" ref="D325"/>
    <hyperlink r:id="rId325" ref="D326"/>
    <hyperlink r:id="rId326" ref="D327"/>
    <hyperlink r:id="rId327" ref="D328"/>
    <hyperlink r:id="rId328" ref="D329"/>
    <hyperlink r:id="rId329" ref="D330"/>
    <hyperlink r:id="rId330" ref="D331"/>
    <hyperlink r:id="rId331" ref="D332"/>
    <hyperlink r:id="rId332" ref="D333"/>
    <hyperlink r:id="rId333" ref="D334"/>
    <hyperlink r:id="rId334" ref="D335"/>
    <hyperlink r:id="rId335" ref="D336"/>
    <hyperlink r:id="rId336" ref="D337"/>
    <hyperlink r:id="rId337" ref="D338"/>
    <hyperlink r:id="rId338" ref="D339"/>
    <hyperlink r:id="rId339" ref="D340"/>
    <hyperlink r:id="rId340" ref="D341"/>
    <hyperlink r:id="rId341" ref="D342"/>
    <hyperlink r:id="rId342" ref="D343"/>
    <hyperlink r:id="rId343" ref="D344"/>
    <hyperlink r:id="rId344" ref="D345"/>
    <hyperlink r:id="rId345" ref="D346"/>
    <hyperlink r:id="rId346" ref="D347"/>
    <hyperlink r:id="rId347" ref="D348"/>
    <hyperlink r:id="rId348" ref="D349"/>
    <hyperlink r:id="rId349" ref="D350"/>
    <hyperlink r:id="rId350" ref="D351"/>
    <hyperlink r:id="rId351" ref="D352"/>
    <hyperlink r:id="rId352" ref="D353"/>
    <hyperlink r:id="rId353" ref="D354"/>
    <hyperlink r:id="rId354" ref="D355"/>
    <hyperlink r:id="rId355" ref="D356"/>
    <hyperlink r:id="rId356" ref="D357"/>
    <hyperlink r:id="rId357" ref="D358"/>
    <hyperlink r:id="rId358" ref="D359"/>
    <hyperlink r:id="rId359" ref="D360"/>
    <hyperlink r:id="rId360" ref="D361"/>
    <hyperlink r:id="rId361" ref="D362"/>
    <hyperlink r:id="rId362" ref="D363"/>
    <hyperlink r:id="rId363" ref="D364"/>
    <hyperlink r:id="rId364" ref="D365"/>
    <hyperlink r:id="rId365" ref="D366"/>
    <hyperlink r:id="rId366" ref="D367"/>
    <hyperlink r:id="rId367" ref="D368"/>
    <hyperlink r:id="rId368" ref="D369"/>
    <hyperlink r:id="rId369" ref="D370"/>
    <hyperlink r:id="rId370" ref="D371"/>
    <hyperlink r:id="rId371" ref="D372"/>
    <hyperlink r:id="rId372" ref="D373"/>
    <hyperlink r:id="rId373" ref="D374"/>
    <hyperlink r:id="rId374" ref="D375"/>
    <hyperlink r:id="rId375" ref="D376"/>
    <hyperlink r:id="rId376" ref="D377"/>
    <hyperlink r:id="rId377" ref="D378"/>
    <hyperlink r:id="rId378" ref="D379"/>
    <hyperlink r:id="rId379" ref="D380"/>
    <hyperlink r:id="rId380" ref="D381"/>
    <hyperlink r:id="rId381" ref="D382"/>
    <hyperlink r:id="rId382" ref="D383"/>
    <hyperlink r:id="rId383" ref="D384"/>
    <hyperlink r:id="rId384" ref="D385"/>
    <hyperlink r:id="rId385" ref="D386"/>
    <hyperlink r:id="rId386" ref="D387"/>
    <hyperlink r:id="rId387" ref="D388"/>
    <hyperlink r:id="rId388" ref="D389"/>
    <hyperlink r:id="rId389" ref="D390"/>
    <hyperlink r:id="rId390" ref="D391"/>
    <hyperlink r:id="rId391" ref="D392"/>
    <hyperlink r:id="rId392" ref="D393"/>
    <hyperlink r:id="rId393" ref="D394"/>
    <hyperlink r:id="rId394" ref="D395"/>
    <hyperlink r:id="rId395" ref="D396"/>
    <hyperlink r:id="rId396" ref="D397"/>
    <hyperlink r:id="rId397" ref="D398"/>
    <hyperlink r:id="rId398" ref="D399"/>
    <hyperlink r:id="rId399" ref="D400"/>
    <hyperlink r:id="rId400" ref="D401"/>
    <hyperlink r:id="rId401" ref="D402"/>
    <hyperlink r:id="rId402" ref="D403"/>
    <hyperlink r:id="rId403" ref="D404"/>
    <hyperlink r:id="rId404" ref="D405"/>
    <hyperlink r:id="rId405" ref="D406"/>
    <hyperlink r:id="rId406" ref="D407"/>
    <hyperlink r:id="rId407" ref="D408"/>
    <hyperlink r:id="rId408" ref="D409"/>
    <hyperlink r:id="rId409" ref="D410"/>
    <hyperlink r:id="rId410" ref="D411"/>
    <hyperlink r:id="rId411" ref="D412"/>
    <hyperlink r:id="rId412" ref="D413"/>
    <hyperlink r:id="rId413" ref="D414"/>
    <hyperlink r:id="rId414" ref="D415"/>
    <hyperlink r:id="rId415" ref="D416"/>
    <hyperlink r:id="rId416" ref="D417"/>
    <hyperlink r:id="rId417" ref="D418"/>
    <hyperlink r:id="rId418" ref="D419"/>
    <hyperlink r:id="rId419" ref="D420"/>
    <hyperlink r:id="rId420" ref="D421"/>
    <hyperlink r:id="rId421" ref="D422"/>
    <hyperlink r:id="rId422" ref="D423"/>
    <hyperlink r:id="rId423" ref="D424"/>
    <hyperlink r:id="rId424" ref="D425"/>
    <hyperlink r:id="rId425" ref="D426"/>
    <hyperlink r:id="rId426" ref="D427"/>
    <hyperlink r:id="rId427" ref="D428"/>
    <hyperlink r:id="rId428" ref="D429"/>
    <hyperlink r:id="rId429" ref="D430"/>
    <hyperlink r:id="rId430" ref="D431"/>
    <hyperlink r:id="rId431" ref="D432"/>
    <hyperlink r:id="rId432" ref="D433"/>
    <hyperlink r:id="rId433" ref="D434"/>
    <hyperlink r:id="rId434" ref="D435"/>
    <hyperlink r:id="rId435" ref="D436"/>
    <hyperlink r:id="rId436" ref="D437"/>
    <hyperlink r:id="rId437" ref="D438"/>
    <hyperlink r:id="rId438" ref="D439"/>
    <hyperlink r:id="rId439" ref="D440"/>
    <hyperlink r:id="rId440" ref="D441"/>
    <hyperlink r:id="rId441" ref="D442"/>
    <hyperlink r:id="rId442" ref="D443"/>
    <hyperlink r:id="rId443" ref="D444"/>
    <hyperlink r:id="rId444" ref="D445"/>
    <hyperlink r:id="rId445" ref="D446"/>
    <hyperlink r:id="rId446" ref="D447"/>
    <hyperlink r:id="rId447" ref="D448"/>
    <hyperlink r:id="rId448" ref="D449"/>
    <hyperlink r:id="rId449" ref="D450"/>
    <hyperlink r:id="rId450" ref="D451"/>
    <hyperlink r:id="rId451" ref="D452"/>
    <hyperlink r:id="rId452" ref="D453"/>
    <hyperlink r:id="rId453" ref="D454"/>
    <hyperlink r:id="rId454" ref="D455"/>
    <hyperlink r:id="rId455" ref="D456"/>
    <hyperlink r:id="rId456" ref="D457"/>
    <hyperlink r:id="rId457" ref="D458"/>
    <hyperlink r:id="rId458" ref="D459"/>
    <hyperlink r:id="rId459" ref="D460"/>
    <hyperlink r:id="rId460" ref="D461"/>
    <hyperlink r:id="rId461" ref="D462"/>
    <hyperlink r:id="rId462" ref="D463"/>
    <hyperlink r:id="rId463" ref="D464"/>
    <hyperlink r:id="rId464" ref="D465"/>
    <hyperlink r:id="rId465" ref="D466"/>
    <hyperlink r:id="rId466" ref="D467"/>
    <hyperlink r:id="rId467" ref="D468"/>
    <hyperlink r:id="rId468" ref="D469"/>
    <hyperlink r:id="rId469" ref="D470"/>
    <hyperlink r:id="rId470" ref="D471"/>
    <hyperlink r:id="rId471" ref="D472"/>
    <hyperlink r:id="rId472" ref="D473"/>
    <hyperlink r:id="rId473" ref="D474"/>
    <hyperlink r:id="rId474" ref="D475"/>
    <hyperlink r:id="rId475" ref="D476"/>
    <hyperlink r:id="rId476" ref="D477"/>
    <hyperlink r:id="rId477" ref="D478"/>
    <hyperlink r:id="rId478" ref="D479"/>
    <hyperlink r:id="rId479" ref="D480"/>
    <hyperlink r:id="rId480" ref="D481"/>
    <hyperlink r:id="rId481" ref="D482"/>
    <hyperlink r:id="rId482" ref="D483"/>
    <hyperlink r:id="rId483" ref="D484"/>
    <hyperlink r:id="rId484" ref="D485"/>
    <hyperlink r:id="rId485" ref="D486"/>
    <hyperlink r:id="rId486" ref="D487"/>
    <hyperlink r:id="rId487" ref="D488"/>
    <hyperlink r:id="rId488" ref="D489"/>
    <hyperlink r:id="rId489" ref="D490"/>
    <hyperlink r:id="rId490" ref="D491"/>
    <hyperlink r:id="rId491" ref="D492"/>
    <hyperlink r:id="rId492" ref="D493"/>
    <hyperlink r:id="rId493" ref="D494"/>
    <hyperlink r:id="rId494" ref="D495"/>
    <hyperlink r:id="rId495" ref="D496"/>
    <hyperlink r:id="rId496" ref="D497"/>
    <hyperlink r:id="rId497" ref="D498"/>
    <hyperlink r:id="rId498" ref="D499"/>
    <hyperlink r:id="rId499" ref="D500"/>
    <hyperlink r:id="rId500" ref="D501"/>
    <hyperlink r:id="rId501" ref="D502"/>
    <hyperlink r:id="rId502" ref="D503"/>
    <hyperlink r:id="rId503" ref="D504"/>
    <hyperlink r:id="rId504" ref="D505"/>
    <hyperlink r:id="rId505" ref="D506"/>
    <hyperlink r:id="rId506" ref="D507"/>
    <hyperlink r:id="rId507" ref="D508"/>
    <hyperlink r:id="rId508" ref="D509"/>
    <hyperlink r:id="rId509" ref="D510"/>
    <hyperlink r:id="rId510" ref="D511"/>
    <hyperlink r:id="rId511" ref="D512"/>
    <hyperlink r:id="rId512" ref="D513"/>
    <hyperlink r:id="rId513" ref="D514"/>
    <hyperlink r:id="rId514" ref="D515"/>
    <hyperlink r:id="rId515" ref="D516"/>
    <hyperlink r:id="rId516" ref="D517"/>
    <hyperlink r:id="rId517" ref="D518"/>
    <hyperlink r:id="rId518" ref="D519"/>
    <hyperlink r:id="rId519" ref="D520"/>
    <hyperlink r:id="rId520" ref="D521"/>
    <hyperlink r:id="rId521" ref="D522"/>
    <hyperlink r:id="rId522" ref="D523"/>
    <hyperlink r:id="rId523" ref="D524"/>
    <hyperlink r:id="rId524" ref="D525"/>
    <hyperlink r:id="rId525" ref="D526"/>
    <hyperlink r:id="rId526" ref="D527"/>
    <hyperlink r:id="rId527" ref="D528"/>
    <hyperlink r:id="rId528" ref="D529"/>
    <hyperlink r:id="rId529" ref="D530"/>
    <hyperlink r:id="rId530" ref="D531"/>
    <hyperlink r:id="rId531" ref="D532"/>
    <hyperlink r:id="rId532" ref="D533"/>
    <hyperlink r:id="rId533" ref="D534"/>
    <hyperlink r:id="rId534" ref="D535"/>
    <hyperlink r:id="rId535" ref="D536"/>
    <hyperlink r:id="rId536" ref="D537"/>
    <hyperlink r:id="rId537" ref="D538"/>
    <hyperlink r:id="rId538" ref="D539"/>
    <hyperlink r:id="rId539" ref="D540"/>
    <hyperlink r:id="rId540" ref="D541"/>
    <hyperlink r:id="rId541" ref="D542"/>
    <hyperlink r:id="rId542" ref="D543"/>
    <hyperlink r:id="rId543" ref="D544"/>
    <hyperlink r:id="rId544" ref="D545"/>
    <hyperlink r:id="rId545" ref="D546"/>
    <hyperlink r:id="rId546" ref="D547"/>
    <hyperlink r:id="rId547" ref="D548"/>
    <hyperlink r:id="rId548" ref="D549"/>
    <hyperlink r:id="rId549" ref="D550"/>
    <hyperlink r:id="rId550" ref="D551"/>
    <hyperlink r:id="rId551" ref="D552"/>
    <hyperlink r:id="rId552" ref="D553"/>
    <hyperlink r:id="rId553" ref="D554"/>
    <hyperlink r:id="rId554" ref="D555"/>
    <hyperlink r:id="rId555" ref="D556"/>
    <hyperlink r:id="rId556" ref="D557"/>
    <hyperlink r:id="rId557" ref="D558"/>
    <hyperlink r:id="rId558" ref="D559"/>
    <hyperlink r:id="rId559" ref="D560"/>
    <hyperlink r:id="rId560" ref="D561"/>
    <hyperlink r:id="rId561" ref="D562"/>
    <hyperlink r:id="rId562" ref="D563"/>
    <hyperlink r:id="rId563" ref="D564"/>
    <hyperlink r:id="rId564" ref="D565"/>
    <hyperlink r:id="rId565" ref="D566"/>
    <hyperlink r:id="rId566" ref="D567"/>
    <hyperlink r:id="rId567" ref="D568"/>
    <hyperlink r:id="rId568" ref="D569"/>
    <hyperlink r:id="rId569" ref="D570"/>
    <hyperlink r:id="rId570" ref="D571"/>
    <hyperlink r:id="rId571" ref="D572"/>
    <hyperlink r:id="rId572" ref="D573"/>
    <hyperlink r:id="rId573" ref="D574"/>
    <hyperlink r:id="rId574" ref="D575"/>
    <hyperlink r:id="rId575" ref="D576"/>
    <hyperlink r:id="rId576" ref="D577"/>
    <hyperlink r:id="rId577" ref="D578"/>
    <hyperlink r:id="rId578" ref="D579"/>
    <hyperlink r:id="rId579" ref="D580"/>
    <hyperlink r:id="rId580" ref="D581"/>
    <hyperlink r:id="rId581" ref="D582"/>
    <hyperlink r:id="rId582" ref="D583"/>
    <hyperlink r:id="rId583" ref="D584"/>
    <hyperlink r:id="rId584" ref="D585"/>
    <hyperlink r:id="rId585" ref="D586"/>
    <hyperlink r:id="rId586" ref="D587"/>
    <hyperlink r:id="rId587" ref="D588"/>
    <hyperlink r:id="rId588" ref="D589"/>
    <hyperlink r:id="rId589" ref="D590"/>
    <hyperlink r:id="rId590" ref="D591"/>
    <hyperlink r:id="rId591" ref="D592"/>
    <hyperlink r:id="rId592" ref="D593"/>
    <hyperlink r:id="rId593" ref="D594"/>
    <hyperlink r:id="rId594" ref="D595"/>
    <hyperlink r:id="rId595" ref="D596"/>
    <hyperlink r:id="rId596" ref="D597"/>
    <hyperlink r:id="rId597" ref="D598"/>
    <hyperlink r:id="rId598" ref="D599"/>
    <hyperlink r:id="rId599" ref="D600"/>
    <hyperlink r:id="rId600" ref="D601"/>
    <hyperlink r:id="rId601" ref="D602"/>
    <hyperlink r:id="rId602" ref="D603"/>
    <hyperlink r:id="rId603" ref="D604"/>
    <hyperlink r:id="rId604" ref="D605"/>
    <hyperlink r:id="rId605" ref="D606"/>
    <hyperlink r:id="rId606" ref="D607"/>
    <hyperlink r:id="rId607" ref="D608"/>
    <hyperlink r:id="rId608" ref="D609"/>
    <hyperlink r:id="rId609" ref="D610"/>
    <hyperlink r:id="rId610" ref="D611"/>
    <hyperlink r:id="rId611" ref="D612"/>
    <hyperlink r:id="rId612" ref="D613"/>
    <hyperlink r:id="rId613" ref="D614"/>
    <hyperlink r:id="rId614" ref="D615"/>
    <hyperlink r:id="rId615" ref="D616"/>
    <hyperlink r:id="rId616" ref="D617"/>
    <hyperlink r:id="rId617" ref="D618"/>
    <hyperlink r:id="rId618" ref="D619"/>
    <hyperlink r:id="rId619" ref="D620"/>
    <hyperlink r:id="rId620" ref="D621"/>
    <hyperlink r:id="rId621" ref="D622"/>
    <hyperlink r:id="rId622" ref="D623"/>
    <hyperlink r:id="rId623" ref="D624"/>
    <hyperlink r:id="rId624" ref="D625"/>
    <hyperlink r:id="rId625" ref="D626"/>
    <hyperlink r:id="rId626" ref="D627"/>
    <hyperlink r:id="rId627" ref="D628"/>
    <hyperlink r:id="rId628" ref="D629"/>
    <hyperlink r:id="rId629" ref="D630"/>
    <hyperlink r:id="rId630" ref="D631"/>
    <hyperlink r:id="rId631" ref="D632"/>
    <hyperlink r:id="rId632" ref="D633"/>
    <hyperlink r:id="rId633" ref="D634"/>
    <hyperlink r:id="rId634" ref="D635"/>
    <hyperlink r:id="rId635" ref="D636"/>
    <hyperlink r:id="rId636" ref="D637"/>
    <hyperlink r:id="rId637" ref="D638"/>
    <hyperlink r:id="rId638" ref="D639"/>
    <hyperlink r:id="rId639" ref="D640"/>
    <hyperlink r:id="rId640" ref="D641"/>
    <hyperlink r:id="rId641" ref="D642"/>
    <hyperlink r:id="rId642" ref="D643"/>
    <hyperlink r:id="rId643" ref="D644"/>
    <hyperlink r:id="rId644" ref="D645"/>
    <hyperlink r:id="rId645" ref="D646"/>
    <hyperlink r:id="rId646" ref="D647"/>
    <hyperlink r:id="rId647" ref="D648"/>
    <hyperlink r:id="rId648" ref="D649"/>
    <hyperlink r:id="rId649" ref="D650"/>
    <hyperlink r:id="rId650" ref="D651"/>
    <hyperlink r:id="rId651" ref="D652"/>
    <hyperlink r:id="rId652" ref="D653"/>
    <hyperlink r:id="rId653" ref="D654"/>
    <hyperlink r:id="rId654" ref="D655"/>
    <hyperlink r:id="rId655" ref="D656"/>
    <hyperlink r:id="rId656" ref="D657"/>
    <hyperlink r:id="rId657" ref="D658"/>
    <hyperlink r:id="rId658" ref="D659"/>
    <hyperlink r:id="rId659" ref="D660"/>
    <hyperlink r:id="rId660" ref="D661"/>
    <hyperlink r:id="rId661" ref="D662"/>
    <hyperlink r:id="rId662" ref="D663"/>
    <hyperlink r:id="rId663" ref="D664"/>
    <hyperlink r:id="rId664" ref="D665"/>
    <hyperlink r:id="rId665" ref="D666"/>
    <hyperlink r:id="rId666" ref="D667"/>
    <hyperlink r:id="rId667" ref="D668"/>
    <hyperlink r:id="rId668" ref="D669"/>
    <hyperlink r:id="rId669" ref="D670"/>
    <hyperlink r:id="rId670" ref="D671"/>
    <hyperlink r:id="rId671" ref="D672"/>
    <hyperlink r:id="rId672" ref="D673"/>
    <hyperlink r:id="rId673" ref="D674"/>
    <hyperlink r:id="rId674" ref="D675"/>
    <hyperlink r:id="rId675" ref="D676"/>
    <hyperlink r:id="rId676" ref="D677"/>
    <hyperlink r:id="rId677" ref="D678"/>
    <hyperlink r:id="rId678" ref="D679"/>
    <hyperlink r:id="rId679" ref="D680"/>
    <hyperlink r:id="rId680" ref="D681"/>
    <hyperlink r:id="rId681" ref="D682"/>
    <hyperlink r:id="rId682" ref="D683"/>
    <hyperlink r:id="rId683" ref="D684"/>
    <hyperlink r:id="rId684" ref="D685"/>
    <hyperlink r:id="rId685" ref="D686"/>
    <hyperlink r:id="rId686" ref="D687"/>
    <hyperlink r:id="rId687" ref="D688"/>
    <hyperlink r:id="rId688" ref="D689"/>
    <hyperlink r:id="rId689" ref="D690"/>
    <hyperlink r:id="rId690" ref="D691"/>
    <hyperlink r:id="rId691" ref="D692"/>
    <hyperlink r:id="rId692" ref="D693"/>
    <hyperlink r:id="rId693" ref="D694"/>
    <hyperlink r:id="rId694" ref="D695"/>
    <hyperlink r:id="rId695" ref="D696"/>
    <hyperlink r:id="rId696" ref="D697"/>
    <hyperlink r:id="rId697" ref="D698"/>
    <hyperlink r:id="rId698" ref="D699"/>
    <hyperlink r:id="rId699" ref="D700"/>
    <hyperlink r:id="rId700" ref="D701"/>
    <hyperlink r:id="rId701" ref="D702"/>
    <hyperlink r:id="rId702" ref="D703"/>
    <hyperlink r:id="rId703" ref="D704"/>
    <hyperlink r:id="rId704" ref="D705"/>
    <hyperlink r:id="rId705" ref="D706"/>
    <hyperlink r:id="rId706" ref="D707"/>
    <hyperlink r:id="rId707" ref="D708"/>
    <hyperlink r:id="rId708" ref="D709"/>
    <hyperlink r:id="rId709" ref="D710"/>
    <hyperlink r:id="rId710" ref="D711"/>
    <hyperlink r:id="rId711" ref="D712"/>
    <hyperlink r:id="rId712" ref="D713"/>
    <hyperlink r:id="rId713" ref="D714"/>
    <hyperlink r:id="rId714" ref="D715"/>
    <hyperlink r:id="rId715" ref="D716"/>
    <hyperlink r:id="rId716" ref="D717"/>
    <hyperlink r:id="rId717" ref="D718"/>
    <hyperlink r:id="rId718" ref="D719"/>
    <hyperlink r:id="rId719" ref="D720"/>
    <hyperlink r:id="rId720" ref="D721"/>
    <hyperlink r:id="rId721" ref="D722"/>
    <hyperlink r:id="rId722" ref="D723"/>
    <hyperlink r:id="rId723" ref="D724"/>
    <hyperlink r:id="rId724" ref="D725"/>
    <hyperlink r:id="rId725" ref="D726"/>
    <hyperlink r:id="rId726" ref="D727"/>
    <hyperlink r:id="rId727" ref="D728"/>
    <hyperlink r:id="rId728" ref="D729"/>
    <hyperlink r:id="rId729" ref="D730"/>
    <hyperlink r:id="rId730" ref="D731"/>
    <hyperlink r:id="rId731" ref="D732"/>
    <hyperlink r:id="rId732" ref="D733"/>
    <hyperlink r:id="rId733" ref="D734"/>
    <hyperlink r:id="rId734" ref="D735"/>
    <hyperlink r:id="rId735" ref="D736"/>
    <hyperlink r:id="rId736" ref="D737"/>
    <hyperlink r:id="rId737" ref="D738"/>
    <hyperlink r:id="rId738" ref="D739"/>
    <hyperlink r:id="rId739" ref="D740"/>
    <hyperlink r:id="rId740" ref="D741"/>
    <hyperlink r:id="rId741" ref="D742"/>
    <hyperlink r:id="rId742" ref="D743"/>
    <hyperlink r:id="rId743" ref="D744"/>
    <hyperlink r:id="rId744" ref="D745"/>
    <hyperlink r:id="rId745" ref="D746"/>
    <hyperlink r:id="rId746" ref="D747"/>
    <hyperlink r:id="rId747" ref="D748"/>
    <hyperlink r:id="rId748" ref="D749"/>
    <hyperlink r:id="rId749" ref="D750"/>
    <hyperlink r:id="rId750" ref="D751"/>
    <hyperlink r:id="rId751" ref="D752"/>
    <hyperlink r:id="rId752" ref="D753"/>
    <hyperlink r:id="rId753" ref="D754"/>
    <hyperlink r:id="rId754" ref="D755"/>
    <hyperlink r:id="rId755" ref="D756"/>
    <hyperlink r:id="rId756" ref="D757"/>
    <hyperlink r:id="rId757" ref="D758"/>
    <hyperlink r:id="rId758" ref="D759"/>
    <hyperlink r:id="rId759" ref="D760"/>
    <hyperlink r:id="rId760" ref="D761"/>
    <hyperlink r:id="rId761" ref="D762"/>
    <hyperlink r:id="rId762" ref="D763"/>
    <hyperlink r:id="rId763" ref="D764"/>
    <hyperlink r:id="rId764" ref="D765"/>
    <hyperlink r:id="rId765" ref="D766"/>
    <hyperlink r:id="rId766" ref="D767"/>
    <hyperlink r:id="rId767" ref="D768"/>
    <hyperlink r:id="rId768" ref="D769"/>
    <hyperlink r:id="rId769" ref="D770"/>
    <hyperlink r:id="rId770" ref="D771"/>
    <hyperlink r:id="rId771" ref="D772"/>
    <hyperlink r:id="rId772" ref="D773"/>
    <hyperlink r:id="rId773" ref="D774"/>
    <hyperlink r:id="rId774" ref="D775"/>
    <hyperlink r:id="rId775" ref="D776"/>
    <hyperlink r:id="rId776" ref="D777"/>
    <hyperlink r:id="rId777" ref="D778"/>
    <hyperlink r:id="rId778" ref="D779"/>
    <hyperlink r:id="rId779" ref="D780"/>
    <hyperlink r:id="rId780" ref="D781"/>
    <hyperlink r:id="rId781" ref="D782"/>
    <hyperlink r:id="rId782" ref="D783"/>
    <hyperlink r:id="rId783" ref="D784"/>
    <hyperlink r:id="rId784" ref="D785"/>
    <hyperlink r:id="rId785" ref="D786"/>
    <hyperlink r:id="rId786" ref="D787"/>
    <hyperlink r:id="rId787" ref="D788"/>
    <hyperlink r:id="rId788" ref="D789"/>
    <hyperlink r:id="rId789" ref="D790"/>
    <hyperlink r:id="rId790" ref="D791"/>
    <hyperlink r:id="rId791" ref="D792"/>
    <hyperlink r:id="rId792" ref="D793"/>
    <hyperlink r:id="rId793" ref="D794"/>
    <hyperlink r:id="rId794" ref="D795"/>
    <hyperlink r:id="rId795" ref="D796"/>
    <hyperlink r:id="rId796" ref="D797"/>
    <hyperlink r:id="rId797" ref="D798"/>
    <hyperlink r:id="rId798" ref="D799"/>
    <hyperlink r:id="rId799" ref="D800"/>
    <hyperlink r:id="rId800" ref="D801"/>
    <hyperlink r:id="rId801" ref="D802"/>
    <hyperlink r:id="rId802" ref="D803"/>
    <hyperlink r:id="rId803" ref="D804"/>
    <hyperlink r:id="rId804" ref="D805"/>
    <hyperlink r:id="rId805" ref="D806"/>
    <hyperlink r:id="rId806" ref="D807"/>
    <hyperlink r:id="rId807" ref="D808"/>
    <hyperlink r:id="rId808" ref="D809"/>
    <hyperlink r:id="rId809" ref="D810"/>
    <hyperlink r:id="rId810" ref="D811"/>
    <hyperlink r:id="rId811" ref="D812"/>
    <hyperlink r:id="rId812" ref="D813"/>
    <hyperlink r:id="rId813" ref="D814"/>
    <hyperlink r:id="rId814" ref="D815"/>
    <hyperlink r:id="rId815" ref="D816"/>
    <hyperlink r:id="rId816" ref="D817"/>
    <hyperlink r:id="rId817" ref="D818"/>
    <hyperlink r:id="rId818" ref="D819"/>
    <hyperlink r:id="rId819" ref="D820"/>
    <hyperlink r:id="rId820" ref="D821"/>
    <hyperlink r:id="rId821" ref="D822"/>
    <hyperlink r:id="rId822" ref="D823"/>
    <hyperlink r:id="rId823" ref="D824"/>
    <hyperlink r:id="rId824" ref="D825"/>
    <hyperlink r:id="rId825" ref="D826"/>
    <hyperlink r:id="rId826" ref="D827"/>
    <hyperlink r:id="rId827" ref="D828"/>
    <hyperlink r:id="rId828" ref="D829"/>
    <hyperlink r:id="rId829" ref="D830"/>
    <hyperlink r:id="rId830" ref="D831"/>
    <hyperlink r:id="rId831" ref="D832"/>
    <hyperlink r:id="rId832" ref="D833"/>
    <hyperlink r:id="rId833" ref="D834"/>
    <hyperlink r:id="rId834" ref="D835"/>
    <hyperlink r:id="rId835" ref="D836"/>
    <hyperlink r:id="rId836" ref="D837"/>
    <hyperlink r:id="rId837" ref="D838"/>
    <hyperlink r:id="rId838" ref="D839"/>
    <hyperlink r:id="rId839" ref="D840"/>
    <hyperlink r:id="rId840" ref="D841"/>
    <hyperlink r:id="rId841" ref="D842"/>
    <hyperlink r:id="rId842" ref="D843"/>
    <hyperlink r:id="rId843" ref="D844"/>
    <hyperlink r:id="rId844" ref="D845"/>
    <hyperlink r:id="rId845" ref="D846"/>
    <hyperlink r:id="rId846" ref="D847"/>
    <hyperlink r:id="rId847" ref="D848"/>
    <hyperlink r:id="rId848" ref="D849"/>
    <hyperlink r:id="rId849" ref="D850"/>
    <hyperlink r:id="rId850" ref="D851"/>
    <hyperlink r:id="rId851" ref="D852"/>
    <hyperlink r:id="rId852" ref="D853"/>
    <hyperlink r:id="rId853" ref="D854"/>
    <hyperlink r:id="rId854" ref="D855"/>
    <hyperlink r:id="rId855" ref="D856"/>
    <hyperlink r:id="rId856" ref="D857"/>
    <hyperlink r:id="rId857" ref="D858"/>
    <hyperlink r:id="rId858" ref="D859"/>
    <hyperlink r:id="rId859" ref="D860"/>
    <hyperlink r:id="rId860" ref="D861"/>
    <hyperlink r:id="rId861" ref="D862"/>
    <hyperlink r:id="rId862" ref="D863"/>
    <hyperlink r:id="rId863" ref="D864"/>
    <hyperlink r:id="rId864" ref="D865"/>
    <hyperlink r:id="rId865" ref="D866"/>
    <hyperlink r:id="rId866" ref="D867"/>
    <hyperlink r:id="rId867" ref="D868"/>
    <hyperlink r:id="rId868" ref="D869"/>
    <hyperlink r:id="rId869" ref="D870"/>
    <hyperlink r:id="rId870" ref="D871"/>
    <hyperlink r:id="rId871" ref="D872"/>
    <hyperlink r:id="rId872" ref="D873"/>
    <hyperlink r:id="rId873" ref="D874"/>
    <hyperlink r:id="rId874" ref="D875"/>
    <hyperlink r:id="rId875" ref="D876"/>
    <hyperlink r:id="rId876" ref="D877"/>
    <hyperlink r:id="rId877" ref="D878"/>
    <hyperlink r:id="rId878" ref="D879"/>
    <hyperlink r:id="rId879" ref="D880"/>
    <hyperlink r:id="rId880" ref="D881"/>
    <hyperlink r:id="rId881" ref="D882"/>
    <hyperlink r:id="rId882" ref="D883"/>
    <hyperlink r:id="rId883" ref="D884"/>
    <hyperlink r:id="rId884" ref="D885"/>
    <hyperlink r:id="rId885" ref="D886"/>
    <hyperlink r:id="rId886" ref="D887"/>
    <hyperlink r:id="rId887" ref="D888"/>
    <hyperlink r:id="rId888" ref="D889"/>
    <hyperlink r:id="rId889" ref="D890"/>
    <hyperlink r:id="rId890" ref="D891"/>
    <hyperlink r:id="rId891" ref="D892"/>
    <hyperlink r:id="rId892" ref="D893"/>
    <hyperlink r:id="rId893" ref="D894"/>
    <hyperlink r:id="rId894" ref="D895"/>
    <hyperlink r:id="rId895" ref="D896"/>
    <hyperlink r:id="rId896" ref="D897"/>
    <hyperlink r:id="rId897" ref="D898"/>
    <hyperlink r:id="rId898" ref="D899"/>
    <hyperlink r:id="rId899" ref="D900"/>
    <hyperlink r:id="rId900" ref="D901"/>
    <hyperlink r:id="rId901" ref="D902"/>
    <hyperlink r:id="rId902" ref="D903"/>
    <hyperlink r:id="rId903" ref="D904"/>
    <hyperlink r:id="rId904" ref="D905"/>
    <hyperlink r:id="rId905" ref="D906"/>
    <hyperlink r:id="rId906" ref="D907"/>
    <hyperlink r:id="rId907" ref="D908"/>
    <hyperlink r:id="rId908" ref="D909"/>
    <hyperlink r:id="rId909" ref="D910"/>
    <hyperlink r:id="rId910" ref="D911"/>
    <hyperlink r:id="rId911" ref="D912"/>
    <hyperlink r:id="rId912" ref="D913"/>
    <hyperlink r:id="rId913" ref="D914"/>
    <hyperlink r:id="rId914" ref="D915"/>
    <hyperlink r:id="rId915" ref="D916"/>
    <hyperlink r:id="rId916" ref="D917"/>
    <hyperlink r:id="rId917" ref="D918"/>
    <hyperlink r:id="rId918" ref="D919"/>
    <hyperlink r:id="rId919" ref="D920"/>
    <hyperlink r:id="rId920" ref="D921"/>
    <hyperlink r:id="rId921" ref="D922"/>
    <hyperlink r:id="rId922" ref="D923"/>
    <hyperlink r:id="rId923" ref="D924"/>
    <hyperlink r:id="rId924" ref="D925"/>
    <hyperlink r:id="rId925" ref="D926"/>
    <hyperlink r:id="rId926" ref="D927"/>
    <hyperlink r:id="rId927" ref="D928"/>
    <hyperlink r:id="rId928" ref="D929"/>
    <hyperlink r:id="rId929" ref="D930"/>
    <hyperlink r:id="rId930" ref="D931"/>
    <hyperlink r:id="rId931" ref="D932"/>
    <hyperlink r:id="rId932" ref="D933"/>
    <hyperlink r:id="rId933" ref="D934"/>
    <hyperlink r:id="rId934" ref="D935"/>
    <hyperlink r:id="rId935" ref="D936"/>
    <hyperlink r:id="rId936" ref="D937"/>
    <hyperlink r:id="rId937" ref="D938"/>
    <hyperlink r:id="rId938" ref="D939"/>
    <hyperlink r:id="rId939" ref="D940"/>
    <hyperlink r:id="rId940" ref="D941"/>
    <hyperlink r:id="rId941" ref="D942"/>
    <hyperlink r:id="rId942" ref="D943"/>
    <hyperlink r:id="rId943" ref="D944"/>
    <hyperlink r:id="rId944" ref="D945"/>
    <hyperlink r:id="rId945" ref="D946"/>
    <hyperlink r:id="rId946" ref="D947"/>
    <hyperlink r:id="rId947" ref="D948"/>
    <hyperlink r:id="rId948" ref="D949"/>
    <hyperlink r:id="rId949" ref="D950"/>
    <hyperlink r:id="rId950" ref="D951"/>
    <hyperlink r:id="rId951" ref="D952"/>
    <hyperlink r:id="rId952" ref="D953"/>
    <hyperlink r:id="rId953" ref="D954"/>
    <hyperlink r:id="rId954" ref="D955"/>
    <hyperlink r:id="rId955" ref="D956"/>
    <hyperlink r:id="rId956" ref="D957"/>
    <hyperlink r:id="rId957" ref="D958"/>
    <hyperlink r:id="rId958" ref="D959"/>
    <hyperlink r:id="rId959" ref="D960"/>
    <hyperlink r:id="rId960" ref="D961"/>
    <hyperlink r:id="rId961" ref="D962"/>
    <hyperlink r:id="rId962" ref="D963"/>
    <hyperlink r:id="rId963" ref="D964"/>
    <hyperlink r:id="rId964" ref="D965"/>
    <hyperlink r:id="rId965" ref="D966"/>
    <hyperlink r:id="rId966" ref="D967"/>
    <hyperlink r:id="rId967" ref="D968"/>
    <hyperlink r:id="rId968" ref="D969"/>
    <hyperlink r:id="rId969" ref="D970"/>
    <hyperlink r:id="rId970" ref="D971"/>
    <hyperlink r:id="rId971" ref="D972"/>
    <hyperlink r:id="rId972" ref="D973"/>
    <hyperlink r:id="rId973" ref="D974"/>
    <hyperlink r:id="rId974" ref="D975"/>
    <hyperlink r:id="rId975" ref="D976"/>
    <hyperlink r:id="rId976" ref="D977"/>
    <hyperlink r:id="rId977" ref="D978"/>
    <hyperlink r:id="rId978" ref="D979"/>
    <hyperlink r:id="rId979" ref="D980"/>
    <hyperlink r:id="rId980" ref="D981"/>
    <hyperlink r:id="rId981" ref="D982"/>
    <hyperlink r:id="rId982" ref="D983"/>
    <hyperlink r:id="rId983" ref="D984"/>
    <hyperlink r:id="rId984" ref="D985"/>
    <hyperlink r:id="rId985" ref="D986"/>
    <hyperlink r:id="rId986" ref="D987"/>
    <hyperlink r:id="rId987" ref="D988"/>
    <hyperlink r:id="rId988" ref="D989"/>
    <hyperlink r:id="rId989" ref="D990"/>
    <hyperlink r:id="rId990" ref="D991"/>
    <hyperlink r:id="rId991" ref="D992"/>
    <hyperlink r:id="rId992" ref="D993"/>
    <hyperlink r:id="rId993" ref="D994"/>
    <hyperlink r:id="rId994" ref="D995"/>
    <hyperlink r:id="rId995" ref="D996"/>
    <hyperlink r:id="rId996" ref="D997"/>
    <hyperlink r:id="rId997" ref="D998"/>
    <hyperlink r:id="rId998" ref="D999"/>
    <hyperlink r:id="rId999" ref="D1000"/>
    <hyperlink r:id="rId1000" ref="D1001"/>
    <hyperlink r:id="rId1001" ref="D1002"/>
    <hyperlink r:id="rId1002" ref="D1003"/>
    <hyperlink r:id="rId1003" ref="D1004"/>
    <hyperlink r:id="rId1004" ref="D1005"/>
    <hyperlink r:id="rId1005" ref="D1006"/>
    <hyperlink r:id="rId1006" ref="D1007"/>
    <hyperlink r:id="rId1007" ref="D1008"/>
    <hyperlink r:id="rId1008" ref="D1009"/>
    <hyperlink r:id="rId1009" ref="D1010"/>
    <hyperlink r:id="rId1010" ref="D1011"/>
    <hyperlink r:id="rId1011" ref="D1012"/>
    <hyperlink r:id="rId1012" ref="D1013"/>
    <hyperlink r:id="rId1013" ref="D1014"/>
    <hyperlink r:id="rId1014" ref="D1015"/>
    <hyperlink r:id="rId1015" ref="D1016"/>
    <hyperlink r:id="rId1016" ref="D1017"/>
    <hyperlink r:id="rId1017" ref="D1018"/>
    <hyperlink r:id="rId1018" ref="D1019"/>
    <hyperlink r:id="rId1019" ref="D1020"/>
    <hyperlink r:id="rId1020" ref="D1021"/>
    <hyperlink r:id="rId1021" ref="D1022"/>
    <hyperlink r:id="rId1022" ref="D1023"/>
    <hyperlink r:id="rId1023" ref="D1024"/>
    <hyperlink r:id="rId1024" ref="D1025"/>
    <hyperlink r:id="rId1025" ref="D1026"/>
    <hyperlink r:id="rId1026" ref="D1027"/>
    <hyperlink r:id="rId1027" ref="D1028"/>
    <hyperlink r:id="rId1028" ref="D1029"/>
    <hyperlink r:id="rId1029" ref="D1030"/>
    <hyperlink r:id="rId1030" ref="D1031"/>
    <hyperlink r:id="rId1031" ref="D1032"/>
    <hyperlink r:id="rId1032" ref="D1033"/>
    <hyperlink r:id="rId1033" ref="D1034"/>
    <hyperlink r:id="rId1034" ref="D1035"/>
    <hyperlink r:id="rId1035" ref="D1036"/>
    <hyperlink r:id="rId1036" ref="D1037"/>
    <hyperlink r:id="rId1037" ref="D1038"/>
    <hyperlink r:id="rId1038" ref="D1039"/>
    <hyperlink r:id="rId1039" ref="D1040"/>
    <hyperlink r:id="rId1040" ref="D1041"/>
    <hyperlink r:id="rId1041" ref="D1042"/>
    <hyperlink r:id="rId1042" ref="D1043"/>
    <hyperlink r:id="rId1043" ref="D1044"/>
    <hyperlink r:id="rId1044" ref="D1045"/>
    <hyperlink r:id="rId1045" ref="D1046"/>
    <hyperlink r:id="rId1046" ref="D1047"/>
    <hyperlink r:id="rId1047" ref="D1048"/>
    <hyperlink r:id="rId1048" ref="D1049"/>
    <hyperlink r:id="rId1049" ref="D1050"/>
    <hyperlink r:id="rId1050" ref="D1051"/>
    <hyperlink r:id="rId1051" ref="D1052"/>
    <hyperlink r:id="rId1052" ref="D1053"/>
    <hyperlink r:id="rId1053" ref="D1054"/>
    <hyperlink r:id="rId1054" ref="D1055"/>
    <hyperlink r:id="rId1055" ref="D1056"/>
    <hyperlink r:id="rId1056" ref="D1057"/>
    <hyperlink r:id="rId1057" ref="D1058"/>
    <hyperlink r:id="rId1058" ref="D1059"/>
    <hyperlink r:id="rId1059" ref="D1060"/>
    <hyperlink r:id="rId1060" ref="D1061"/>
    <hyperlink r:id="rId1061" ref="D1062"/>
    <hyperlink r:id="rId1062" ref="D1063"/>
    <hyperlink r:id="rId1063" ref="D1064"/>
    <hyperlink r:id="rId1064" ref="D1065"/>
    <hyperlink r:id="rId1065" ref="D1066"/>
    <hyperlink r:id="rId1066" ref="D1067"/>
    <hyperlink r:id="rId1067" ref="D1068"/>
    <hyperlink r:id="rId1068" ref="D1069"/>
    <hyperlink r:id="rId1069" ref="D1070"/>
    <hyperlink r:id="rId1070" ref="D1071"/>
    <hyperlink r:id="rId1071" ref="D1072"/>
    <hyperlink r:id="rId1072" ref="D1073"/>
    <hyperlink r:id="rId1073" ref="D1074"/>
    <hyperlink r:id="rId1074" ref="D1075"/>
    <hyperlink r:id="rId1075" ref="D1076"/>
    <hyperlink r:id="rId1076" ref="D1077"/>
    <hyperlink r:id="rId1077" ref="D1078"/>
    <hyperlink r:id="rId1078" ref="D1079"/>
    <hyperlink r:id="rId1079" ref="D1080"/>
    <hyperlink r:id="rId1080" ref="D1081"/>
    <hyperlink r:id="rId1081" ref="D1082"/>
    <hyperlink r:id="rId1082" ref="D1083"/>
    <hyperlink r:id="rId1083" ref="D1084"/>
    <hyperlink r:id="rId1084" ref="D1085"/>
    <hyperlink r:id="rId1085" ref="D1086"/>
    <hyperlink r:id="rId1086" ref="D1087"/>
    <hyperlink r:id="rId1087" ref="D1088"/>
    <hyperlink r:id="rId1088" ref="D1089"/>
    <hyperlink r:id="rId1089" ref="D1090"/>
    <hyperlink r:id="rId1090" ref="D1091"/>
    <hyperlink r:id="rId1091" ref="D1092"/>
    <hyperlink r:id="rId1092" ref="D1093"/>
    <hyperlink r:id="rId1093" ref="D1094"/>
    <hyperlink r:id="rId1094" ref="D1095"/>
    <hyperlink r:id="rId1095" ref="D1096"/>
    <hyperlink r:id="rId1096" ref="D1097"/>
    <hyperlink r:id="rId1097" ref="D1098"/>
    <hyperlink r:id="rId1098" ref="D1099"/>
    <hyperlink r:id="rId1099" ref="D1100"/>
    <hyperlink r:id="rId1100" ref="D1101"/>
    <hyperlink r:id="rId1101" ref="D1102"/>
    <hyperlink r:id="rId1102" ref="D1103"/>
    <hyperlink r:id="rId1103" ref="D1104"/>
    <hyperlink r:id="rId1104" ref="D1105"/>
    <hyperlink r:id="rId1105" ref="D1106"/>
    <hyperlink r:id="rId1106" ref="D1107"/>
    <hyperlink r:id="rId1107" ref="D1108"/>
    <hyperlink r:id="rId1108" ref="D1109"/>
    <hyperlink r:id="rId1109" ref="D1110"/>
    <hyperlink r:id="rId1110" ref="D1111"/>
    <hyperlink r:id="rId1111" ref="D1112"/>
    <hyperlink r:id="rId1112" ref="D1113"/>
    <hyperlink r:id="rId1113" ref="D1114"/>
    <hyperlink r:id="rId1114" ref="D1115"/>
    <hyperlink r:id="rId1115" ref="D1116"/>
    <hyperlink r:id="rId1116" ref="D1117"/>
    <hyperlink r:id="rId1117" ref="D1118"/>
    <hyperlink r:id="rId1118" ref="D1119"/>
    <hyperlink r:id="rId1119" ref="D1120"/>
    <hyperlink r:id="rId1120" ref="D1121"/>
    <hyperlink r:id="rId1121" ref="D1122"/>
    <hyperlink r:id="rId1122" ref="D1123"/>
    <hyperlink r:id="rId1123" ref="D1124"/>
    <hyperlink r:id="rId1124" ref="D1125"/>
    <hyperlink r:id="rId1125" ref="D1126"/>
    <hyperlink r:id="rId1126" ref="D1127"/>
    <hyperlink r:id="rId1127" ref="D1128"/>
    <hyperlink r:id="rId1128" ref="D1129"/>
    <hyperlink r:id="rId1129" ref="D1130"/>
    <hyperlink r:id="rId1130" ref="D1131"/>
    <hyperlink r:id="rId1131" ref="D1132"/>
    <hyperlink r:id="rId1132" ref="D1133"/>
    <hyperlink r:id="rId1133" ref="D1134"/>
    <hyperlink r:id="rId1134" ref="D1135"/>
    <hyperlink r:id="rId1135" ref="D1136"/>
    <hyperlink r:id="rId1136" ref="D1137"/>
    <hyperlink r:id="rId1137" ref="D1138"/>
    <hyperlink r:id="rId1138" ref="D1139"/>
    <hyperlink r:id="rId1139" ref="D1140"/>
    <hyperlink r:id="rId1140" ref="D1141"/>
    <hyperlink r:id="rId1141" ref="D1142"/>
    <hyperlink r:id="rId1142" ref="D1143"/>
    <hyperlink r:id="rId1143" ref="D1144"/>
    <hyperlink r:id="rId1144" ref="D1145"/>
    <hyperlink r:id="rId1145" ref="D1146"/>
    <hyperlink r:id="rId1146" ref="D1147"/>
    <hyperlink r:id="rId1147" ref="D1148"/>
    <hyperlink r:id="rId1148" ref="D1149"/>
    <hyperlink r:id="rId1149" ref="D1150"/>
    <hyperlink r:id="rId1150" ref="D1151"/>
    <hyperlink r:id="rId1151" ref="D1152"/>
    <hyperlink r:id="rId1152" ref="D1153"/>
    <hyperlink r:id="rId1153" ref="D1154"/>
    <hyperlink r:id="rId1154" ref="D1155"/>
    <hyperlink r:id="rId1155" ref="D1156"/>
    <hyperlink r:id="rId1156" ref="D1157"/>
    <hyperlink r:id="rId1157" ref="D1158"/>
    <hyperlink r:id="rId1158" ref="D1159"/>
    <hyperlink r:id="rId1159" ref="D1160"/>
    <hyperlink r:id="rId1160" ref="D1161"/>
    <hyperlink r:id="rId1161" ref="D1162"/>
    <hyperlink r:id="rId1162" ref="D1163"/>
    <hyperlink r:id="rId1163" ref="D1164"/>
    <hyperlink r:id="rId1164" ref="D1165"/>
    <hyperlink r:id="rId1165" ref="D1166"/>
    <hyperlink r:id="rId1166" ref="D1167"/>
    <hyperlink r:id="rId1167" ref="D1168"/>
    <hyperlink r:id="rId1168" ref="D1169"/>
    <hyperlink r:id="rId1169" ref="D1170"/>
    <hyperlink r:id="rId1170" ref="D1171"/>
    <hyperlink r:id="rId1171" ref="D1172"/>
    <hyperlink r:id="rId1172" ref="D1173"/>
    <hyperlink r:id="rId1173" ref="D1174"/>
    <hyperlink r:id="rId1174" ref="D1175"/>
    <hyperlink r:id="rId1175" ref="D1176"/>
    <hyperlink r:id="rId1176" ref="D1177"/>
    <hyperlink r:id="rId1177" ref="D1178"/>
    <hyperlink r:id="rId1178" ref="D1179"/>
    <hyperlink r:id="rId1179" ref="D1180"/>
    <hyperlink r:id="rId1180" ref="D1181"/>
    <hyperlink r:id="rId1181" ref="D1182"/>
    <hyperlink r:id="rId1182" ref="D1183"/>
    <hyperlink r:id="rId1183" ref="D1184"/>
    <hyperlink r:id="rId1184" ref="D1185"/>
    <hyperlink r:id="rId1185" ref="D1186"/>
    <hyperlink r:id="rId1186" ref="D1187"/>
    <hyperlink r:id="rId1187" ref="D1188"/>
    <hyperlink r:id="rId1188" ref="D1189"/>
    <hyperlink r:id="rId1189" ref="D1190"/>
    <hyperlink r:id="rId1190" ref="D1191"/>
    <hyperlink r:id="rId1191" ref="D1192"/>
    <hyperlink r:id="rId1192" ref="D1193"/>
    <hyperlink r:id="rId1193" ref="D1194"/>
    <hyperlink r:id="rId1194" ref="D1195"/>
    <hyperlink r:id="rId1195" ref="D1196"/>
    <hyperlink r:id="rId1196" ref="D1197"/>
    <hyperlink r:id="rId1197" ref="D1198"/>
    <hyperlink r:id="rId1198" ref="D1199"/>
    <hyperlink r:id="rId1199" ref="D1200"/>
    <hyperlink r:id="rId1200" ref="D1201"/>
    <hyperlink r:id="rId1201" ref="D1202"/>
    <hyperlink r:id="rId1202" ref="D1203"/>
    <hyperlink r:id="rId1203" ref="D1204"/>
    <hyperlink r:id="rId1204" ref="D1205"/>
    <hyperlink r:id="rId1205" ref="D1206"/>
    <hyperlink r:id="rId1206" ref="D1207"/>
    <hyperlink r:id="rId1207" ref="D1208"/>
    <hyperlink r:id="rId1208" ref="D1209"/>
    <hyperlink r:id="rId1209" ref="D1210"/>
    <hyperlink r:id="rId1210" ref="D1211"/>
    <hyperlink r:id="rId1211" ref="D1212"/>
    <hyperlink r:id="rId1212" ref="D1213"/>
    <hyperlink r:id="rId1213" ref="D1214"/>
    <hyperlink r:id="rId1214" ref="D1215"/>
    <hyperlink r:id="rId1215" ref="D1216"/>
    <hyperlink r:id="rId1216" ref="D1217"/>
    <hyperlink r:id="rId1217" ref="D1218"/>
    <hyperlink r:id="rId1218" ref="D1219"/>
    <hyperlink r:id="rId1219" ref="D1220"/>
    <hyperlink r:id="rId1220" ref="D1221"/>
    <hyperlink r:id="rId1221" ref="D1222"/>
    <hyperlink r:id="rId1222" ref="D1223"/>
    <hyperlink r:id="rId1223" ref="D1224"/>
    <hyperlink r:id="rId1224" ref="D1225"/>
    <hyperlink r:id="rId1225" ref="D1226"/>
    <hyperlink r:id="rId1226" ref="D1227"/>
    <hyperlink r:id="rId1227" ref="D1228"/>
    <hyperlink r:id="rId1228" ref="D1229"/>
    <hyperlink r:id="rId1229" ref="D1230"/>
    <hyperlink r:id="rId1230" ref="D1231"/>
    <hyperlink r:id="rId1231" ref="D1232"/>
    <hyperlink r:id="rId1232" ref="D1233"/>
    <hyperlink r:id="rId1233" ref="D1234"/>
    <hyperlink r:id="rId1234" ref="D1235"/>
    <hyperlink r:id="rId1235" ref="D1236"/>
    <hyperlink r:id="rId1236" ref="D1237"/>
    <hyperlink r:id="rId1237" ref="D1238"/>
    <hyperlink r:id="rId1238" ref="D1239"/>
    <hyperlink r:id="rId1239" ref="D1240"/>
    <hyperlink r:id="rId1240" ref="D1241"/>
    <hyperlink r:id="rId1241" ref="D1242"/>
    <hyperlink r:id="rId1242" ref="D1243"/>
    <hyperlink r:id="rId1243" ref="D1244"/>
    <hyperlink r:id="rId1244" ref="D1245"/>
    <hyperlink r:id="rId1245" ref="D1246"/>
    <hyperlink r:id="rId1246" ref="D1247"/>
    <hyperlink r:id="rId1247" ref="D1248"/>
    <hyperlink r:id="rId1248" ref="D1249"/>
    <hyperlink r:id="rId1249" ref="D1250"/>
    <hyperlink r:id="rId1250" ref="D1251"/>
    <hyperlink r:id="rId1251" ref="D1252"/>
    <hyperlink r:id="rId1252" ref="D1253"/>
    <hyperlink r:id="rId1253" ref="D1254"/>
    <hyperlink r:id="rId1254" ref="D1255"/>
    <hyperlink r:id="rId1255" ref="D1256"/>
    <hyperlink r:id="rId1256" ref="D1257"/>
    <hyperlink r:id="rId1257" ref="D1258"/>
    <hyperlink r:id="rId1258" ref="D1259"/>
    <hyperlink r:id="rId1259" ref="D1260"/>
    <hyperlink r:id="rId1260" ref="D1261"/>
    <hyperlink r:id="rId1261" ref="D1262"/>
    <hyperlink r:id="rId1262" ref="D1263"/>
    <hyperlink r:id="rId1263" ref="D1264"/>
    <hyperlink r:id="rId1264" ref="D1265"/>
    <hyperlink r:id="rId1265" ref="D1266"/>
    <hyperlink r:id="rId1266" ref="D1267"/>
    <hyperlink r:id="rId1267" ref="D1268"/>
    <hyperlink r:id="rId1268" ref="D1269"/>
    <hyperlink r:id="rId1269" ref="D1270"/>
    <hyperlink r:id="rId1270" ref="D1271"/>
    <hyperlink r:id="rId1271" ref="D1272"/>
    <hyperlink r:id="rId1272" ref="D1273"/>
    <hyperlink r:id="rId1273" ref="D1274"/>
    <hyperlink r:id="rId1274" ref="D1275"/>
    <hyperlink r:id="rId1275" ref="D1276"/>
    <hyperlink r:id="rId1276" ref="D1277"/>
    <hyperlink r:id="rId1277" ref="D1278"/>
    <hyperlink r:id="rId1278" ref="D1279"/>
    <hyperlink r:id="rId1279" ref="D1280"/>
    <hyperlink r:id="rId1280" ref="D1281"/>
    <hyperlink r:id="rId1281" ref="D1282"/>
    <hyperlink r:id="rId1282" ref="D1283"/>
    <hyperlink r:id="rId1283" ref="D1284"/>
    <hyperlink r:id="rId1284" ref="D1285"/>
    <hyperlink r:id="rId1285" ref="D1286"/>
    <hyperlink r:id="rId1286" ref="D1287"/>
    <hyperlink r:id="rId1287" ref="D1288"/>
    <hyperlink r:id="rId1288" ref="D1289"/>
    <hyperlink r:id="rId1289" ref="D1290"/>
    <hyperlink r:id="rId1290" ref="D1291"/>
    <hyperlink r:id="rId1291" ref="D1292"/>
    <hyperlink r:id="rId1292" ref="D1293"/>
    <hyperlink r:id="rId1293" ref="D1294"/>
    <hyperlink r:id="rId1294" ref="D1295"/>
    <hyperlink r:id="rId1295" ref="D1296"/>
    <hyperlink r:id="rId1296" ref="D1297"/>
    <hyperlink r:id="rId1297" ref="D1298"/>
    <hyperlink r:id="rId1298" ref="D1299"/>
    <hyperlink r:id="rId1299" ref="D1300"/>
    <hyperlink r:id="rId1300" ref="D1301"/>
    <hyperlink r:id="rId1301" ref="D1302"/>
    <hyperlink r:id="rId1302" ref="D1303"/>
    <hyperlink r:id="rId1303" ref="D1304"/>
    <hyperlink r:id="rId1304" ref="D1305"/>
    <hyperlink r:id="rId1305" ref="D1306"/>
    <hyperlink r:id="rId1306" ref="D1307"/>
    <hyperlink r:id="rId1307" ref="D1308"/>
    <hyperlink r:id="rId1308" ref="D1309"/>
    <hyperlink r:id="rId1309" ref="D1310"/>
    <hyperlink r:id="rId1310" ref="D1311"/>
    <hyperlink r:id="rId1311" ref="D1312"/>
    <hyperlink r:id="rId1312" ref="D1313"/>
    <hyperlink r:id="rId1313" ref="D1314"/>
    <hyperlink r:id="rId1314" ref="D1315"/>
    <hyperlink r:id="rId1315" ref="D1316"/>
    <hyperlink r:id="rId1316" ref="D1317"/>
    <hyperlink r:id="rId1317" ref="D1318"/>
    <hyperlink r:id="rId1318" ref="D1319"/>
    <hyperlink r:id="rId1319" ref="D1320"/>
    <hyperlink r:id="rId1320" ref="D1321"/>
    <hyperlink r:id="rId1321" ref="D1322"/>
    <hyperlink r:id="rId1322" ref="D1323"/>
    <hyperlink r:id="rId1323" ref="D1324"/>
    <hyperlink r:id="rId1324" ref="D1325"/>
    <hyperlink r:id="rId1325" ref="D1326"/>
    <hyperlink r:id="rId1326" ref="D1327"/>
    <hyperlink r:id="rId1327" ref="D1328"/>
    <hyperlink r:id="rId1328" ref="D1329"/>
    <hyperlink r:id="rId1329" ref="D1330"/>
    <hyperlink r:id="rId1330" ref="D1331"/>
    <hyperlink r:id="rId1331" ref="D1332"/>
    <hyperlink r:id="rId1332" ref="D1333"/>
    <hyperlink r:id="rId1333" ref="D1334"/>
    <hyperlink r:id="rId1334" ref="D1335"/>
    <hyperlink r:id="rId1335" ref="D1336"/>
    <hyperlink r:id="rId1336" ref="D1337"/>
    <hyperlink r:id="rId1337" ref="D1338"/>
    <hyperlink r:id="rId1338" ref="D1339"/>
    <hyperlink r:id="rId1339" ref="D1340"/>
    <hyperlink r:id="rId1340" ref="D1341"/>
    <hyperlink r:id="rId1341" ref="D1342"/>
    <hyperlink r:id="rId1342" ref="D1343"/>
    <hyperlink r:id="rId1343" ref="D1344"/>
    <hyperlink r:id="rId1344" ref="D1345"/>
    <hyperlink r:id="rId1345" ref="D1346"/>
    <hyperlink r:id="rId1346" ref="D1347"/>
    <hyperlink r:id="rId1347" ref="D1348"/>
    <hyperlink r:id="rId1348" ref="D1349"/>
    <hyperlink r:id="rId1349" ref="D1350"/>
    <hyperlink r:id="rId1350" ref="D1351"/>
    <hyperlink r:id="rId1351" ref="D1352"/>
    <hyperlink r:id="rId1352" ref="D1353"/>
    <hyperlink r:id="rId1353" ref="D1354"/>
    <hyperlink r:id="rId1354" ref="D1355"/>
    <hyperlink r:id="rId1355" ref="D1356"/>
    <hyperlink r:id="rId1356" ref="D1357"/>
    <hyperlink r:id="rId1357" ref="D1358"/>
    <hyperlink r:id="rId1358" ref="D1359"/>
    <hyperlink r:id="rId1359" ref="D1360"/>
    <hyperlink r:id="rId1360" ref="D1361"/>
    <hyperlink r:id="rId1361" ref="D1362"/>
    <hyperlink r:id="rId1362" ref="D1363"/>
    <hyperlink r:id="rId1363" ref="D1364"/>
    <hyperlink r:id="rId1364" ref="D1365"/>
    <hyperlink r:id="rId1365" ref="D1366"/>
    <hyperlink r:id="rId1366" ref="D1367"/>
    <hyperlink r:id="rId1367" ref="D1368"/>
    <hyperlink r:id="rId1368" ref="D1369"/>
    <hyperlink r:id="rId1369" ref="D1370"/>
    <hyperlink r:id="rId1370" ref="D1371"/>
    <hyperlink r:id="rId1371" ref="D1372"/>
    <hyperlink r:id="rId1372" ref="D1373"/>
    <hyperlink r:id="rId1373" ref="D1374"/>
    <hyperlink r:id="rId1374" ref="D1375"/>
    <hyperlink r:id="rId1375" ref="D1376"/>
    <hyperlink r:id="rId1376" ref="D1377"/>
    <hyperlink r:id="rId1377" ref="D1378"/>
    <hyperlink r:id="rId1378" ref="D1379"/>
    <hyperlink r:id="rId1379" ref="D1380"/>
    <hyperlink r:id="rId1380" ref="D1381"/>
    <hyperlink r:id="rId1381" ref="D1382"/>
    <hyperlink r:id="rId1382" ref="D1383"/>
    <hyperlink r:id="rId1383" ref="D1384"/>
    <hyperlink r:id="rId1384" ref="D1385"/>
    <hyperlink r:id="rId1385" ref="D1386"/>
    <hyperlink r:id="rId1386" ref="D1387"/>
    <hyperlink r:id="rId1387" ref="D1388"/>
    <hyperlink r:id="rId1388" ref="D1389"/>
    <hyperlink r:id="rId1389" ref="D1390"/>
    <hyperlink r:id="rId1390" ref="D1391"/>
    <hyperlink r:id="rId1391" ref="D1392"/>
    <hyperlink r:id="rId1392" ref="D1393"/>
    <hyperlink r:id="rId1393" ref="D1394"/>
    <hyperlink r:id="rId1394" ref="D1395"/>
    <hyperlink r:id="rId1395" ref="D1396"/>
    <hyperlink r:id="rId1396" ref="D1397"/>
    <hyperlink r:id="rId1397" ref="D1398"/>
    <hyperlink r:id="rId1398" ref="D1399"/>
    <hyperlink r:id="rId1399" ref="D1400"/>
    <hyperlink r:id="rId1400" ref="D1401"/>
    <hyperlink r:id="rId1401" ref="D1402"/>
    <hyperlink r:id="rId1402" ref="D1403"/>
    <hyperlink r:id="rId1403" ref="D1404"/>
    <hyperlink r:id="rId1404" ref="D1405"/>
    <hyperlink r:id="rId1405" ref="D1406"/>
    <hyperlink r:id="rId1406" ref="D1407"/>
    <hyperlink r:id="rId1407" ref="D1408"/>
    <hyperlink r:id="rId1408" ref="D1409"/>
    <hyperlink r:id="rId1409" ref="D1410"/>
    <hyperlink r:id="rId1410" ref="D1411"/>
    <hyperlink r:id="rId1411" ref="D1412"/>
    <hyperlink r:id="rId1412" ref="D1413"/>
    <hyperlink r:id="rId1413" ref="D1414"/>
    <hyperlink r:id="rId1414" ref="D1415"/>
    <hyperlink r:id="rId1415" ref="D1416"/>
    <hyperlink r:id="rId1416" ref="D1417"/>
    <hyperlink r:id="rId1417" ref="D1418"/>
    <hyperlink r:id="rId1418" ref="D1419"/>
    <hyperlink r:id="rId1419" ref="D1420"/>
    <hyperlink r:id="rId1420" ref="D1421"/>
    <hyperlink r:id="rId1421" ref="D1422"/>
    <hyperlink r:id="rId1422" ref="D1423"/>
    <hyperlink r:id="rId1423" ref="D1424"/>
    <hyperlink r:id="rId1424" ref="D1425"/>
    <hyperlink r:id="rId1425" ref="D1426"/>
    <hyperlink r:id="rId1426" ref="D1427"/>
    <hyperlink r:id="rId1427" ref="D1428"/>
    <hyperlink r:id="rId1428" ref="D1429"/>
    <hyperlink r:id="rId1429" ref="D1430"/>
    <hyperlink r:id="rId1430" ref="D1431"/>
    <hyperlink r:id="rId1431" ref="D1432"/>
    <hyperlink r:id="rId1432" ref="D1433"/>
    <hyperlink r:id="rId1433" ref="D1434"/>
    <hyperlink r:id="rId1434" ref="D1435"/>
    <hyperlink r:id="rId1435" ref="D1436"/>
    <hyperlink r:id="rId1436" ref="D1437"/>
    <hyperlink r:id="rId1437" ref="D1438"/>
    <hyperlink r:id="rId1438" ref="D1439"/>
    <hyperlink r:id="rId1439" ref="D1440"/>
    <hyperlink r:id="rId1440" ref="D1441"/>
    <hyperlink r:id="rId1441" ref="D1442"/>
    <hyperlink r:id="rId1442" ref="D1443"/>
    <hyperlink r:id="rId1443" ref="D1444"/>
    <hyperlink r:id="rId1444" ref="D1445"/>
    <hyperlink r:id="rId1445" ref="D1446"/>
    <hyperlink r:id="rId1446" ref="D1447"/>
    <hyperlink r:id="rId1447" ref="D1448"/>
    <hyperlink r:id="rId1448" ref="D1449"/>
    <hyperlink r:id="rId1449" ref="D1450"/>
    <hyperlink r:id="rId1450" ref="D1451"/>
    <hyperlink r:id="rId1451" ref="D1452"/>
    <hyperlink r:id="rId1452" ref="D1453"/>
    <hyperlink r:id="rId1453" ref="D1454"/>
    <hyperlink r:id="rId1454" ref="D1455"/>
    <hyperlink r:id="rId1455" ref="D1456"/>
    <hyperlink r:id="rId1456" ref="D1457"/>
    <hyperlink r:id="rId1457" ref="D1458"/>
    <hyperlink r:id="rId1458" ref="D1459"/>
    <hyperlink r:id="rId1459" ref="D1460"/>
    <hyperlink r:id="rId1460" ref="D1461"/>
    <hyperlink r:id="rId1461" ref="D1462"/>
    <hyperlink r:id="rId1462" ref="D1463"/>
    <hyperlink r:id="rId1463" ref="D1464"/>
    <hyperlink r:id="rId1464" ref="D1465"/>
    <hyperlink r:id="rId1465" ref="D1466"/>
    <hyperlink r:id="rId1466" ref="D1467"/>
    <hyperlink r:id="rId1467" ref="D1468"/>
    <hyperlink r:id="rId1468" ref="D1469"/>
    <hyperlink r:id="rId1469" ref="D1470"/>
    <hyperlink r:id="rId1470" ref="D1471"/>
    <hyperlink r:id="rId1471" ref="D1472"/>
    <hyperlink r:id="rId1472" ref="D1473"/>
    <hyperlink r:id="rId1473" ref="D1474"/>
    <hyperlink r:id="rId1474" ref="D1475"/>
    <hyperlink r:id="rId1475" ref="D1476"/>
    <hyperlink r:id="rId1476" ref="D1477"/>
    <hyperlink r:id="rId1477" ref="D1478"/>
    <hyperlink r:id="rId1478" ref="D1479"/>
    <hyperlink r:id="rId1479" ref="D1480"/>
    <hyperlink r:id="rId1480" ref="D1481"/>
    <hyperlink r:id="rId1481" ref="D1482"/>
    <hyperlink r:id="rId1482" ref="D1483"/>
    <hyperlink r:id="rId1483" ref="D1484"/>
    <hyperlink r:id="rId1484" ref="D1485"/>
    <hyperlink r:id="rId1485" ref="D1486"/>
    <hyperlink r:id="rId1486" ref="D1487"/>
    <hyperlink r:id="rId1487" ref="D1488"/>
    <hyperlink r:id="rId1488" ref="D1489"/>
    <hyperlink r:id="rId1489" ref="D1490"/>
    <hyperlink r:id="rId1490" ref="D1491"/>
    <hyperlink r:id="rId1491" ref="D1492"/>
    <hyperlink r:id="rId1492" ref="D1493"/>
    <hyperlink r:id="rId1493" ref="D1494"/>
    <hyperlink r:id="rId1494" ref="D1495"/>
    <hyperlink r:id="rId1495" ref="D1496"/>
    <hyperlink r:id="rId1496" ref="D1497"/>
    <hyperlink r:id="rId1497" ref="D1498"/>
    <hyperlink r:id="rId1498" ref="D1499"/>
    <hyperlink r:id="rId1499" ref="D1500"/>
    <hyperlink r:id="rId1500" ref="D1501"/>
    <hyperlink r:id="rId1501" ref="D1502"/>
    <hyperlink r:id="rId1502" ref="D1503"/>
    <hyperlink r:id="rId1503" ref="D1504"/>
    <hyperlink r:id="rId1504" ref="D1505"/>
    <hyperlink r:id="rId1505" ref="D1506"/>
    <hyperlink r:id="rId1506" ref="D1507"/>
    <hyperlink r:id="rId1507" ref="D1508"/>
    <hyperlink r:id="rId1508" ref="D1509"/>
    <hyperlink r:id="rId1509" ref="D1510"/>
    <hyperlink r:id="rId1510" ref="D1511"/>
    <hyperlink r:id="rId1511" ref="D1512"/>
    <hyperlink r:id="rId1512" ref="D1513"/>
    <hyperlink r:id="rId1513" ref="D1514"/>
    <hyperlink r:id="rId1514" ref="D1515"/>
    <hyperlink r:id="rId1515" ref="D1516"/>
    <hyperlink r:id="rId1516" ref="D1517"/>
    <hyperlink r:id="rId1517" ref="D1518"/>
    <hyperlink r:id="rId1518" ref="D1519"/>
    <hyperlink r:id="rId1519" ref="D1520"/>
    <hyperlink r:id="rId1520" ref="D1521"/>
    <hyperlink r:id="rId1521" ref="D1522"/>
    <hyperlink r:id="rId1522" ref="D1523"/>
    <hyperlink r:id="rId1523" ref="D1524"/>
    <hyperlink r:id="rId1524" ref="D1525"/>
    <hyperlink r:id="rId1525" ref="D1526"/>
    <hyperlink r:id="rId1526" ref="D1527"/>
    <hyperlink r:id="rId1527" ref="D1528"/>
    <hyperlink r:id="rId1528" ref="D1529"/>
    <hyperlink r:id="rId1529" ref="D1530"/>
    <hyperlink r:id="rId1530" ref="D1531"/>
    <hyperlink r:id="rId1531" ref="D1532"/>
    <hyperlink r:id="rId1532" ref="D1533"/>
    <hyperlink r:id="rId1533" ref="D1534"/>
    <hyperlink r:id="rId1534" ref="D1535"/>
    <hyperlink r:id="rId1535" ref="D1536"/>
    <hyperlink r:id="rId1536" ref="D1537"/>
    <hyperlink r:id="rId1537" ref="D1538"/>
    <hyperlink r:id="rId1538" ref="D1539"/>
    <hyperlink r:id="rId1539" ref="D1540"/>
    <hyperlink r:id="rId1540" ref="D1541"/>
    <hyperlink r:id="rId1541" ref="D1542"/>
    <hyperlink r:id="rId1542" ref="D1543"/>
    <hyperlink r:id="rId1543" ref="D1544"/>
    <hyperlink r:id="rId1544" ref="D1545"/>
    <hyperlink r:id="rId1545" ref="D1546"/>
    <hyperlink r:id="rId1546" ref="D1547"/>
    <hyperlink r:id="rId1547" ref="D1548"/>
    <hyperlink r:id="rId1548" ref="D1549"/>
    <hyperlink r:id="rId1549" ref="D1550"/>
    <hyperlink r:id="rId1550" ref="D1551"/>
    <hyperlink r:id="rId1551" ref="D1552"/>
    <hyperlink r:id="rId1552" ref="D1553"/>
    <hyperlink r:id="rId1553" ref="D1554"/>
    <hyperlink r:id="rId1554" ref="D1555"/>
    <hyperlink r:id="rId1555" ref="D1556"/>
    <hyperlink r:id="rId1556" ref="D1557"/>
    <hyperlink r:id="rId1557" ref="D1558"/>
    <hyperlink r:id="rId1558" ref="D1559"/>
    <hyperlink r:id="rId1559" ref="D1560"/>
    <hyperlink r:id="rId1560" ref="D1561"/>
    <hyperlink r:id="rId1561" ref="D1562"/>
    <hyperlink r:id="rId1562" ref="D1563"/>
    <hyperlink r:id="rId1563" ref="D1564"/>
    <hyperlink r:id="rId1564" ref="D1565"/>
    <hyperlink r:id="rId1565" ref="D1566"/>
    <hyperlink r:id="rId1566" ref="D1567"/>
    <hyperlink r:id="rId1567" ref="D1568"/>
    <hyperlink r:id="rId1568" ref="D1569"/>
    <hyperlink r:id="rId1569" ref="D1570"/>
    <hyperlink r:id="rId1570" ref="D1571"/>
    <hyperlink r:id="rId1571" ref="D1572"/>
    <hyperlink r:id="rId1572" ref="D1573"/>
    <hyperlink r:id="rId1573" ref="D1574"/>
    <hyperlink r:id="rId1574" ref="D1575"/>
    <hyperlink r:id="rId1575" ref="D1576"/>
    <hyperlink r:id="rId1576" ref="D1577"/>
    <hyperlink r:id="rId1577" ref="D1578"/>
    <hyperlink r:id="rId1578" ref="D1579"/>
    <hyperlink r:id="rId1579" ref="D1580"/>
    <hyperlink r:id="rId1580" ref="D1581"/>
    <hyperlink r:id="rId1581" ref="D1582"/>
    <hyperlink r:id="rId1582" ref="D1583"/>
    <hyperlink r:id="rId1583" ref="D1584"/>
    <hyperlink r:id="rId1584" ref="D1585"/>
    <hyperlink r:id="rId1585" ref="D1586"/>
    <hyperlink r:id="rId1586" ref="D1587"/>
    <hyperlink r:id="rId1587" ref="D1588"/>
    <hyperlink r:id="rId1588" ref="D1589"/>
    <hyperlink r:id="rId1589" ref="D1590"/>
    <hyperlink r:id="rId1590" ref="D1591"/>
    <hyperlink r:id="rId1591" ref="D1592"/>
    <hyperlink r:id="rId1592" ref="D1593"/>
    <hyperlink r:id="rId1593" ref="D1594"/>
    <hyperlink r:id="rId1594" ref="D1595"/>
    <hyperlink r:id="rId1595" ref="D1596"/>
    <hyperlink r:id="rId1596" ref="D1597"/>
    <hyperlink r:id="rId1597" ref="D1598"/>
    <hyperlink r:id="rId1598" ref="D1599"/>
    <hyperlink r:id="rId1599" ref="D1600"/>
    <hyperlink r:id="rId1600" ref="D1601"/>
    <hyperlink r:id="rId1601" ref="D1602"/>
    <hyperlink r:id="rId1602" ref="D1603"/>
    <hyperlink r:id="rId1603" ref="D1604"/>
    <hyperlink r:id="rId1604" ref="D1605"/>
    <hyperlink r:id="rId1605" ref="D1606"/>
    <hyperlink r:id="rId1606" ref="D1607"/>
    <hyperlink r:id="rId1607" ref="D1608"/>
    <hyperlink r:id="rId1608" ref="D1609"/>
    <hyperlink r:id="rId1609" ref="D1610"/>
    <hyperlink r:id="rId1610" ref="D1611"/>
    <hyperlink r:id="rId1611" ref="D1612"/>
    <hyperlink r:id="rId1612" ref="D1613"/>
    <hyperlink r:id="rId1613" ref="D1614"/>
    <hyperlink r:id="rId1614" ref="D1615"/>
    <hyperlink r:id="rId1615" ref="D1616"/>
    <hyperlink r:id="rId1616" ref="D1617"/>
    <hyperlink r:id="rId1617" ref="D1618"/>
    <hyperlink r:id="rId1618" ref="D1619"/>
    <hyperlink r:id="rId1619" ref="D1620"/>
    <hyperlink r:id="rId1620" ref="D1621"/>
    <hyperlink r:id="rId1621" ref="D1622"/>
    <hyperlink r:id="rId1622" ref="D1623"/>
    <hyperlink r:id="rId1623" ref="D1624"/>
    <hyperlink r:id="rId1624" ref="D1625"/>
    <hyperlink r:id="rId1625" ref="D1626"/>
    <hyperlink r:id="rId1626" ref="D1627"/>
    <hyperlink r:id="rId1627" ref="D1628"/>
    <hyperlink r:id="rId1628" ref="D1629"/>
    <hyperlink r:id="rId1629" ref="D1630"/>
    <hyperlink r:id="rId1630" ref="D1631"/>
    <hyperlink r:id="rId1631" ref="D1632"/>
    <hyperlink r:id="rId1632" ref="D1633"/>
    <hyperlink r:id="rId1633" ref="D1634"/>
    <hyperlink r:id="rId1634" ref="D1635"/>
    <hyperlink r:id="rId1635" ref="D1636"/>
    <hyperlink r:id="rId1636" ref="D1637"/>
    <hyperlink r:id="rId1637" ref="D1638"/>
    <hyperlink r:id="rId1638" ref="D1639"/>
    <hyperlink r:id="rId1639" ref="D1640"/>
    <hyperlink r:id="rId1640" ref="D1641"/>
    <hyperlink r:id="rId1641" ref="D1642"/>
    <hyperlink r:id="rId1642" ref="D1643"/>
    <hyperlink r:id="rId1643" ref="D1644"/>
    <hyperlink r:id="rId1644" ref="D1645"/>
    <hyperlink r:id="rId1645" ref="D1646"/>
    <hyperlink r:id="rId1646" ref="D1647"/>
    <hyperlink r:id="rId1647" ref="D1648"/>
    <hyperlink r:id="rId1648" ref="D1649"/>
    <hyperlink r:id="rId1649" ref="D1650"/>
    <hyperlink r:id="rId1650" ref="D1651"/>
    <hyperlink r:id="rId1651" ref="D1652"/>
    <hyperlink r:id="rId1652" ref="D1653"/>
    <hyperlink r:id="rId1653" ref="D1654"/>
    <hyperlink r:id="rId1654" ref="D1655"/>
    <hyperlink r:id="rId1655" ref="D1656"/>
    <hyperlink r:id="rId1656" ref="D1657"/>
    <hyperlink r:id="rId1657" ref="D1658"/>
    <hyperlink r:id="rId1658" ref="D1659"/>
    <hyperlink r:id="rId1659" ref="D1660"/>
    <hyperlink r:id="rId1660" ref="D1661"/>
    <hyperlink r:id="rId1661" ref="D1662"/>
    <hyperlink r:id="rId1662" ref="D1663"/>
    <hyperlink r:id="rId1663" ref="D1664"/>
    <hyperlink r:id="rId1664" ref="D1665"/>
    <hyperlink r:id="rId1665" ref="D1666"/>
    <hyperlink r:id="rId1666" ref="D1667"/>
    <hyperlink r:id="rId1667" ref="D1668"/>
    <hyperlink r:id="rId1668" ref="D1669"/>
    <hyperlink r:id="rId1669" ref="D1670"/>
    <hyperlink r:id="rId1670" ref="D1671"/>
    <hyperlink r:id="rId1671" ref="D1672"/>
    <hyperlink r:id="rId1672" ref="D1673"/>
    <hyperlink r:id="rId1673" ref="D1674"/>
    <hyperlink r:id="rId1674" ref="D1675"/>
    <hyperlink r:id="rId1675" ref="D1676"/>
    <hyperlink r:id="rId1676" ref="D1677"/>
    <hyperlink r:id="rId1677" ref="D1678"/>
    <hyperlink r:id="rId1678" ref="D1679"/>
    <hyperlink r:id="rId1679" ref="D1680"/>
    <hyperlink r:id="rId1680" ref="D1681"/>
    <hyperlink r:id="rId1681" ref="D1682"/>
    <hyperlink r:id="rId1682" ref="D1683"/>
    <hyperlink r:id="rId1683" ref="D1684"/>
    <hyperlink r:id="rId1684" ref="D1685"/>
    <hyperlink r:id="rId1685" ref="D1686"/>
    <hyperlink r:id="rId1686" ref="D1687"/>
    <hyperlink r:id="rId1687" ref="D1688"/>
    <hyperlink r:id="rId1688" ref="D1689"/>
    <hyperlink r:id="rId1689" ref="D1690"/>
    <hyperlink r:id="rId1690" ref="D1691"/>
    <hyperlink r:id="rId1691" ref="D1692"/>
    <hyperlink r:id="rId1692" ref="D1693"/>
    <hyperlink r:id="rId1693" ref="D1694"/>
    <hyperlink r:id="rId1694" ref="D1695"/>
    <hyperlink r:id="rId1695" ref="D1696"/>
    <hyperlink r:id="rId1696" ref="D1697"/>
    <hyperlink r:id="rId1697" ref="D1698"/>
    <hyperlink r:id="rId1698" ref="D1699"/>
    <hyperlink r:id="rId1699" ref="D1700"/>
    <hyperlink r:id="rId1700" ref="D1701"/>
    <hyperlink r:id="rId1701" ref="D1702"/>
    <hyperlink r:id="rId1702" ref="D1703"/>
    <hyperlink r:id="rId1703" ref="D1704"/>
    <hyperlink r:id="rId1704" ref="D1705"/>
    <hyperlink r:id="rId1705" ref="D1706"/>
    <hyperlink r:id="rId1706" ref="D1707"/>
    <hyperlink r:id="rId1707" ref="D1708"/>
    <hyperlink r:id="rId1708" ref="D1709"/>
    <hyperlink r:id="rId1709" ref="D1710"/>
    <hyperlink r:id="rId1710" ref="D1711"/>
    <hyperlink r:id="rId1711" ref="D1712"/>
    <hyperlink r:id="rId1712" ref="D1713"/>
    <hyperlink r:id="rId1713" ref="D1714"/>
    <hyperlink r:id="rId1714" ref="D1715"/>
    <hyperlink r:id="rId1715" ref="D1716"/>
    <hyperlink r:id="rId1716" ref="D1717"/>
    <hyperlink r:id="rId1717" ref="D1718"/>
    <hyperlink r:id="rId1718" ref="D1719"/>
    <hyperlink r:id="rId1719" ref="D1720"/>
    <hyperlink r:id="rId1720" ref="D1721"/>
    <hyperlink r:id="rId1721" ref="D1722"/>
    <hyperlink r:id="rId1722" ref="D1723"/>
    <hyperlink r:id="rId1723" ref="D1724"/>
    <hyperlink r:id="rId1724" ref="D1725"/>
    <hyperlink r:id="rId1725" ref="D1726"/>
    <hyperlink r:id="rId1726" ref="D1727"/>
    <hyperlink r:id="rId1727" ref="D1728"/>
    <hyperlink r:id="rId1728" ref="D1729"/>
    <hyperlink r:id="rId1729" ref="D1730"/>
    <hyperlink r:id="rId1730" ref="D1731"/>
    <hyperlink r:id="rId1731" ref="D1732"/>
    <hyperlink r:id="rId1732" ref="D1733"/>
    <hyperlink r:id="rId1733" ref="D1734"/>
    <hyperlink r:id="rId1734" ref="D1735"/>
    <hyperlink r:id="rId1735" ref="D1736"/>
    <hyperlink r:id="rId1736" ref="D1737"/>
    <hyperlink r:id="rId1737" ref="D1738"/>
    <hyperlink r:id="rId1738" ref="D1739"/>
    <hyperlink r:id="rId1739" ref="D1740"/>
    <hyperlink r:id="rId1740" ref="D1741"/>
    <hyperlink r:id="rId1741" ref="D1742"/>
    <hyperlink r:id="rId1742" ref="D1743"/>
    <hyperlink r:id="rId1743" ref="D1744"/>
    <hyperlink r:id="rId1744" ref="D1745"/>
    <hyperlink r:id="rId1745" ref="D1746"/>
    <hyperlink r:id="rId1746" ref="D1747"/>
    <hyperlink r:id="rId1747" ref="D1748"/>
    <hyperlink r:id="rId1748" ref="D1749"/>
    <hyperlink r:id="rId1749" ref="D1750"/>
    <hyperlink r:id="rId1750" ref="D1751"/>
    <hyperlink r:id="rId1751" ref="D1752"/>
    <hyperlink r:id="rId1752" ref="D1753"/>
    <hyperlink r:id="rId1753" ref="D1754"/>
    <hyperlink r:id="rId1754" ref="D1755"/>
    <hyperlink r:id="rId1755" ref="D1756"/>
    <hyperlink r:id="rId1756" ref="D1757"/>
    <hyperlink r:id="rId1757" ref="D1758"/>
    <hyperlink r:id="rId1758" ref="D1759"/>
    <hyperlink r:id="rId1759" ref="D1760"/>
    <hyperlink r:id="rId1760" ref="D1761"/>
    <hyperlink r:id="rId1761" ref="D1762"/>
    <hyperlink r:id="rId1762" ref="D1763"/>
    <hyperlink r:id="rId1763" ref="D1764"/>
    <hyperlink r:id="rId1764" ref="D1765"/>
    <hyperlink r:id="rId1765" ref="D1766"/>
    <hyperlink r:id="rId1766" ref="D1767"/>
    <hyperlink r:id="rId1767" ref="D1768"/>
    <hyperlink r:id="rId1768" ref="D1769"/>
    <hyperlink r:id="rId1769" ref="D1770"/>
    <hyperlink r:id="rId1770" ref="D1771"/>
    <hyperlink r:id="rId1771" ref="D1772"/>
    <hyperlink r:id="rId1772" ref="D1773"/>
    <hyperlink r:id="rId1773" ref="D1774"/>
    <hyperlink r:id="rId1774" ref="D1775"/>
    <hyperlink r:id="rId1775" ref="D1776"/>
    <hyperlink r:id="rId1776" ref="D1777"/>
    <hyperlink r:id="rId1777" ref="D1778"/>
    <hyperlink r:id="rId1778" ref="D1779"/>
    <hyperlink r:id="rId1779" ref="D1780"/>
    <hyperlink r:id="rId1780" ref="D1781"/>
    <hyperlink r:id="rId1781" ref="D1782"/>
    <hyperlink r:id="rId1782" ref="D1783"/>
    <hyperlink r:id="rId1783" ref="D1784"/>
    <hyperlink r:id="rId1784" ref="D1785"/>
    <hyperlink r:id="rId1785" ref="D1786"/>
    <hyperlink r:id="rId1786" ref="D1787"/>
    <hyperlink r:id="rId1787" ref="D1788"/>
    <hyperlink r:id="rId1788" ref="D1789"/>
    <hyperlink r:id="rId1789" ref="D1790"/>
    <hyperlink r:id="rId1790" ref="D1791"/>
    <hyperlink r:id="rId1791" ref="D1792"/>
    <hyperlink r:id="rId1792" ref="D1793"/>
    <hyperlink r:id="rId1793" ref="D1794"/>
    <hyperlink r:id="rId1794" ref="D1795"/>
    <hyperlink r:id="rId1795" ref="D1796"/>
    <hyperlink r:id="rId1796" ref="D1797"/>
    <hyperlink r:id="rId1797" ref="D1798"/>
    <hyperlink r:id="rId1798" ref="D1799"/>
    <hyperlink r:id="rId1799" ref="D1800"/>
    <hyperlink r:id="rId1800" ref="D1801"/>
    <hyperlink r:id="rId1801" ref="D1802"/>
    <hyperlink r:id="rId1802" ref="D1803"/>
    <hyperlink r:id="rId1803" ref="D1804"/>
    <hyperlink r:id="rId1804" ref="D1805"/>
    <hyperlink r:id="rId1805" ref="D1806"/>
    <hyperlink r:id="rId1806" ref="D1807"/>
    <hyperlink r:id="rId1807" ref="D1808"/>
    <hyperlink r:id="rId1808" ref="D1809"/>
    <hyperlink r:id="rId1809" ref="D1810"/>
    <hyperlink r:id="rId1810" ref="D1811"/>
    <hyperlink r:id="rId1811" ref="D1812"/>
    <hyperlink r:id="rId1812" ref="D1813"/>
    <hyperlink r:id="rId1813" ref="D1814"/>
    <hyperlink r:id="rId1814" ref="D1815"/>
    <hyperlink r:id="rId1815" ref="D1816"/>
    <hyperlink r:id="rId1816" ref="D1817"/>
    <hyperlink r:id="rId1817" ref="D1818"/>
    <hyperlink r:id="rId1818" ref="D1819"/>
    <hyperlink r:id="rId1819" ref="D1820"/>
    <hyperlink r:id="rId1820" ref="D1821"/>
    <hyperlink r:id="rId1821" ref="D1822"/>
    <hyperlink r:id="rId1822" ref="D1823"/>
    <hyperlink r:id="rId1823" ref="D1824"/>
    <hyperlink r:id="rId1824" ref="D1825"/>
    <hyperlink r:id="rId1825" ref="D1826"/>
    <hyperlink r:id="rId1826" ref="D1827"/>
    <hyperlink r:id="rId1827" ref="D1828"/>
    <hyperlink r:id="rId1828" ref="D1829"/>
    <hyperlink r:id="rId1829" ref="D1830"/>
    <hyperlink r:id="rId1830" ref="D1831"/>
    <hyperlink r:id="rId1831" ref="D1832"/>
    <hyperlink r:id="rId1832" ref="D1833"/>
    <hyperlink r:id="rId1833" ref="D1834"/>
    <hyperlink r:id="rId1834" ref="D1835"/>
    <hyperlink r:id="rId1835" ref="D1836"/>
    <hyperlink r:id="rId1836" ref="D1837"/>
    <hyperlink r:id="rId1837" ref="D1838"/>
    <hyperlink r:id="rId1838" ref="D1839"/>
    <hyperlink r:id="rId1839" ref="D1840"/>
    <hyperlink r:id="rId1840" ref="D1841"/>
    <hyperlink r:id="rId1841" ref="D1842"/>
    <hyperlink r:id="rId1842" ref="D1843"/>
    <hyperlink r:id="rId1843" ref="D1844"/>
    <hyperlink r:id="rId1844" ref="D1845"/>
    <hyperlink r:id="rId1845" ref="D1846"/>
    <hyperlink r:id="rId1846" ref="D1847"/>
    <hyperlink r:id="rId1847" ref="D1848"/>
    <hyperlink r:id="rId1848" ref="D1849"/>
    <hyperlink r:id="rId1849" ref="D1850"/>
    <hyperlink r:id="rId1850" ref="D1851"/>
    <hyperlink r:id="rId1851" ref="D1852"/>
    <hyperlink r:id="rId1852" ref="D1853"/>
    <hyperlink r:id="rId1853" ref="D1854"/>
    <hyperlink r:id="rId1854" ref="D1855"/>
    <hyperlink r:id="rId1855" ref="D1856"/>
    <hyperlink r:id="rId1856" ref="D1857"/>
    <hyperlink r:id="rId1857" ref="D1858"/>
    <hyperlink r:id="rId1858" ref="D1859"/>
    <hyperlink r:id="rId1859" ref="D1860"/>
    <hyperlink r:id="rId1860" ref="D1861"/>
    <hyperlink r:id="rId1861" ref="D1862"/>
    <hyperlink r:id="rId1862" ref="D1863"/>
    <hyperlink r:id="rId1863" ref="D1864"/>
    <hyperlink r:id="rId1864" ref="D1865"/>
    <hyperlink r:id="rId1865" ref="D1866"/>
    <hyperlink r:id="rId1866" ref="D1867"/>
    <hyperlink r:id="rId1867" ref="D1868"/>
    <hyperlink r:id="rId1868" ref="D1869"/>
    <hyperlink r:id="rId1869" ref="D1870"/>
    <hyperlink r:id="rId1870" ref="D1871"/>
    <hyperlink r:id="rId1871" ref="D1872"/>
    <hyperlink r:id="rId1872" ref="D1873"/>
    <hyperlink r:id="rId1873" ref="D1874"/>
    <hyperlink r:id="rId1874" ref="D1875"/>
    <hyperlink r:id="rId1875" ref="D1876"/>
    <hyperlink r:id="rId1876" ref="D1877"/>
    <hyperlink r:id="rId1877" ref="D1878"/>
    <hyperlink r:id="rId1878" ref="D1879"/>
    <hyperlink r:id="rId1879" ref="D1880"/>
    <hyperlink r:id="rId1880" ref="D1881"/>
    <hyperlink r:id="rId1881" ref="D1882"/>
    <hyperlink r:id="rId1882" ref="D1883"/>
    <hyperlink r:id="rId1883" ref="D1884"/>
    <hyperlink r:id="rId1884" ref="D1885"/>
    <hyperlink r:id="rId1885" ref="D1886"/>
    <hyperlink r:id="rId1886" ref="D1887"/>
    <hyperlink r:id="rId1887" ref="D1888"/>
    <hyperlink r:id="rId1888" ref="D1889"/>
    <hyperlink r:id="rId1889" ref="D1890"/>
    <hyperlink r:id="rId1890" ref="D1891"/>
    <hyperlink r:id="rId1891" ref="D1892"/>
    <hyperlink r:id="rId1892" ref="D1893"/>
    <hyperlink r:id="rId1893" ref="D1894"/>
    <hyperlink r:id="rId1894" ref="D1895"/>
    <hyperlink r:id="rId1895" ref="D1896"/>
    <hyperlink r:id="rId1896" ref="D1897"/>
    <hyperlink r:id="rId1897" ref="D1898"/>
    <hyperlink r:id="rId1898" ref="D1899"/>
    <hyperlink r:id="rId1899" ref="D1900"/>
    <hyperlink r:id="rId1900" ref="D1901"/>
    <hyperlink r:id="rId1901" ref="D1902"/>
    <hyperlink r:id="rId1902" ref="D1903"/>
    <hyperlink r:id="rId1903" ref="D1904"/>
    <hyperlink r:id="rId1904" ref="D1905"/>
    <hyperlink r:id="rId1905" ref="D1906"/>
    <hyperlink r:id="rId1906" ref="D1907"/>
    <hyperlink r:id="rId1907" ref="D1908"/>
    <hyperlink r:id="rId1908" ref="D1909"/>
    <hyperlink r:id="rId1909" ref="D1910"/>
    <hyperlink r:id="rId1910" ref="D1911"/>
    <hyperlink r:id="rId1911" ref="D1912"/>
    <hyperlink r:id="rId1912" ref="D1913"/>
    <hyperlink r:id="rId1913" ref="D1914"/>
    <hyperlink r:id="rId1914" ref="D1915"/>
    <hyperlink r:id="rId1915" ref="D1916"/>
    <hyperlink r:id="rId1916" ref="D1917"/>
    <hyperlink r:id="rId1917" ref="D1918"/>
    <hyperlink r:id="rId1918" ref="D1919"/>
    <hyperlink r:id="rId1919" ref="D1920"/>
    <hyperlink r:id="rId1920" ref="D1921"/>
    <hyperlink r:id="rId1921" ref="D1922"/>
    <hyperlink r:id="rId1922" ref="D1923"/>
    <hyperlink r:id="rId1923" ref="D1924"/>
    <hyperlink r:id="rId1924" ref="D1925"/>
    <hyperlink r:id="rId1925" ref="D1926"/>
    <hyperlink r:id="rId1926" ref="D1927"/>
    <hyperlink r:id="rId1927" ref="D1928"/>
    <hyperlink r:id="rId1928" ref="D1929"/>
    <hyperlink r:id="rId1929" ref="D1930"/>
    <hyperlink r:id="rId1930" ref="D1931"/>
    <hyperlink r:id="rId1931" ref="D1932"/>
    <hyperlink r:id="rId1932" ref="D1933"/>
    <hyperlink r:id="rId1933" ref="D1934"/>
    <hyperlink r:id="rId1934" ref="D1935"/>
    <hyperlink r:id="rId1935" ref="D1936"/>
    <hyperlink r:id="rId1936" ref="D1937"/>
    <hyperlink r:id="rId1937" ref="D1938"/>
    <hyperlink r:id="rId1938" ref="D1939"/>
    <hyperlink r:id="rId1939" ref="D1940"/>
    <hyperlink r:id="rId1940" ref="D1941"/>
    <hyperlink r:id="rId1941" ref="D1942"/>
    <hyperlink r:id="rId1942" ref="D1943"/>
    <hyperlink r:id="rId1943" ref="D1944"/>
    <hyperlink r:id="rId1944" ref="D1945"/>
    <hyperlink r:id="rId1945" ref="D1946"/>
    <hyperlink r:id="rId1946" ref="D1947"/>
    <hyperlink r:id="rId1947" ref="D1948"/>
    <hyperlink r:id="rId1948" ref="D1949"/>
    <hyperlink r:id="rId1949" ref="D1950"/>
    <hyperlink r:id="rId1950" ref="D1951"/>
    <hyperlink r:id="rId1951" ref="D1952"/>
    <hyperlink r:id="rId1952" ref="D1953"/>
    <hyperlink r:id="rId1953" ref="D1954"/>
    <hyperlink r:id="rId1954" ref="D1955"/>
    <hyperlink r:id="rId1955" ref="D1956"/>
    <hyperlink r:id="rId1956" ref="D1957"/>
    <hyperlink r:id="rId1957" ref="D1958"/>
    <hyperlink r:id="rId1958" ref="D1959"/>
    <hyperlink r:id="rId1959" ref="D1960"/>
    <hyperlink r:id="rId1960" ref="D1961"/>
    <hyperlink r:id="rId1961" ref="D1962"/>
    <hyperlink r:id="rId1962" ref="D1963"/>
    <hyperlink r:id="rId1963" ref="D1964"/>
    <hyperlink r:id="rId1964" ref="D1965"/>
    <hyperlink r:id="rId1965" ref="D1966"/>
    <hyperlink r:id="rId1966" ref="D1967"/>
    <hyperlink r:id="rId1967" ref="D1968"/>
    <hyperlink r:id="rId1968" ref="D1969"/>
    <hyperlink r:id="rId1969" ref="D1970"/>
    <hyperlink r:id="rId1970" ref="D1971"/>
    <hyperlink r:id="rId1971" ref="D1972"/>
    <hyperlink r:id="rId1972" ref="D1973"/>
    <hyperlink r:id="rId1973" ref="D1974"/>
    <hyperlink r:id="rId1974" ref="D1975"/>
    <hyperlink r:id="rId1975" ref="D1976"/>
    <hyperlink r:id="rId1976" ref="D1977"/>
    <hyperlink r:id="rId1977" ref="D1978"/>
    <hyperlink r:id="rId1978" ref="D1979"/>
    <hyperlink r:id="rId1979" ref="D1980"/>
    <hyperlink r:id="rId1980" ref="D1981"/>
    <hyperlink r:id="rId1981" ref="D1982"/>
    <hyperlink r:id="rId1982" ref="D1983"/>
    <hyperlink r:id="rId1983" ref="D1984"/>
    <hyperlink r:id="rId1984" ref="D1985"/>
    <hyperlink r:id="rId1985" ref="D1986"/>
    <hyperlink r:id="rId1986" ref="D1987"/>
    <hyperlink r:id="rId1987" ref="D1988"/>
    <hyperlink r:id="rId1988" ref="D1989"/>
    <hyperlink r:id="rId1989" ref="D1990"/>
    <hyperlink r:id="rId1990" ref="D1991"/>
    <hyperlink r:id="rId1991" ref="D1992"/>
    <hyperlink r:id="rId1992" ref="D1993"/>
    <hyperlink r:id="rId1993" ref="D1994"/>
    <hyperlink r:id="rId1994" ref="D1995"/>
    <hyperlink r:id="rId1995" ref="D1996"/>
    <hyperlink r:id="rId1996" ref="D1997"/>
    <hyperlink r:id="rId1997" ref="D1998"/>
    <hyperlink r:id="rId1998" ref="D1999"/>
    <hyperlink r:id="rId1999" ref="D2000"/>
    <hyperlink r:id="rId2000" ref="D2001"/>
    <hyperlink r:id="rId2001" ref="D2002"/>
    <hyperlink r:id="rId2002" ref="D2003"/>
    <hyperlink r:id="rId2003" ref="D2004"/>
    <hyperlink r:id="rId2004" ref="D2005"/>
    <hyperlink r:id="rId2005" ref="D2006"/>
    <hyperlink r:id="rId2006" ref="D2007"/>
    <hyperlink r:id="rId2007" ref="D2008"/>
    <hyperlink r:id="rId2008" ref="D2009"/>
    <hyperlink r:id="rId2009" ref="D2010"/>
    <hyperlink r:id="rId2010" ref="D2011"/>
    <hyperlink r:id="rId2011" ref="D2012"/>
    <hyperlink r:id="rId2012" ref="D2013"/>
    <hyperlink r:id="rId2013" ref="D2014"/>
    <hyperlink r:id="rId2014" ref="D2015"/>
    <hyperlink r:id="rId2015" ref="D2016"/>
    <hyperlink r:id="rId2016" ref="D2017"/>
    <hyperlink r:id="rId2017" ref="D2018"/>
    <hyperlink r:id="rId2018" ref="D2019"/>
    <hyperlink r:id="rId2019" ref="D2020"/>
    <hyperlink r:id="rId2020" ref="D2021"/>
    <hyperlink r:id="rId2021" ref="D2022"/>
    <hyperlink r:id="rId2022" ref="D2023"/>
    <hyperlink r:id="rId2023" ref="D2024"/>
    <hyperlink r:id="rId2024" ref="D2025"/>
    <hyperlink r:id="rId2025" ref="D2026"/>
    <hyperlink r:id="rId2026" ref="D2027"/>
    <hyperlink r:id="rId2027" ref="D2028"/>
    <hyperlink r:id="rId2028" ref="D2029"/>
    <hyperlink r:id="rId2029" ref="D2030"/>
    <hyperlink r:id="rId2030" ref="D2031"/>
    <hyperlink r:id="rId2031" ref="D2032"/>
    <hyperlink r:id="rId2032" ref="D2033"/>
    <hyperlink r:id="rId2033" ref="D2034"/>
    <hyperlink r:id="rId2034" ref="D2035"/>
    <hyperlink r:id="rId2035" ref="D2036"/>
    <hyperlink r:id="rId2036" ref="D2037"/>
    <hyperlink r:id="rId2037" ref="D2038"/>
    <hyperlink r:id="rId2038" ref="D2039"/>
    <hyperlink r:id="rId2039" ref="D2040"/>
    <hyperlink r:id="rId2040" ref="D2041"/>
    <hyperlink r:id="rId2041" ref="D2042"/>
    <hyperlink r:id="rId2042" ref="D2043"/>
    <hyperlink r:id="rId2043" ref="D2044"/>
    <hyperlink r:id="rId2044" ref="D2045"/>
    <hyperlink r:id="rId2045" ref="D2046"/>
    <hyperlink r:id="rId2046" ref="D2047"/>
    <hyperlink r:id="rId2047" ref="D2048"/>
    <hyperlink r:id="rId2048" ref="D2049"/>
    <hyperlink r:id="rId2049" ref="D2050"/>
    <hyperlink r:id="rId2050" ref="D2051"/>
    <hyperlink r:id="rId2051" ref="D2052"/>
    <hyperlink r:id="rId2052" ref="D2053"/>
    <hyperlink r:id="rId2053" ref="D2054"/>
    <hyperlink r:id="rId2054" ref="D2055"/>
    <hyperlink r:id="rId2055" ref="D2056"/>
    <hyperlink r:id="rId2056" ref="D2057"/>
    <hyperlink r:id="rId2057" ref="D2058"/>
    <hyperlink r:id="rId2058" ref="D2059"/>
    <hyperlink r:id="rId2059" ref="D2060"/>
    <hyperlink r:id="rId2060" ref="D2061"/>
    <hyperlink r:id="rId2061" ref="D2062"/>
    <hyperlink r:id="rId2062" ref="D2063"/>
    <hyperlink r:id="rId2063" ref="D2064"/>
    <hyperlink r:id="rId2064" ref="D2065"/>
    <hyperlink r:id="rId2065" ref="D2066"/>
    <hyperlink r:id="rId2066" ref="D2067"/>
    <hyperlink r:id="rId2067" ref="D2068"/>
    <hyperlink r:id="rId2068" ref="D2069"/>
    <hyperlink r:id="rId2069" ref="D2070"/>
    <hyperlink r:id="rId2070" ref="D2071"/>
    <hyperlink r:id="rId2071" ref="D2072"/>
    <hyperlink r:id="rId2072" ref="D2073"/>
    <hyperlink r:id="rId2073" ref="D2074"/>
    <hyperlink r:id="rId2074" ref="D2075"/>
    <hyperlink r:id="rId2075" ref="D2076"/>
    <hyperlink r:id="rId2076" ref="D2077"/>
    <hyperlink r:id="rId2077" ref="D2078"/>
    <hyperlink r:id="rId2078" ref="D2079"/>
    <hyperlink r:id="rId2079" ref="D2080"/>
    <hyperlink r:id="rId2080" ref="D2081"/>
    <hyperlink r:id="rId2081" ref="D2082"/>
    <hyperlink r:id="rId2082" ref="D2083"/>
    <hyperlink r:id="rId2083" ref="D2084"/>
    <hyperlink r:id="rId2084" ref="D2085"/>
    <hyperlink r:id="rId2085" ref="D2086"/>
    <hyperlink r:id="rId2086" ref="D2087"/>
    <hyperlink r:id="rId2087" ref="D2088"/>
    <hyperlink r:id="rId2088" ref="D2089"/>
    <hyperlink r:id="rId2089" ref="D2090"/>
    <hyperlink r:id="rId2090" ref="D2091"/>
    <hyperlink r:id="rId2091" ref="D2092"/>
    <hyperlink r:id="rId2092" ref="D2093"/>
    <hyperlink r:id="rId2093" ref="D2094"/>
    <hyperlink r:id="rId2094" ref="D2095"/>
    <hyperlink r:id="rId2095" ref="D2096"/>
    <hyperlink r:id="rId2096" ref="D2097"/>
    <hyperlink r:id="rId2097" ref="D2098"/>
    <hyperlink r:id="rId2098" ref="D2099"/>
    <hyperlink r:id="rId2099" ref="D2100"/>
    <hyperlink r:id="rId2100" ref="D2101"/>
    <hyperlink r:id="rId2101" ref="D2102"/>
    <hyperlink r:id="rId2102" ref="D2103"/>
    <hyperlink r:id="rId2103" ref="D2104"/>
    <hyperlink r:id="rId2104" ref="D2105"/>
    <hyperlink r:id="rId2105" ref="D2106"/>
    <hyperlink r:id="rId2106" ref="D2107"/>
    <hyperlink r:id="rId2107" ref="D2108"/>
    <hyperlink r:id="rId2108" ref="D2109"/>
    <hyperlink r:id="rId2109" ref="D2110"/>
    <hyperlink r:id="rId2110" ref="D2111"/>
    <hyperlink r:id="rId2111" ref="D2112"/>
    <hyperlink r:id="rId2112" ref="D2113"/>
    <hyperlink r:id="rId2113" ref="D2114"/>
    <hyperlink r:id="rId2114" ref="D2115"/>
    <hyperlink r:id="rId2115" ref="D2116"/>
    <hyperlink r:id="rId2116" ref="D2117"/>
    <hyperlink r:id="rId2117" ref="D2118"/>
    <hyperlink r:id="rId2118" ref="D2119"/>
    <hyperlink r:id="rId2119" ref="D2120"/>
    <hyperlink r:id="rId2120" ref="D2121"/>
    <hyperlink r:id="rId2121" ref="D2122"/>
    <hyperlink r:id="rId2122" ref="D2123"/>
    <hyperlink r:id="rId2123" ref="D2124"/>
    <hyperlink r:id="rId2124" ref="D2125"/>
    <hyperlink r:id="rId2125" ref="D2126"/>
    <hyperlink r:id="rId2126" ref="D2127"/>
    <hyperlink r:id="rId2127" ref="D2128"/>
    <hyperlink r:id="rId2128" ref="D2129"/>
    <hyperlink r:id="rId2129" ref="D2130"/>
    <hyperlink r:id="rId2130" ref="D2131"/>
    <hyperlink r:id="rId2131" ref="D2132"/>
    <hyperlink r:id="rId2132" ref="D2133"/>
    <hyperlink r:id="rId2133" ref="D2134"/>
    <hyperlink r:id="rId2134" ref="D2135"/>
    <hyperlink r:id="rId2135" ref="D2136"/>
    <hyperlink r:id="rId2136" ref="D2137"/>
    <hyperlink r:id="rId2137" ref="D2138"/>
    <hyperlink r:id="rId2138" ref="D2139"/>
    <hyperlink r:id="rId2139" ref="D2140"/>
    <hyperlink r:id="rId2140" ref="D2141"/>
    <hyperlink r:id="rId2141" ref="D2142"/>
    <hyperlink r:id="rId2142" ref="D2143"/>
    <hyperlink r:id="rId2143" ref="D2144"/>
    <hyperlink r:id="rId2144" ref="D2145"/>
    <hyperlink r:id="rId2145" ref="D2146"/>
    <hyperlink r:id="rId2146" ref="D2147"/>
    <hyperlink r:id="rId2147" ref="D2148"/>
    <hyperlink r:id="rId2148" ref="D2149"/>
    <hyperlink r:id="rId2149" ref="D2150"/>
    <hyperlink r:id="rId2150" ref="D2151"/>
    <hyperlink r:id="rId2151" ref="D2152"/>
    <hyperlink r:id="rId2152" ref="D2153"/>
    <hyperlink r:id="rId2153" ref="D2154"/>
    <hyperlink r:id="rId2154" ref="D2155"/>
    <hyperlink r:id="rId2155" ref="D2156"/>
    <hyperlink r:id="rId2156" ref="D2157"/>
    <hyperlink r:id="rId2157" ref="D2158"/>
    <hyperlink r:id="rId2158" ref="D2159"/>
    <hyperlink r:id="rId2159" ref="D2160"/>
    <hyperlink r:id="rId2160" ref="D2161"/>
    <hyperlink r:id="rId2161" ref="D2162"/>
    <hyperlink r:id="rId2162" ref="D2163"/>
    <hyperlink r:id="rId2163" ref="D2164"/>
    <hyperlink r:id="rId2164" ref="D2165"/>
    <hyperlink r:id="rId2165" ref="D2166"/>
    <hyperlink r:id="rId2166" ref="D2167"/>
    <hyperlink r:id="rId2167" ref="D2168"/>
    <hyperlink r:id="rId2168" ref="D2169"/>
    <hyperlink r:id="rId2169" ref="D2170"/>
    <hyperlink r:id="rId2170" ref="D2171"/>
    <hyperlink r:id="rId2171" ref="D2172"/>
    <hyperlink r:id="rId2172" ref="D2173"/>
    <hyperlink r:id="rId2173" ref="D2174"/>
    <hyperlink r:id="rId2174" ref="D2175"/>
    <hyperlink r:id="rId2175" ref="D2176"/>
    <hyperlink r:id="rId2176" ref="D2177"/>
    <hyperlink r:id="rId2177" ref="D2178"/>
    <hyperlink r:id="rId2178" ref="D2179"/>
    <hyperlink r:id="rId2179" ref="D2180"/>
    <hyperlink r:id="rId2180" ref="D2181"/>
    <hyperlink r:id="rId2181" ref="D2182"/>
    <hyperlink r:id="rId2182" ref="D2183"/>
    <hyperlink r:id="rId2183" ref="D2184"/>
    <hyperlink r:id="rId2184" ref="D2185"/>
    <hyperlink r:id="rId2185" ref="D2186"/>
    <hyperlink r:id="rId2186" ref="D2187"/>
    <hyperlink r:id="rId2187" ref="D2188"/>
    <hyperlink r:id="rId2188" ref="D2189"/>
    <hyperlink r:id="rId2189" ref="D2190"/>
    <hyperlink r:id="rId2190" ref="D2191"/>
    <hyperlink r:id="rId2191" ref="D2192"/>
    <hyperlink r:id="rId2192" ref="D2193"/>
    <hyperlink r:id="rId2193" ref="D2194"/>
    <hyperlink r:id="rId2194" ref="D2195"/>
    <hyperlink r:id="rId2195" ref="D2196"/>
    <hyperlink r:id="rId2196" ref="D2197"/>
    <hyperlink r:id="rId2197" ref="D2198"/>
    <hyperlink r:id="rId2198" ref="D2199"/>
    <hyperlink r:id="rId2199" ref="D2200"/>
    <hyperlink r:id="rId2200" ref="D2201"/>
    <hyperlink r:id="rId2201" ref="D2202"/>
    <hyperlink r:id="rId2202" ref="D2203"/>
    <hyperlink r:id="rId2203" ref="D2204"/>
    <hyperlink r:id="rId2204" ref="D2205"/>
    <hyperlink r:id="rId2205" ref="D2206"/>
    <hyperlink r:id="rId2206" ref="D2207"/>
    <hyperlink r:id="rId2207" ref="D2208"/>
    <hyperlink r:id="rId2208" ref="D2209"/>
    <hyperlink r:id="rId2209" ref="D2210"/>
    <hyperlink r:id="rId2210" ref="D2211"/>
    <hyperlink r:id="rId2211" ref="D2212"/>
    <hyperlink r:id="rId2212" ref="D2213"/>
    <hyperlink r:id="rId2213" ref="D2214"/>
    <hyperlink r:id="rId2214" ref="D2215"/>
    <hyperlink r:id="rId2215" ref="D2216"/>
    <hyperlink r:id="rId2216" ref="D2217"/>
    <hyperlink r:id="rId2217" ref="D2218"/>
    <hyperlink r:id="rId2218" ref="D2219"/>
    <hyperlink r:id="rId2219" ref="D2220"/>
    <hyperlink r:id="rId2220" ref="D2221"/>
    <hyperlink r:id="rId2221" ref="D2222"/>
    <hyperlink r:id="rId2222" ref="D2223"/>
    <hyperlink r:id="rId2223" ref="D2224"/>
    <hyperlink r:id="rId2224" ref="D2225"/>
    <hyperlink r:id="rId2225" ref="D2226"/>
    <hyperlink r:id="rId2226" ref="D2227"/>
    <hyperlink r:id="rId2227" ref="D2228"/>
    <hyperlink r:id="rId2228" ref="D2229"/>
    <hyperlink r:id="rId2229" ref="D2230"/>
    <hyperlink r:id="rId2230" ref="D2231"/>
    <hyperlink r:id="rId2231" ref="D2232"/>
    <hyperlink r:id="rId2232" ref="D2233"/>
    <hyperlink r:id="rId2233" ref="D2234"/>
    <hyperlink r:id="rId2234" ref="D2235"/>
    <hyperlink r:id="rId2235" ref="D2236"/>
    <hyperlink r:id="rId2236" ref="D2237"/>
    <hyperlink r:id="rId2237" ref="D2238"/>
    <hyperlink r:id="rId2238" ref="D2239"/>
    <hyperlink r:id="rId2239" ref="D2240"/>
    <hyperlink r:id="rId2240" ref="D2241"/>
    <hyperlink r:id="rId2241" ref="D2242"/>
    <hyperlink r:id="rId2242" ref="D2243"/>
    <hyperlink r:id="rId2243" ref="D2244"/>
    <hyperlink r:id="rId2244" ref="D2245"/>
    <hyperlink r:id="rId2245" ref="D2246"/>
    <hyperlink r:id="rId2246" ref="D2247"/>
    <hyperlink r:id="rId2247" ref="D2248"/>
    <hyperlink r:id="rId2248" ref="D2249"/>
    <hyperlink r:id="rId2249" ref="D2250"/>
    <hyperlink r:id="rId2250" ref="D2251"/>
    <hyperlink r:id="rId2251" ref="D2252"/>
    <hyperlink r:id="rId2252" ref="D2253"/>
    <hyperlink r:id="rId2253" ref="D2254"/>
    <hyperlink r:id="rId2254" ref="D2255"/>
    <hyperlink r:id="rId2255" ref="D2256"/>
    <hyperlink r:id="rId2256" ref="D2257"/>
    <hyperlink r:id="rId2257" ref="D2258"/>
    <hyperlink r:id="rId2258" ref="D2259"/>
    <hyperlink r:id="rId2259" ref="D2260"/>
    <hyperlink r:id="rId2260" ref="D2261"/>
    <hyperlink r:id="rId2261" ref="D2262"/>
    <hyperlink r:id="rId2262" ref="D2263"/>
    <hyperlink r:id="rId2263" ref="D2264"/>
    <hyperlink r:id="rId2264" ref="D2265"/>
    <hyperlink r:id="rId2265" ref="D2266"/>
    <hyperlink r:id="rId2266" ref="D2267"/>
    <hyperlink r:id="rId2267" ref="D2268"/>
    <hyperlink r:id="rId2268" ref="D2269"/>
    <hyperlink r:id="rId2269" ref="D2270"/>
    <hyperlink r:id="rId2270" ref="D2271"/>
    <hyperlink r:id="rId2271" ref="D2272"/>
    <hyperlink r:id="rId2272" ref="D2273"/>
    <hyperlink r:id="rId2273" ref="D2274"/>
    <hyperlink r:id="rId2274" ref="D2275"/>
    <hyperlink r:id="rId2275" ref="D2276"/>
    <hyperlink r:id="rId2276" ref="D2277"/>
    <hyperlink r:id="rId2277" ref="D2278"/>
    <hyperlink r:id="rId2278" ref="D2279"/>
    <hyperlink r:id="rId2279" ref="D2280"/>
    <hyperlink r:id="rId2280" ref="D2281"/>
    <hyperlink r:id="rId2281" ref="D2282"/>
    <hyperlink r:id="rId2282" ref="D2283"/>
    <hyperlink r:id="rId2283" ref="D2284"/>
    <hyperlink r:id="rId2284" ref="D2285"/>
    <hyperlink r:id="rId2285" ref="D2286"/>
    <hyperlink r:id="rId2286" ref="D2287"/>
    <hyperlink r:id="rId2287" ref="D2288"/>
    <hyperlink r:id="rId2288" ref="D2289"/>
    <hyperlink r:id="rId2289" ref="D2290"/>
    <hyperlink r:id="rId2290" ref="D2291"/>
    <hyperlink r:id="rId2291" ref="D2292"/>
    <hyperlink r:id="rId2292" ref="D2293"/>
    <hyperlink r:id="rId2293" ref="D2294"/>
    <hyperlink r:id="rId2294" ref="D2295"/>
    <hyperlink r:id="rId2295" ref="D2296"/>
    <hyperlink r:id="rId2296" ref="D2297"/>
    <hyperlink r:id="rId2297" ref="D2298"/>
    <hyperlink r:id="rId2298" ref="D2299"/>
    <hyperlink r:id="rId2299" ref="D2300"/>
    <hyperlink r:id="rId2300" ref="D2301"/>
    <hyperlink r:id="rId2301" ref="D2302"/>
    <hyperlink r:id="rId2302" ref="D2303"/>
    <hyperlink r:id="rId2303" ref="D2304"/>
    <hyperlink r:id="rId2304" ref="D2305"/>
    <hyperlink r:id="rId2305" ref="D2306"/>
    <hyperlink r:id="rId2306" ref="D2307"/>
    <hyperlink r:id="rId2307" ref="D2308"/>
    <hyperlink r:id="rId2308" ref="D2309"/>
    <hyperlink r:id="rId2309" ref="D2310"/>
    <hyperlink r:id="rId2310" ref="D2311"/>
    <hyperlink r:id="rId2311" ref="D2312"/>
    <hyperlink r:id="rId2312" ref="D2313"/>
    <hyperlink r:id="rId2313" ref="D2314"/>
    <hyperlink r:id="rId2314" ref="D2315"/>
    <hyperlink r:id="rId2315" ref="D2316"/>
    <hyperlink r:id="rId2316" ref="D2317"/>
    <hyperlink r:id="rId2317" ref="D2318"/>
    <hyperlink r:id="rId2318" ref="D2319"/>
    <hyperlink r:id="rId2319" ref="D2320"/>
    <hyperlink r:id="rId2320" ref="D2321"/>
    <hyperlink r:id="rId2321" ref="D2322"/>
    <hyperlink r:id="rId2322" ref="D2323"/>
    <hyperlink r:id="rId2323" ref="D2324"/>
    <hyperlink r:id="rId2324" ref="D2325"/>
    <hyperlink r:id="rId2325" ref="D2326"/>
    <hyperlink r:id="rId2326" ref="D2327"/>
    <hyperlink r:id="rId2327" ref="D2328"/>
    <hyperlink r:id="rId2328" ref="D2329"/>
    <hyperlink r:id="rId2329" ref="D2330"/>
    <hyperlink r:id="rId2330" ref="D2331"/>
    <hyperlink r:id="rId2331" ref="D2332"/>
    <hyperlink r:id="rId2332" ref="D2333"/>
    <hyperlink r:id="rId2333" ref="D2334"/>
    <hyperlink r:id="rId2334" ref="D2335"/>
    <hyperlink r:id="rId2335" ref="D2336"/>
    <hyperlink r:id="rId2336" ref="D2337"/>
    <hyperlink r:id="rId2337" ref="D2338"/>
    <hyperlink r:id="rId2338" ref="D2339"/>
    <hyperlink r:id="rId2339" ref="D2340"/>
    <hyperlink r:id="rId2340" ref="D2341"/>
    <hyperlink r:id="rId2341" ref="D2342"/>
    <hyperlink r:id="rId2342" ref="D2343"/>
    <hyperlink r:id="rId2343" ref="D2344"/>
    <hyperlink r:id="rId2344" ref="D2345"/>
    <hyperlink r:id="rId2345" ref="D2346"/>
    <hyperlink r:id="rId2346" ref="D2347"/>
    <hyperlink r:id="rId2347" ref="D2348"/>
    <hyperlink r:id="rId2348" ref="D2349"/>
    <hyperlink r:id="rId2349" ref="D2350"/>
    <hyperlink r:id="rId2350" ref="D2351"/>
    <hyperlink r:id="rId2351" ref="D2352"/>
    <hyperlink r:id="rId2352" ref="D2353"/>
    <hyperlink r:id="rId2353" ref="D2354"/>
    <hyperlink r:id="rId2354" ref="D2355"/>
    <hyperlink r:id="rId2355" ref="D2356"/>
    <hyperlink r:id="rId2356" ref="D2357"/>
    <hyperlink r:id="rId2357" ref="D2358"/>
    <hyperlink r:id="rId2358" ref="D2359"/>
    <hyperlink r:id="rId2359" ref="D2360"/>
    <hyperlink r:id="rId2360" ref="D2361"/>
    <hyperlink r:id="rId2361" ref="D2362"/>
    <hyperlink r:id="rId2362" ref="D2363"/>
    <hyperlink r:id="rId2363" ref="D2364"/>
    <hyperlink r:id="rId2364" ref="D2365"/>
    <hyperlink r:id="rId2365" ref="D2366"/>
    <hyperlink r:id="rId2366" ref="D2367"/>
    <hyperlink r:id="rId2367" ref="D2368"/>
    <hyperlink r:id="rId2368" ref="D2369"/>
    <hyperlink r:id="rId2369" ref="D2370"/>
    <hyperlink r:id="rId2370" ref="D2371"/>
    <hyperlink r:id="rId2371" ref="D2372"/>
    <hyperlink r:id="rId2372" ref="D2373"/>
    <hyperlink r:id="rId2373" ref="D2374"/>
    <hyperlink r:id="rId2374" ref="D2375"/>
    <hyperlink r:id="rId2375" ref="D2376"/>
    <hyperlink r:id="rId2376" ref="D2377"/>
    <hyperlink r:id="rId2377" ref="D2378"/>
    <hyperlink r:id="rId2378" ref="D2379"/>
    <hyperlink r:id="rId2379" ref="D2380"/>
    <hyperlink r:id="rId2380" ref="D2381"/>
    <hyperlink r:id="rId2381" ref="D2382"/>
    <hyperlink r:id="rId2382" ref="D2383"/>
    <hyperlink r:id="rId2383" ref="D2384"/>
    <hyperlink r:id="rId2384" ref="D2385"/>
    <hyperlink r:id="rId2385" ref="D2386"/>
    <hyperlink r:id="rId2386" ref="D2387"/>
    <hyperlink r:id="rId2387" ref="D2388"/>
    <hyperlink r:id="rId2388" ref="D2389"/>
    <hyperlink r:id="rId2389" ref="D2390"/>
    <hyperlink r:id="rId2390" ref="D2391"/>
    <hyperlink r:id="rId2391" ref="D2392"/>
    <hyperlink r:id="rId2392" ref="D2393"/>
    <hyperlink r:id="rId2393" ref="D2394"/>
    <hyperlink r:id="rId2394" ref="D2395"/>
    <hyperlink r:id="rId2395" ref="D2396"/>
    <hyperlink r:id="rId2396" ref="D2397"/>
    <hyperlink r:id="rId2397" ref="D2398"/>
    <hyperlink r:id="rId2398" ref="D2399"/>
    <hyperlink r:id="rId2399" ref="D2400"/>
    <hyperlink r:id="rId2400" ref="D2401"/>
    <hyperlink r:id="rId2401" ref="D2402"/>
    <hyperlink r:id="rId2402" ref="D2403"/>
    <hyperlink r:id="rId2403" ref="D2404"/>
    <hyperlink r:id="rId2404" ref="D2405"/>
    <hyperlink r:id="rId2405" ref="D2406"/>
    <hyperlink r:id="rId2406" ref="D2407"/>
    <hyperlink r:id="rId2407" ref="D2408"/>
    <hyperlink r:id="rId2408" ref="D2409"/>
    <hyperlink r:id="rId2409" ref="D2410"/>
    <hyperlink r:id="rId2410" ref="D2411"/>
    <hyperlink r:id="rId2411" ref="D2412"/>
    <hyperlink r:id="rId2412" ref="D2413"/>
    <hyperlink r:id="rId2413" ref="D2414"/>
    <hyperlink r:id="rId2414" ref="D2415"/>
    <hyperlink r:id="rId2415" ref="D2416"/>
    <hyperlink r:id="rId2416" ref="D2417"/>
    <hyperlink r:id="rId2417" ref="D2418"/>
    <hyperlink r:id="rId2418" ref="D2419"/>
    <hyperlink r:id="rId2419" ref="D2420"/>
    <hyperlink r:id="rId2420" ref="D2421"/>
    <hyperlink r:id="rId2421" ref="D2422"/>
    <hyperlink r:id="rId2422" ref="D2423"/>
    <hyperlink r:id="rId2423" ref="D2424"/>
    <hyperlink r:id="rId2424" ref="D2425"/>
    <hyperlink r:id="rId2425" ref="D2426"/>
    <hyperlink r:id="rId2426" ref="D2427"/>
    <hyperlink r:id="rId2427" ref="D2428"/>
    <hyperlink r:id="rId2428" ref="D2429"/>
    <hyperlink r:id="rId2429" ref="D2430"/>
    <hyperlink r:id="rId2430" ref="D2431"/>
    <hyperlink r:id="rId2431" ref="D2432"/>
    <hyperlink r:id="rId2432" ref="D2433"/>
    <hyperlink r:id="rId2433" ref="D2434"/>
    <hyperlink r:id="rId2434" ref="D2435"/>
    <hyperlink r:id="rId2435" ref="D2436"/>
    <hyperlink r:id="rId2436" ref="D2437"/>
    <hyperlink r:id="rId2437" ref="D2438"/>
    <hyperlink r:id="rId2438" ref="D2439"/>
    <hyperlink r:id="rId2439" ref="D2440"/>
    <hyperlink r:id="rId2440" ref="D2441"/>
    <hyperlink r:id="rId2441" ref="D2442"/>
    <hyperlink r:id="rId2442" ref="D2443"/>
    <hyperlink r:id="rId2443" ref="D2444"/>
    <hyperlink r:id="rId2444" ref="D2445"/>
    <hyperlink r:id="rId2445" ref="D2446"/>
    <hyperlink r:id="rId2446" ref="D2447"/>
    <hyperlink r:id="rId2447" ref="D2448"/>
    <hyperlink r:id="rId2448" ref="D2449"/>
    <hyperlink r:id="rId2449" ref="D2450"/>
    <hyperlink r:id="rId2450" ref="D2451"/>
    <hyperlink r:id="rId2451" ref="D2452"/>
    <hyperlink r:id="rId2452" ref="D2453"/>
    <hyperlink r:id="rId2453" ref="D2454"/>
    <hyperlink r:id="rId2454" ref="D2455"/>
    <hyperlink r:id="rId2455" ref="D2456"/>
    <hyperlink r:id="rId2456" ref="D2457"/>
    <hyperlink r:id="rId2457" ref="D2458"/>
    <hyperlink r:id="rId2458" ref="D2459"/>
    <hyperlink r:id="rId2459" ref="D2460"/>
    <hyperlink r:id="rId2460" ref="D2461"/>
    <hyperlink r:id="rId2461" ref="D2462"/>
    <hyperlink r:id="rId2462" ref="D2463"/>
    <hyperlink r:id="rId2463" ref="D2464"/>
    <hyperlink r:id="rId2464" ref="D2465"/>
    <hyperlink r:id="rId2465" ref="D2466"/>
    <hyperlink r:id="rId2466" ref="D2467"/>
    <hyperlink r:id="rId2467" ref="D2468"/>
    <hyperlink r:id="rId2468" ref="D2469"/>
    <hyperlink r:id="rId2469" ref="D2470"/>
    <hyperlink r:id="rId2470" ref="D2471"/>
    <hyperlink r:id="rId2471" ref="D2472"/>
    <hyperlink r:id="rId2472" ref="D2473"/>
    <hyperlink r:id="rId2473" ref="D2474"/>
    <hyperlink r:id="rId2474" ref="D2475"/>
    <hyperlink r:id="rId2475" ref="D2476"/>
    <hyperlink r:id="rId2476" ref="D2477"/>
    <hyperlink r:id="rId2477" ref="D2478"/>
    <hyperlink r:id="rId2478" ref="D2479"/>
    <hyperlink r:id="rId2479" ref="D2480"/>
    <hyperlink r:id="rId2480" ref="D2481"/>
    <hyperlink r:id="rId2481" ref="D2482"/>
    <hyperlink r:id="rId2482" ref="D2483"/>
    <hyperlink r:id="rId2483" ref="D2484"/>
    <hyperlink r:id="rId2484" ref="D2485"/>
    <hyperlink r:id="rId2485" ref="D2486"/>
    <hyperlink r:id="rId2486" ref="D2487"/>
    <hyperlink r:id="rId2487" ref="D2488"/>
    <hyperlink r:id="rId2488" ref="D2489"/>
    <hyperlink r:id="rId2489" ref="D2490"/>
    <hyperlink r:id="rId2490" ref="D2491"/>
    <hyperlink r:id="rId2491" ref="D2492"/>
    <hyperlink r:id="rId2492" ref="D2493"/>
    <hyperlink r:id="rId2493" ref="D2494"/>
    <hyperlink r:id="rId2494" ref="D2495"/>
    <hyperlink r:id="rId2495" ref="D2496"/>
    <hyperlink r:id="rId2496" ref="D2497"/>
    <hyperlink r:id="rId2497" ref="D2498"/>
    <hyperlink r:id="rId2498" ref="D2499"/>
    <hyperlink r:id="rId2499" ref="D2500"/>
    <hyperlink r:id="rId2500" ref="D2501"/>
    <hyperlink r:id="rId2501" ref="D2502"/>
    <hyperlink r:id="rId2502" ref="D2503"/>
    <hyperlink r:id="rId2503" ref="D2504"/>
    <hyperlink r:id="rId2504" ref="D2505"/>
  </hyperlinks>
  <drawing r:id="rId250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2.63"/>
    <col customWidth="1" min="2" max="2" width="17.63"/>
    <col customWidth="1" min="3" max="3" width="52.63"/>
    <col customWidth="1" min="4" max="4" width="18.88"/>
  </cols>
  <sheetData>
    <row r="1">
      <c r="A1" s="2" t="s">
        <v>172</v>
      </c>
      <c r="B1" s="2" t="s">
        <v>173</v>
      </c>
      <c r="C1" s="24" t="s">
        <v>174</v>
      </c>
      <c r="D1" s="2" t="s">
        <v>177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20" t="str">
        <f>IFERROR(__xludf.DUMMYFUNCTION("QUERY('Chi tiết từng link'!D2:D2505,""select D, count(D) where D &lt;&gt; '' group by D order by count(D) desc label count(D) ''"",0)"),"https://techcombank.com/thong-tin/blog/no-xau-mo-the-tin-dung-duoc-khong")</f>
        <v>https://techcombank.com/thong-tin/blog/no-xau-mo-the-tin-dung-duoc-khong</v>
      </c>
      <c r="B2" s="25">
        <f>IFERROR(__xludf.DUMMYFUNCTION("""COMPUTED_VALUE"""),12.0)</f>
        <v>12</v>
      </c>
      <c r="C2" s="5" t="str">
        <f>IFERROR(__xludf.DUMMYFUNCTION("IF(A2="""","""",TEXTJOIN(CHAR(10),TRUE,FILTER('Chi tiết từng link'!$B$2:$B$2505,'Chi tiết từng link'!$D$2:$D$2505=A2)))"),"https://techcombank.com/thong-tin/blog/cic-la-gi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https://techcombank.com/thong-tin/blog/ho-so-thu-tuc-xoa-the-chap
h"&amp;"ttps://techcombank.com/thong-tin/blog/rut-tien-tiet-kiem-truoc-thoi-han
https://techcombank.com/thong-tin/blog/kiem-tra-no-xau
https://techcombank.com/thong-tin/blog/no-xau-la-gi
https://techcombank.com/thong-tin/blog/vay-tin-chap-khong-tra-duoc-co-sao-kh"&amp;"ong")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https://techcombank.com/thong-tin/blog/ho-so-thu-tuc-xoa-the-chap
https://techcombank.com/thong-tin/blog/rut-tien-tiet-kiem-truoc-thoi-han
https://techcombank.com/thong-tin/blog/kiem-tra-no-xau
https://techcombank.com/thong-tin/blog/no-xau-la-gi
https://techcombank.com/thong-tin/blog/vay-tin-chap-khong-tra-duoc-co-sao-khong</v>
      </c>
      <c r="D2" s="5" t="str">
        <f t="shared" ref="D2:D1000" si="1">IF(A2="","",IF(B2&gt;3,"Vượt giới hạn 3","OK"))</f>
        <v>Vượt giới hạn 3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20" t="str">
        <f>IFERROR(__xludf.DUMMYFUNCTION("""COMPUTED_VALUE"""),"https://techcombank.com/thong-tin/blog/no-xau-nhom-2")</f>
        <v>https://techcombank.com/thong-tin/blog/no-xau-nhom-2</v>
      </c>
      <c r="B3" s="25">
        <f>IFERROR(__xludf.DUMMYFUNCTION("""COMPUTED_VALUE"""),12.0)</f>
        <v>12</v>
      </c>
      <c r="C3" s="5" t="str">
        <f>IFERROR(__xludf.DUMMYFUNCTION("IF(A3="""","""",TEXTJOIN(CHAR(10),TRUE,FILTER('Chi tiết từng link'!$B$2:$B$2505,'Chi tiết từng link'!$D$2:$D$2505=A3)))"),"https://techcombank.com/thong-tin/blog/cic-la-gi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https://techcombank.com/thong-tin/blog/cach-tinh-lai-vay-ngan-hang
"&amp;"https://techcombank.com/cong-cu-tien-ich/cong-cu-tinh-toan/bang-tinh-lai-suat-vay
https://techcombank.com/thong-tin/blog/kiem-tra-no-xau
https://techcombank.com/thong-tin/blog/no-xau-la-gi
https://techcombank.com/thong-tin/blog/vay-tin-chap-khong-tra-duoc"&amp;"-co-sao-khong")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https://techcombank.com/thong-tin/blog/cach-tinh-lai-vay-ngan-hang
https://techcombank.com/cong-cu-tien-ich/cong-cu-tinh-toan/bang-tinh-lai-suat-vay
https://techcombank.com/thong-tin/blog/kiem-tra-no-xau
https://techcombank.com/thong-tin/blog/no-xau-la-gi
https://techcombank.com/thong-tin/blog/vay-tin-chap-khong-tra-duoc-co-sao-khong</v>
      </c>
      <c r="D3" s="5" t="str">
        <f t="shared" si="1"/>
        <v>Vượt giới hạn 3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20" t="str">
        <f>IFERROR(__xludf.DUMMYFUNCTION("""COMPUTED_VALUE"""),"https://techcombank.com/thong-tin/blog/qua-han-thanh-toan-the-tin-dung-1-ngay")</f>
        <v>https://techcombank.com/thong-tin/blog/qua-han-thanh-toan-the-tin-dung-1-ngay</v>
      </c>
      <c r="B4" s="25">
        <f>IFERROR(__xludf.DUMMYFUNCTION("""COMPUTED_VALUE"""),11.0)</f>
        <v>11</v>
      </c>
      <c r="C4" s="5" t="str">
        <f>IFERROR(__xludf.DUMMYFUNCTION("IF(A4="""","""",TEXTJOIN(CHAR(10),TRUE,FILTER('Chi tiết từng link'!$B$2:$B$2505,'Chi tiết từng link'!$D$2:$D$2505=A4)))"),"https://techcombank.com/thong-tin/blog/cic-la-gi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https://techcombank.com/thong-tin/blog/cach-tinh-lai-suat-tien-gui-"&amp;"tiet-kiem
https://techcombank.com/cong-cu-tien-ich/cong-cu-tinh-toan/bang-tinh-lai-suat-tiet-kiem
https://techcombank.com/thong-tin/blog/no-xau-la-gi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https://techcombank.com/thong-tin/blog/cach-tinh-lai-suat-tien-gui-tiet-kiem
https://techcombank.com/cong-cu-tien-ich/cong-cu-tinh-toan/bang-tinh-lai-suat-tiet-kiem
https://techcombank.com/thong-tin/blog/no-xau-la-gi
https://techcombank.com/thong-tin/blog/vay-tin-chap-khong-tra-duoc-co-sao-khong</v>
      </c>
      <c r="D4" s="5" t="str">
        <f t="shared" si="1"/>
        <v>Vượt giới hạn 3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20" t="str">
        <f>IFERROR(__xludf.DUMMYFUNCTION("""COMPUTED_VALUE"""),"https://techcombank.com/thong-tin/blog/cach-su-dung-the-tin-dung")</f>
        <v>https://techcombank.com/thong-tin/blog/cach-su-dung-the-tin-dung</v>
      </c>
      <c r="B5" s="25">
        <f>IFERROR(__xludf.DUMMYFUNCTION("""COMPUTED_VALUE"""),10.0)</f>
        <v>10</v>
      </c>
      <c r="C5" s="5" t="str">
        <f>IFERROR(__xludf.DUMMYFUNCTION("IF(A5="""","""",TEXTJOIN(CHAR(10),TRUE,FILTER('Chi tiết từng link'!$B$2:$B$2505,'Chi tiết từng link'!$D$2:$D$2505=A5)))"),"https://techcombank.com/thong-tin/blog/rut-tien-bang-ma-qr-la-gi-cach-thuc-hien-nhu-the-nao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
https://techc"&amp;"ombank.com/thong-tin/blog/vay-ngan-hang-1-ty-moi-thang-tra-bao-nhieu
https://techcombank.com/thong-tin/blog/cach-tinh-lai-vay-ngan-hang
https://techcombank.com/cong-cu-tien-ich/cong-cu-tinh-toan/bang-tinh-lai-suat-vay")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5" s="5" t="str">
        <f t="shared" si="1"/>
        <v>Vượt giới hạn 3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20" t="str">
        <f>IFERROR(__xludf.DUMMYFUNCTION("""COMPUTED_VALUE"""),"https://techcombank.com/thong-tin/blog/han-muc-mua-ngoai-te-khi-di-du-lich")</f>
        <v>https://techcombank.com/thong-tin/blog/han-muc-mua-ngoai-te-khi-di-du-lich</v>
      </c>
      <c r="B6" s="25">
        <f>IFERROR(__xludf.DUMMYFUNCTION("""COMPUTED_VALUE"""),10.0)</f>
        <v>10</v>
      </c>
      <c r="C6" s="5" t="str">
        <f>IFERROR(__xludf.DUMMYFUNCTION("IF(A6="""","""",TEXTJOIN(CHAR(10),TRUE,FILTER('Chi tiết từng link'!$B$2:$B$2505,'Chi tiết từng link'!$D$2:$D$2505=A6)))"),"https://techcombank.com/thong-tin/blog/1-te-bang-bao-nhieu-tien-viet-nam
https://techcombank.com/thong-tin/blog/1-dong-do-la-my-bang-bao-nhieu-tien-viet-nam
https://techcombank.com/thong-tin/blog/tien-nhat
https://techcombank.com/thong-tin/blog/1-yen-bang"&amp;"-bao-nhieu-tien-viet-nam
https://techcombank.com/thong-tin/blog/tien-dai-loan
https://techcombank.com/thong-tin/blog/1-man-bang-bao-nhieu-tien-viet
https://techcombank.com/thong-tin/blog/tien-thai-lan
https://techcombank.com/thong-tin/blog/cach-nhan-tien-"&amp;"tu-nuoc-ngoai-ve-viet-nam
https://techcombank.com/thong-tin/blog/doi-tien-do-o-dau
https://techcombank.com/thong-tin/blog/traveloka-voucher")</f>
        <v>https://techcombank.com/thong-tin/blog/1-te-bang-bao-nhieu-tien-viet-nam
https://techcombank.com/thong-tin/blog/1-dong-do-la-my-bang-bao-nhieu-tien-viet-nam
https://techcombank.com/thong-tin/blog/tien-nhat
https://techcombank.com/thong-tin/blog/1-yen-bang-bao-nhieu-tien-viet-nam
https://techcombank.com/thong-tin/blog/tien-dai-loan
https://techcombank.com/thong-tin/blog/1-man-bang-bao-nhieu-tien-viet
https://techcombank.com/thong-tin/blog/tien-thai-lan
https://techcombank.com/thong-tin/blog/cach-nhan-tien-tu-nuoc-ngoai-ve-viet-nam
https://techcombank.com/thong-tin/blog/doi-tien-do-o-dau
https://techcombank.com/thong-tin/blog/traveloka-voucher</v>
      </c>
      <c r="D6" s="5" t="str">
        <f t="shared" si="1"/>
        <v>Vượt giới hạn 3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0" t="str">
        <f>IFERROR(__xludf.DUMMYFUNCTION("""COMPUTED_VALUE"""),"https://techcombank.com/thong-tin/blog/han-muc-tra-gop-the-tin-dung")</f>
        <v>https://techcombank.com/thong-tin/blog/han-muc-tra-gop-the-tin-dung</v>
      </c>
      <c r="B7" s="25">
        <f>IFERROR(__xludf.DUMMYFUNCTION("""COMPUTED_VALUE"""),10.0)</f>
        <v>10</v>
      </c>
      <c r="C7" s="5" t="str">
        <f>IFERROR(__xludf.DUMMYFUNCTION("IF(A7="""","""",TEXTJOIN(CHAR(10),TRUE,FILTER('Chi tiết từng link'!$B$2:$B$2505,'Chi tiết từng link'!$D$2:$D$2505=A7)))"),"https://techcombank.com/thong-tin/blog/cach-sao-ke-tai-khoan-ngan-hang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https://techcombank.com/thong-tin/blog/vay-ngan-hang-1-ty-moi-thang-tra-bao-nhieu
https://techcombank."&amp;"com/thong-tin/blog/cach-tinh-lai-vay-ngan-hang
https://techcombank.com/thong-tin/blog/cach-tiet-kiem-tien
https://techcombank.com/cong-cu-tien-ich/cong-cu-tinh-toan/bang-tinh-lai-suat-vay")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7" s="5" t="str">
        <f t="shared" si="1"/>
        <v>Vượt giới hạn 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20" t="str">
        <f>IFERROR(__xludf.DUMMYFUNCTION("""COMPUTED_VALUE"""),"https://techcombank.com/thong-tin/blog/no-the-tin-dung-qua-han")</f>
        <v>https://techcombank.com/thong-tin/blog/no-the-tin-dung-qua-han</v>
      </c>
      <c r="B8" s="25">
        <f>IFERROR(__xludf.DUMMYFUNCTION("""COMPUTED_VALUE"""),10.0)</f>
        <v>10</v>
      </c>
      <c r="C8" s="5" t="str">
        <f>IFERROR(__xludf.DUMMYFUNCTION("IF(A8="""","""",TEXTJOIN(CHAR(10),TRUE,FILTER('Chi tiết từng link'!$B$2:$B$2505,'Chi tiết từng link'!$D$2:$D$2505=A8)))"),"https://techcombank.com/thong-tin/blog/cic-la-gi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8" s="5" t="str">
        <f t="shared" si="1"/>
        <v>Vượt giới hạn 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20" t="str">
        <f>IFERROR(__xludf.DUMMYFUNCTION("""COMPUTED_VALUE"""),"https://techcombank.com/thong-tin/blog/thanh-toan-toi-thieu-the-tin-dung")</f>
        <v>https://techcombank.com/thong-tin/blog/thanh-toan-toi-thieu-the-tin-dung</v>
      </c>
      <c r="B9" s="25">
        <f>IFERROR(__xludf.DUMMYFUNCTION("""COMPUTED_VALUE"""),10.0)</f>
        <v>10</v>
      </c>
      <c r="C9" s="5" t="str">
        <f>IFERROR(__xludf.DUMMYFUNCTION("IF(A9="""","""",TEXTJOIN(CHAR(10),TRUE,FILTER('Chi tiết từng link'!$B$2:$B$2505,'Chi tiết từng link'!$D$2:$D$2505=A9)))"),"https://techcombank.com/thong-tin/blog/cic-la-gi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9" s="5" t="str">
        <f t="shared" si="1"/>
        <v>Vượt giới hạn 3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20" t="str">
        <f>IFERROR(__xludf.DUMMYFUNCTION("""COMPUTED_VALUE"""),"https://techcombank.com/thong-tin/blog/the-tin-dung-bi-khoa")</f>
        <v>https://techcombank.com/thong-tin/blog/the-tin-dung-bi-khoa</v>
      </c>
      <c r="B10" s="25">
        <f>IFERROR(__xludf.DUMMYFUNCTION("""COMPUTED_VALUE"""),10.0)</f>
        <v>10</v>
      </c>
      <c r="C10" s="5" t="str">
        <f>IFERROR(__xludf.DUMMYFUNCTION("IF(A10="""","""",TEXTJOIN(CHAR(10),TRUE,FILTER('Chi tiết từng link'!$B$2:$B$2505,'Chi tiết từng link'!$D$2:$D$2505=A10)))"),"https://techcombank.com/thong-tin/blog/cic-la-gi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https://techcombank.com/thong-tin/blog/kiem-tra-no-xau
https://tech"&amp;"combank.com/thong-tin/blog/no-xau-la-gi
https://techcombank.com/thong-tin/blog/vay-tin-chap-khong-tra-duoc-co-sao-khong")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
https://techcombank.com/thong-tin/blog/no-xau-la-gi
https://techcombank.com/thong-tin/blog/vay-tin-chap-khong-tra-duoc-co-sao-khong</v>
      </c>
      <c r="D10" s="5" t="str">
        <f t="shared" si="1"/>
        <v>Vượt giới hạn 3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20" t="str">
        <f>IFERROR(__xludf.DUMMYFUNCTION("""COMPUTED_VALUE"""),"https://techcombank.com/thong-tin/blog/cach-lam-the-ngan-hang-chay-quang-cao-facebook")</f>
        <v>https://techcombank.com/thong-tin/blog/cach-lam-the-ngan-hang-chay-quang-cao-facebook</v>
      </c>
      <c r="B11" s="25">
        <f>IFERROR(__xludf.DUMMYFUNCTION("""COMPUTED_VALUE"""),9.0)</f>
        <v>9</v>
      </c>
      <c r="C11" s="5" t="str">
        <f>IFERROR(__xludf.DUMMYFUNCTION("IF(A11="""","""",TEXTJOIN(CHAR(10),TRUE,FILTER('Chi tiết từng link'!$B$2:$B$2505,'Chi tiết từng link'!$D$2:$D$2505=A11)))"),"https://techcombank.com/thong-tin/blog/eco-card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https://techcombank.com/thong-tin/blog/ho-kinh-doanh-dong-thue-nhu-nao
https://techcombank.com/thong-tin/blog/mo-tai-khoan-ho"&amp;"-kinh-doanh
https://techcombank.com/thong-tin/blog/cach-tinh-thue-ho-kinh-doanh-nho-le")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https://techcombank.com/thong-tin/blog/ho-kinh-doanh-dong-thue-nhu-nao
https://techcombank.com/thong-tin/blog/mo-tai-khoan-ho-kinh-doanh
https://techcombank.com/thong-tin/blog/cach-tinh-thue-ho-kinh-doanh-nho-le</v>
      </c>
      <c r="D11" s="5" t="str">
        <f t="shared" si="1"/>
        <v>Vượt giới hạn 3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20" t="str">
        <f>IFERROR(__xludf.DUMMYFUNCTION("""COMPUTED_VALUE"""),"https://techcombank.com/thong-tin/blog/lai-suat-vay-the-chap-so-do")</f>
        <v>https://techcombank.com/thong-tin/blog/lai-suat-vay-the-chap-so-do</v>
      </c>
      <c r="B12" s="25">
        <f>IFERROR(__xludf.DUMMYFUNCTION("""COMPUTED_VALUE"""),9.0)</f>
        <v>9</v>
      </c>
      <c r="C12" s="5" t="str">
        <f>IFERROR(__xludf.DUMMYFUNCTION("IF(A12="""","""",TEXTJOIN(CHAR(10),TRUE,FILTER('Chi tiết từng link'!$B$2:$B$2505,'Chi tiết từng link'!$D$2:$D$2505=A12)))"),"https://techcombank.com/thong-tin/blog/nop-thue-dat-qua-ngan-hang
https://techcombank.com/thong-tin/blog/xep-hang-tin-dung
https://techcombank.com/thong-tin/blog/vay-ngan-hang-1-ty-moi-thang-tra-bao-nhieu
https://techcombank.com/thong-tin/blog/cach-tinh-l"&amp;"ai-vay-ngan-hang
https://techcombank.com/thong-tin/blog/ho-so-thu-tuc-xoa-the-chap
https://techcombank.com/thong-tin/blog/cach-tinh-lai-suat-tien-gui-tiet-kiem
https://techcombank.com/cong-cu-tien-ich/cong-cu-tinh-toan/bang-tinh-lai-suat-vay
https://techc"&amp;"ombank.com/cong-cu-tien-ich/cong-cu-tinh-toan/bang-tinh-lai-suat-tiet-kiem
https://techcombank.com/thong-tin/blog/lai-suat-vay-ngan-hang")</f>
        <v>https://techcombank.com/thong-tin/blog/nop-thue-dat-qua-ngan-hang
https://techcombank.com/thong-tin/blog/xep-hang-tin-dung
https://techcombank.com/thong-tin/blog/vay-ngan-hang-1-ty-moi-thang-tra-bao-nhieu
https://techcombank.com/thong-tin/blog/cach-tinh-lai-vay-ngan-hang
https://techcombank.com/thong-tin/blog/ho-so-thu-tuc-xoa-the-chap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12" s="5" t="str">
        <f t="shared" si="1"/>
        <v>Vượt giới hạn 3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20" t="str">
        <f>IFERROR(__xludf.DUMMYFUNCTION("""COMPUTED_VALUE"""),"https://techcombank.com/thong-tin/blog/lai-suat-vay-tin-chap")</f>
        <v>https://techcombank.com/thong-tin/blog/lai-suat-vay-tin-chap</v>
      </c>
      <c r="B13" s="25">
        <f>IFERROR(__xludf.DUMMYFUNCTION("""COMPUTED_VALUE"""),9.0)</f>
        <v>9</v>
      </c>
      <c r="C13" s="5" t="str">
        <f>IFERROR(__xludf.DUMMYFUNCTION("IF(A13="""","""",TEXTJOIN(CHAR(10),TRUE,FILTER('Chi tiết từng link'!$B$2:$B$2505,'Chi tiết từng link'!$D$2:$D$2505=A13)))"),"https://techcombank.com/thong-tin/blog/ngan-hang-uy-tin
https://techcombank.com/thong-tin/blog/cach-thanh-toan-the-tin-dung
https://techcombank.com/thong-tin/blog/cach-tinh-lai-vay-ngan-hang
https://techcombank.com/thong-tin/blog/cach-tinh-lai-suat-tien-g"&amp;"ui-tiet-kiem
https://techcombank.com/cong-cu-tien-ich/cong-cu-tinh-toan/bang-tinh-lai-suat-vay
https://techcombank.com/cong-cu-tien-ich/cong-cu-tinh-toan/bang-tinh-lai-suat-tiet-kiem
https://techcombank.com/thong-tin/blog/lai-suat-vay-ngan-hang
https://te"&amp;"chcombank.com/thong-tin/blog/nen-vay-tin-chap-o-dau
https://techcombank.com/thong-tin/blog/vay-tin-chap-khong-tra-duoc-co-sao-khong")</f>
        <v>https://techcombank.com/thong-tin/blog/ngan-hang-uy-tin
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13" s="5" t="str">
        <f t="shared" si="1"/>
        <v>Vượt giới hạn 3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20" t="str">
        <f>IFERROR(__xludf.DUMMYFUNCTION("""COMPUTED_VALUE"""),"https://techcombank.com/thong-tin/blog/thanh-toan-tra-gop-qua-the-tin-dung")</f>
        <v>https://techcombank.com/thong-tin/blog/thanh-toan-tra-gop-qua-the-tin-dung</v>
      </c>
      <c r="B14" s="25">
        <f>IFERROR(__xludf.DUMMYFUNCTION("""COMPUTED_VALUE"""),9.0)</f>
        <v>9</v>
      </c>
      <c r="C14" s="5" t="str">
        <f>IFERROR(__xludf.DUMMYFUNCTION("IF(A14="""","""",TEXTJOIN(CHAR(10),TRUE,FILTER('Chi tiết từng link'!$B$2:$B$2505,'Chi tiết từng link'!$D$2:$D$2505=A14)))"),"https://techcombank.com/thong-tin/blog/ten-dang-nhap-tai-khoan-ngan-hang-la-gi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
https://techcombank.com/thong-tin/blog/vay-ngan-hang-1-ty-moi-thang-tra-bao-nhieu
https://tech"&amp;"combank.com/thong-tin/blog/cach-tinh-lai-vay-ngan-hang
https://techcombank.com/cong-cu-tien-ich/cong-cu-tinh-toan/bang-tinh-lai-suat-vay")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14" s="5" t="str">
        <f t="shared" si="1"/>
        <v>Vượt giới hạn 3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20" t="str">
        <f>IFERROR(__xludf.DUMMYFUNCTION("""COMPUTED_VALUE"""),"https://techcombank.com/thong-tin/blog/vay-20-trieu")</f>
        <v>https://techcombank.com/thong-tin/blog/vay-20-trieu</v>
      </c>
      <c r="B15" s="25">
        <f>IFERROR(__xludf.DUMMYFUNCTION("""COMPUTED_VALUE"""),9.0)</f>
        <v>9</v>
      </c>
      <c r="C15" s="5" t="str">
        <f>IFERROR(__xludf.DUMMYFUNCTION("IF(A15="""","""",TEXTJOIN(CHAR(10),TRUE,FILTER('Chi tiết từng link'!$B$2:$B$2505,'Chi tiết từng link'!$D$2:$D$2505=A15)))"),"https://techcombank.com/thong-tin/blog/xep-hang-tin-dung
https://techcombank.com/thong-tin/blog/vay-ngan-hang-1-ty-moi-thang-tra-bao-nhieu
https://techcombank.com/thong-tin/blog/cach-tinh-lai-vay-ngan-hang
https://techcombank.com/thong-tin/blog/cach-tinh-"&amp;"lai-suat-tien-gui-tiet-kiem
https://techcombank.com/thong-tin/blog/rut-tien-tiet-kiem-truoc-thoi-han
https://techcombank.com/cong-cu-tien-ich/cong-cu-tinh-toan/bang-tinh-lai-suat-vay
https://techcombank.com/cong-cu-tien-ich/cong-cu-tinh-toan/bang-tinh-lai"&amp;"-suat-tiet-kiem
https://techcombank.com/thong-tin/blog/nen-vay-tin-chap-o-dau
https://techcombank.com/thong-tin/blog/vay-tin-chap-khong-tra-duoc-co-sao-khong")</f>
        <v>https://techcombank.com/thong-tin/blog/xep-hang-tin-dung
https://techcombank.com/thong-tin/blog/vay-ngan-hang-1-ty-moi-thang-tra-bao-nhieu
https://techcombank.com/thong-tin/blog/cach-tinh-lai-vay-ngan-hang
https://techcombank.com/thong-tin/blog/cach-tinh-lai-suat-tien-gui-tiet-kiem
https://techcombank.com/thong-tin/blog/rut-tien-tiet-kiem-truoc-thoi-han
https://techcombank.com/cong-cu-tien-ich/cong-cu-tinh-toan/bang-tinh-lai-suat-vay
https://techcombank.com/cong-cu-tien-ich/cong-cu-tinh-toan/bang-tinh-lai-suat-tiet-kiem
https://techcombank.com/thong-tin/blog/nen-vay-tin-chap-o-dau
https://techcombank.com/thong-tin/blog/vay-tin-chap-khong-tra-duoc-co-sao-khong</v>
      </c>
      <c r="D15" s="5" t="str">
        <f t="shared" si="1"/>
        <v>Vượt giới hạn 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20" t="str">
        <f>IFERROR(__xludf.DUMMYFUNCTION("""COMPUTED_VALUE"""),"https://techcombank.com/thong-tin/blog/cac-hinh-thuc-vay-von-ngan-hang")</f>
        <v>https://techcombank.com/thong-tin/blog/cac-hinh-thuc-vay-von-ngan-hang</v>
      </c>
      <c r="B16" s="25">
        <f>IFERROR(__xludf.DUMMYFUNCTION("""COMPUTED_VALUE"""),8.0)</f>
        <v>8</v>
      </c>
      <c r="C16" s="5" t="str">
        <f>IFERROR(__xludf.DUMMYFUNCTION("IF(A16="""","""",TEXTJOIN(CHAR(10),TRUE,FILTER('Chi tiết từng link'!$B$2:$B$2505,'Chi tiết từng link'!$D$2:$D$2505=A16)))"),"https://techcombank.com/thong-tin/blog/vay-ngan-hang-1-ty-moi-thang-tra-bao-nhieu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https://techcombank.com/thong-tin/blog/vay-thau-chi-la-gi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https://techcombank.com/thong-tin/blog/vay-thau-chi-la-gi
https://techcombank.com/thong-tin/blog/nen-vay-tin-chap-o-dau
https://techcombank.com/thong-tin/blog/vay-tin-chap-khong-tra-duoc-co-sao-khong</v>
      </c>
      <c r="D16" s="5" t="str">
        <f t="shared" si="1"/>
        <v>Vượt giới hạn 3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20" t="str">
        <f>IFERROR(__xludf.DUMMYFUNCTION("""COMPUTED_VALUE"""),"https://techcombank.com/thong-tin/blog/cach-thanh-toan-the-tin-dung")</f>
        <v>https://techcombank.com/thong-tin/blog/cach-thanh-toan-the-tin-dung</v>
      </c>
      <c r="B17" s="25">
        <f>IFERROR(__xludf.DUMMYFUNCTION("""COMPUTED_VALUE"""),8.0)</f>
        <v>8</v>
      </c>
      <c r="C17" s="5" t="str">
        <f>IFERROR(__xludf.DUMMYFUNCTION("IF(A17="""","""",TEXTJOIN(CHAR(10),TRUE,FILTER('Chi tiết từng link'!$B$2:$B$2505,'Chi tiết từng link'!$D$2:$D$2505=A17)))"),"https://techcombank.com/thong-tin/blog/nap-tien-vao-tai-khoan-ngan-hang
https://techcombank.com/thong-tin/blog/ten-dang-nhap-tai-khoan-ngan-hang-la-gi
https://techcombank.com/thong-tin/blog/rut-tien-bang-ma-qr-la-gi-cach-thuc-hien-nhu-the-nao
https://tech"&amp;"combank.com/thong-tin/blog/lam-the-tin-dung
https://techcombank.com/khach-hang-ca-nhan/chi-tieu/the/the-tin-dung/techcombank-everyday
https://techcombank.com/thong-tin/blog/the-tin-dung-hoan-tien
https://techcombank.com/thong-tin/blog/cach-huy-the-tin-dun"&amp;"g
https://techcombank.com/thong-tin/blog/cach-tinh-lai-vay-ngan-hang")</f>
        <v>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https://techcombank.com/thong-tin/blog/cach-tinh-lai-vay-ngan-hang</v>
      </c>
      <c r="D17" s="5" t="str">
        <f t="shared" si="1"/>
        <v>Vượt giới hạn 3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20" t="str">
        <f>IFERROR(__xludf.DUMMYFUNCTION("""COMPUTED_VALUE"""),"https://techcombank.com/thong-tin/blog/cic-la-gi")</f>
        <v>https://techcombank.com/thong-tin/blog/cic-la-gi</v>
      </c>
      <c r="B18" s="25">
        <f>IFERROR(__xludf.DUMMYFUNCTION("""COMPUTED_VALUE"""),8.0)</f>
        <v>8</v>
      </c>
      <c r="C18" s="5" t="str">
        <f>IFERROR(__xludf.DUMMYFUNCTION("IF(A18="""","""",TEXTJOIN(CHAR(10),TRUE,FILTER('Chi tiết từng link'!$B$2:$B$2505,'Chi tiết từng link'!$D$2:$D$2505=A18)))"),"https://techcombank.com/thong-tin/blog/ten-dang-nhap-tai-khoan-ngan-hang-la-gi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https://techcombank.com/thong-tin/blog/xep-hang-tin-dung
https://techcombank.com/thong-tin/blog/cach-thanh-toan-the-tin-dung
https://techcombank.com/thong-tin/blo"&amp;"g/kiem-tra-no-xau")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https://techcombank.com/thong-tin/blog/kiem-tra-no-xau</v>
      </c>
      <c r="D18" s="5" t="str">
        <f t="shared" si="1"/>
        <v>Vượt giới hạn 3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20" t="str">
        <f>IFERROR(__xludf.DUMMYFUNCTION("""COMPUTED_VALUE"""),"https://techcombank.com/thong-tin/blog/gui-tiet-kiem-ngoai-te")</f>
        <v>https://techcombank.com/thong-tin/blog/gui-tiet-kiem-ngoai-te</v>
      </c>
      <c r="B19" s="25">
        <f>IFERROR(__xludf.DUMMYFUNCTION("""COMPUTED_VALUE"""),8.0)</f>
        <v>8</v>
      </c>
      <c r="C19" s="5" t="str">
        <f>IFERROR(__xludf.DUMMYFUNCTION("IF(A19="""","""",TEXTJOIN(CHAR(10),TRUE,FILTER('Chi tiết từng link'!$B$2:$B$2505,'Chi tiết từng link'!$D$2:$D$2505=A19)))"),"https://techcombank.com/thong-tin/blog/ngan-hang-uy-tin
https://techcombank.com/thong-tin/blog/chung-chi-tien-gui-la-gi
https://techcombank.com/thong-tin/blog/1-te-bang-bao-nhieu-tien-viet-nam
https://techcombank.com/thong-tin/blog/doi-tien-do-o-dau
https"&amp;"://techcombank.com/thong-tin/blog/lai-suat-tiet-kiem
https://techcombank.com/thong-tin/blog/cach-tinh-lai-suat-tien-gui-tiet-kiem
https://techcombank.com/thong-tin/blog/so-tiet-kiem-ngan-hang
https://techcombank.com/cong-cu-tien-ich/cong-cu-tinh-toan/bang"&amp;"-tinh-lai-suat-tiet-kiem")</f>
        <v>https://techcombank.com/thong-tin/blog/ngan-hang-uy-tin
https://techcombank.com/thong-tin/blog/chung-chi-tien-gui-la-gi
https://techcombank.com/thong-tin/blog/1-te-bang-bao-nhieu-tien-viet-nam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9" s="5" t="str">
        <f t="shared" si="1"/>
        <v>Vượt giới hạn 3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20" t="str">
        <f>IFERROR(__xludf.DUMMYFUNCTION("""COMPUTED_VALUE"""),"https://techcombank.com/thong-tin/blog/gui-tiet-kiem-online-co-rut-truoc-han-duoc-khong")</f>
        <v>https://techcombank.com/thong-tin/blog/gui-tiet-kiem-online-co-rut-truoc-han-duoc-khong</v>
      </c>
      <c r="B20" s="25">
        <f>IFERROR(__xludf.DUMMYFUNCTION("""COMPUTED_VALUE"""),8.0)</f>
        <v>8</v>
      </c>
      <c r="C20" s="5" t="str">
        <f>IFERROR(__xludf.DUMMYFUNCTION("IF(A20="""","""",TEXTJOIN(CHAR(10),TRUE,FILTER('Chi tiết từng link'!$B$2:$B$2505,'Chi tiết từng link'!$D$2:$D$2505=A20)))"),"https://techcombank.com/thong-tin/blog/chung-chi-tien-gui-la-gi
https://techcombank.com/thong-tin/blog/ho-so-thu-tuc-xoa-the-chap
https://techcombank.com/thong-tin/blog/lai-suat-tiet-kiem
https://techcombank.com/thong-tin/blog/cach-tinh-lai-suat-tien-gui-"&amp;"tiet-kiem
https://techcombank.com/thong-tin/blog/rut-tien-tiet-kiem-truoc-thoi-han
https://techcombank.com/thong-tin/blog/so-tiet-kiem-ngan-hang
https://techcombank.com/thong-tin/blog/rui-ro-khi-gui-tiet-kiem-online
https://techcombank.com/cong-cu-tien-ic"&amp;"h/cong-cu-tinh-toan/bang-tinh-lai-suat-tiet-kiem")</f>
        <v>https://techcombank.com/thong-tin/blog/chung-chi-tien-gui-la-gi
https://techcombank.com/thong-tin/blog/ho-so-thu-tuc-xoa-the-chap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https://techcombank.com/thong-tin/blog/rui-ro-khi-gui-tiet-kiem-online
https://techcombank.com/cong-cu-tien-ich/cong-cu-tinh-toan/bang-tinh-lai-suat-tiet-kiem</v>
      </c>
      <c r="D20" s="5" t="str">
        <f t="shared" si="1"/>
        <v>Vượt giới hạn 3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20" t="str">
        <f>IFERROR(__xludf.DUMMYFUNCTION("""COMPUTED_VALUE"""),"https://techcombank.com/thong-tin/blog/gui-tiet-kiem-usd")</f>
        <v>https://techcombank.com/thong-tin/blog/gui-tiet-kiem-usd</v>
      </c>
      <c r="B21" s="25">
        <f>IFERROR(__xludf.DUMMYFUNCTION("""COMPUTED_VALUE"""),8.0)</f>
        <v>8</v>
      </c>
      <c r="C21" s="5" t="str">
        <f>IFERROR(__xludf.DUMMYFUNCTION("IF(A21="""","""",TEXTJOIN(CHAR(10),TRUE,FILTER('Chi tiết từng link'!$B$2:$B$2505,'Chi tiết từng link'!$D$2:$D$2505=A21)))"),"https://techcombank.com/thong-tin/blog/chung-chi-tien-gui-la-gi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1" s="5" t="str">
        <f t="shared" si="1"/>
        <v>Vượt giới hạn 3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20" t="str">
        <f>IFERROR(__xludf.DUMMYFUNCTION("""COMPUTED_VALUE"""),"https://techcombank.com/thong-tin/blog/ke-khai-thue-doanh-nghiep")</f>
        <v>https://techcombank.com/thong-tin/blog/ke-khai-thue-doanh-nghiep</v>
      </c>
      <c r="B22" s="25">
        <f>IFERROR(__xludf.DUMMYFUNCTION("""COMPUTED_VALUE"""),8.0)</f>
        <v>8</v>
      </c>
      <c r="C22" s="5" t="str">
        <f>IFERROR(__xludf.DUMMYFUNCTION("IF(A22="""","""",TEXTJOIN(CHAR(10),TRUE,FILTER('Chi tiết từng link'!$B$2:$B$2505,'Chi tiết từng link'!$D$2:$D$2505=A22)))"),"https://techcombank.com/thong-tin/blog/nop-thue-dat-qua-ngan-hang
https://techcombank.com/thong-tin/blog/cach-nop-thue-dien-tu
https://techcombank.com/thong-tin/blog/thue-thu-nhap-doanh-nghiep
https://techcombank.com/thong-tin/blog/thue-vat-la-gi
https://"&amp;"techcombank.com/thong-tin/blog/tra-cuu-no-thue-doanh-nghiep
https://techcombank.com/thong-tin/blog/thue-doanh-nghiep
https://techcombank.com/thong-tin/blog/ho-kinh-doanh-dong-thue-nhu-nao
https://techcombank.com/thong-tin/blog/cach-tinh-thue-ho-kinh-doanh"&amp;"-nho-le")</f>
        <v>https://techcombank.com/thong-tin/blog/nop-thue-dat-qua-ngan-hang
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
https://techcombank.com/thong-tin/blog/cach-tinh-thue-ho-kinh-doanh-nho-le</v>
      </c>
      <c r="D22" s="5" t="str">
        <f t="shared" si="1"/>
        <v>Vượt giới hạn 3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20" t="str">
        <f>IFERROR(__xludf.DUMMYFUNCTION("""COMPUTED_VALUE"""),"https://techcombank.com/thong-tin/blog/lai-suat-gui-tiet-kiem-usd")</f>
        <v>https://techcombank.com/thong-tin/blog/lai-suat-gui-tiet-kiem-usd</v>
      </c>
      <c r="B23" s="25">
        <f>IFERROR(__xludf.DUMMYFUNCTION("""COMPUTED_VALUE"""),8.0)</f>
        <v>8</v>
      </c>
      <c r="C23" s="5" t="str">
        <f>IFERROR(__xludf.DUMMYFUNCTION("IF(A23="""","""",TEXTJOIN(CHAR(10),TRUE,FILTER('Chi tiết từng link'!$B$2:$B$2505,'Chi tiết từng link'!$D$2:$D$2505=A23)))"),"https://techcombank.com/thong-tin/blog/chung-chi-tien-gui-la-gi
https://techcombank.com/thong-tin/blog/1-dong-do-la-my-bang-bao-nhieu-tien-viet-nam
https://techcombank.com/thong-tin/blog/1-trieu-do-bang-bao-nhieu-tien-viet
https://techcombank.com/thong-ti"&amp;"n/blog/doi-tien-do-o-dau
https://techcombank.com/thong-tin/blog/lai-suat-tiet-kiem
https://techcombank.com/thong-tin/blog/cach-tinh-lai-suat-tien-gui-tiet-kiem
https://techcombank.com/thong-tin/blog/so-tiet-kiem-ngan-hang
https://techcombank.com/cong-cu-t"&amp;"ien-ich/cong-cu-tinh-toan/bang-tinh-lai-suat-tiet-kiem")</f>
        <v>https://techcombank.com/thong-tin/blog/chung-chi-tien-gui-la-gi
https://techcombank.com/thong-tin/blog/1-dong-do-la-my-bang-bao-nhieu-tien-viet-nam
https://techcombank.com/thong-tin/blog/1-trieu-do-bang-bao-nhieu-tien-viet
https://techcombank.com/thong-tin/blog/doi-tien-do-o-dau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23" s="5" t="str">
        <f t="shared" si="1"/>
        <v>Vượt giới hạn 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20" t="str">
        <f>IFERROR(__xludf.DUMMYFUNCTION("""COMPUTED_VALUE"""),"https://techcombank.com/thong-tin/blog/lai-suat-the-tin-dung")</f>
        <v>https://techcombank.com/thong-tin/blog/lai-suat-the-tin-dung</v>
      </c>
      <c r="B24" s="25">
        <f>IFERROR(__xludf.DUMMYFUNCTION("""COMPUTED_VALUE"""),8.0)</f>
        <v>8</v>
      </c>
      <c r="C24" s="5" t="str">
        <f>IFERROR(__xludf.DUMMYFUNCTION("IF(A24="""","""",TEXTJOIN(CHAR(10),TRUE,FILTER('Chi tiết từng link'!$B$2:$B$2505,'Chi tiết từng link'!$D$2:$D$2505=A24)))"),"https://techcombank.com/thong-tin/blog/rut-tien-mat-tu-the-tin-dung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
https://techcombank.com/thong-tin/blog/cach-tinh-lai-suat-tien-gui-tiet-kiem
https://techcombank.com/cong"&amp;"-cu-tien-ich/cong-cu-tinh-toan/bang-tinh-lai-suat-tiet-kiem")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https://techcombank.com/thong-tin/blog/cach-tinh-lai-suat-tien-gui-tiet-kiem
https://techcombank.com/cong-cu-tien-ich/cong-cu-tinh-toan/bang-tinh-lai-suat-tiet-kiem</v>
      </c>
      <c r="D24" s="5" t="str">
        <f t="shared" si="1"/>
        <v>Vượt giới hạn 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20" t="str">
        <f>IFERROR(__xludf.DUMMYFUNCTION("""COMPUTED_VALUE"""),"https://techcombank.com/thong-tin/blog/lai-suat-tiet-kiem")</f>
        <v>https://techcombank.com/thong-tin/blog/lai-suat-tiet-kiem</v>
      </c>
      <c r="B25" s="25">
        <f>IFERROR(__xludf.DUMMYFUNCTION("""COMPUTED_VALUE"""),8.0)</f>
        <v>8</v>
      </c>
      <c r="C25" s="5" t="str">
        <f>IFERROR(__xludf.DUMMYFUNCTION("IF(A25="""","""",TEXTJOIN(CHAR(10),TRUE,FILTER('Chi tiết từng link'!$B$2:$B$2505,'Chi tiết từng link'!$D$2:$D$2505=A25)))"),"https://techcombank.com/thong-tin/blog/thue-thu-nhap-doanh-nghiep
https://techcombank.com/thong-tin/blog/cach-tinh-thue-thu-nhap-doanh-nghiep
https://techcombank.com/thong-tin/blog/ngan-hang-uy-tin
https://techcombank.com/thong-tin/blog/chung-chi-tien-gui"&amp;"-la-gi
https://techcombank.com/thong-tin/blog/lai-suat-chung-chi-tien-gui-cac-ngan-hang
https://techcombank.com/thong-tin/blog/cach-tinh-lai-suat-tien-gui-tiet-kiem
https://techcombank.com/thong-tin/blog/so-tiet-kiem-ngan-hang
https://techcombank.com/cong"&amp;"-cu-tien-ich/cong-cu-tinh-toan/bang-tinh-lai-suat-tiet-kiem")</f>
        <v>https://techcombank.com/thong-tin/blog/thue-thu-nhap-doanh-nghiep
https://techcombank.com/thong-tin/blog/cach-tinh-thue-thu-nhap-doanh-nghiep
https://techcombank.com/thong-tin/blog/ngan-hang-uy-tin
https://techcombank.com/thong-tin/blog/chung-chi-tien-gui-la-gi
https://techcombank.com/thong-tin/blog/lai-suat-chung-chi-tien-gui-cac-ngan-hang
https://techcombank.com/thong-tin/blog/cach-tinh-lai-suat-tien-gui-tiet-kiem
https://techcombank.com/thong-tin/blog/so-tiet-kiem-ngan-hang
https://techcombank.com/cong-cu-tien-ich/cong-cu-tinh-toan/bang-tinh-lai-suat-tiet-kiem</v>
      </c>
      <c r="D25" s="5" t="str">
        <f t="shared" si="1"/>
        <v>Vượt giới hạn 3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20" t="str">
        <f>IFERROR(__xludf.DUMMYFUNCTION("""COMPUTED_VALUE"""),"https://techcombank.com/thong-tin/blog/lai-suat-vay-kinh-doanh")</f>
        <v>https://techcombank.com/thong-tin/blog/lai-suat-vay-kinh-doanh</v>
      </c>
      <c r="B26" s="25">
        <f>IFERROR(__xludf.DUMMYFUNCTION("""COMPUTED_VALUE"""),8.0)</f>
        <v>8</v>
      </c>
      <c r="C26" s="5" t="str">
        <f>IFERROR(__xludf.DUMMYFUNCTION("IF(A26="""","""",TEXTJOIN(CHAR(10),TRUE,FILTER('Chi tiết từng link'!$B$2:$B$2505,'Chi tiết từng link'!$D$2:$D$2505=A26)))"),"https://techcombank.com/thong-tin/blog/ho-kinh-doanh-dong-thue-nhu-nao
https://techcombank.com/thong-tin/blog/mo-tai-khoan-ho-kinh-doanh
https://techcombank.com/thong-tin/blog/cach-tinh-thue-ho-kinh-doanh-nho-le
https://techcombank.com/thong-tin/blog/cach"&amp;"-tinh-lai-vay-ngan-hang
https://techcombank.com/thong-tin/blog/cach-tinh-lai-suat-tien-gui-tiet-kiem
https://techcombank.com/cong-cu-tien-ich/cong-cu-tinh-toan/bang-tinh-lai-suat-vay
https://techcombank.com/cong-cu-tien-ich/cong-cu-tinh-toan/bang-tinh-lai"&amp;"-suat-tiet-kiem
https://techcombank.com/thong-tin/blog/lai-suat-vay-ngan-hang")</f>
        <v>https://techcombank.com/thong-tin/blog/ho-kinh-doanh-dong-thue-nhu-nao
https://techcombank.com/thong-tin/blog/mo-tai-khoan-ho-kinh-doanh
https://techcombank.com/thong-tin/blog/cach-tinh-thue-ho-kinh-doanh-nho-le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</v>
      </c>
      <c r="D26" s="5" t="str">
        <f t="shared" si="1"/>
        <v>Vượt giới hạn 3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20" t="str">
        <f>IFERROR(__xludf.DUMMYFUNCTION("""COMPUTED_VALUE"""),"https://techcombank.com/thong-tin/blog/lam-ho-so-tra-gop-dien-thoai")</f>
        <v>https://techcombank.com/thong-tin/blog/lam-ho-so-tra-gop-dien-thoai</v>
      </c>
      <c r="B27" s="25">
        <f>IFERROR(__xludf.DUMMYFUNCTION("""COMPUTED_VALUE"""),8.0)</f>
        <v>8</v>
      </c>
      <c r="C27" s="5" t="str">
        <f>IFERROR(__xludf.DUMMYFUNCTION("IF(A27="""","""",TEXTJOIN(CHAR(10),TRUE,FILTER('Chi tiết từng link'!$B$2:$B$2505,'Chi tiết từng link'!$D$2:$D$2505=A27)))"),"https://techcombank.com/thong-tin/blog/lam-the-tin-dung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27" s="5" t="str">
        <f t="shared" si="1"/>
        <v>Vượt giới hạn 3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20" t="str">
        <f>IFERROR(__xludf.DUMMYFUNCTION("""COMPUTED_VALUE"""),"https://techcombank.com/thong-tin/blog/luu-y-khi-su-dung-the-tin-dung")</f>
        <v>https://techcombank.com/thong-tin/blog/luu-y-khi-su-dung-the-tin-dung</v>
      </c>
      <c r="B28" s="25">
        <f>IFERROR(__xludf.DUMMYFUNCTION("""COMPUTED_VALUE"""),8.0)</f>
        <v>8</v>
      </c>
      <c r="C28" s="5" t="str">
        <f>IFERROR(__xludf.DUMMYFUNCTION("IF(A28="""","""",TEXTJOIN(CHAR(10),TRUE,FILTER('Chi tiết từng link'!$B$2:$B$2505,'Chi tiết từng link'!$D$2:$D$2505=A28)))"),"https://techcombank.com/thong-tin/blog/cic-la-gi
https://techcombank.com/thong-tin/blog/lam-the-tin-dung
https://techcombank.com/khach-hang-ca-nhan/chi-tieu/the/the-tin-dung/techcombank-everyday
https://techcombank.com/thong-tin/blog/the-tin-dung-hoan-tie"&amp;"n
https://techcombank.com/thong-tin/blog/cach-huy-the-tin-dung
https://techcombank.com/thong-tin/blog/xep-hang-tin-dung
https://techcombank.com/thong-tin/blog/cach-thanh-toan-the-tin-dung
https://techcombank.com/thong-tin/blog/rui-ro-khi-gui-tiet-kiem-onl"&amp;"ine")</f>
        <v>https://techcombank.com/thong-tin/blog/cic-la-gi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https://techcombank.com/thong-tin/blog/xep-hang-tin-dung
https://techcombank.com/thong-tin/blog/cach-thanh-toan-the-tin-dung
https://techcombank.com/thong-tin/blog/rui-ro-khi-gui-tiet-kiem-online</v>
      </c>
      <c r="D28" s="5" t="str">
        <f t="shared" si="1"/>
        <v>Vượt giới hạn 3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20" t="str">
        <f>IFERROR(__xludf.DUMMYFUNCTION("""COMPUTED_VALUE"""),"https://techcombank.com/thong-tin/blog/mo-the-tin-dung-khong-can-chung-minh-thu-nhap")</f>
        <v>https://techcombank.com/thong-tin/blog/mo-the-tin-dung-khong-can-chung-minh-thu-nhap</v>
      </c>
      <c r="B29" s="25">
        <f>IFERROR(__xludf.DUMMYFUNCTION("""COMPUTED_VALUE"""),8.0)</f>
        <v>8</v>
      </c>
      <c r="C29" s="5" t="str">
        <f>IFERROR(__xludf.DUMMYFUNCTION("IF(A29="""","""",TEXTJOIN(CHAR(10),TRUE,FILTER('Chi tiết từng link'!$B$2:$B$2505,'Chi tiết từng link'!$D$2:$D$2505=A29)))"),"https://techcombank.com/thong-tin/blog/cach-sao-ke-tai-khoan-ngan-hang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https://techcombank.com/thong-tin/blog/rut-tien-tiet-kiem-truoc-thoi-han
https://techcombank.com/thong"&amp;"-tin/blog/so-tiet-kiem-ngan-hang")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https://techcombank.com/thong-tin/blog/rut-tien-tiet-kiem-truoc-thoi-han
https://techcombank.com/thong-tin/blog/so-tiet-kiem-ngan-hang</v>
      </c>
      <c r="D29" s="5" t="str">
        <f t="shared" si="1"/>
        <v>Vượt giới hạn 3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20" t="str">
        <f>IFERROR(__xludf.DUMMYFUNCTION("""COMPUTED_VALUE"""),"https://techcombank.com/thong-tin/blog/mua-truoc-tra-sau")</f>
        <v>https://techcombank.com/thong-tin/blog/mua-truoc-tra-sau</v>
      </c>
      <c r="B30" s="25">
        <f>IFERROR(__xludf.DUMMYFUNCTION("""COMPUTED_VALUE"""),8.0)</f>
        <v>8</v>
      </c>
      <c r="C30" s="5" t="str">
        <f>IFERROR(__xludf.DUMMYFUNCTION("IF(A30="""","""",TEXTJOIN(CHAR(10),TRUE,FILTER('Chi tiết từng link'!$B$2:$B$2505,'Chi tiết từng link'!$D$2:$D$2505=A30)))"),"https://techcombank.com/thong-tin/blog/lam-the-tin-dung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30" s="5" t="str">
        <f t="shared" si="1"/>
        <v>Vượt giới hạn 3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20" t="str">
        <f>IFERROR(__xludf.DUMMYFUNCTION("""COMPUTED_VALUE"""),"https://techcombank.com/thong-tin/blog/nang-han-muc-tin-dung")</f>
        <v>https://techcombank.com/thong-tin/blog/nang-han-muc-tin-dung</v>
      </c>
      <c r="B31" s="25">
        <f>IFERROR(__xludf.DUMMYFUNCTION("""COMPUTED_VALUE"""),8.0)</f>
        <v>8</v>
      </c>
      <c r="C31" s="5" t="str">
        <f>IFERROR(__xludf.DUMMYFUNCTION("IF(A31="""","""",TEXTJOIN(CHAR(10),TRUE,FILTER('Chi tiết từng link'!$B$2:$B$2505,'Chi tiết từng link'!$D$2:$D$2505=A31)))"),"https://techcombank.com/thong-tin/blog/cach-sao-ke-tai-khoan-ngan-hang
https://techcombank.com/thong-tin/blog/rut-tien-mat-tu-the-tin-dung
https://techcombank.com/thong-tin/blog/lam-the-tin-dung
https://techcombank.com/khach-hang-ca-nhan/chi-tieu/the/the-"&amp;"tin-dung/techcombank-everyday
https://techcombank.com/thong-tin/blog/the-tin-dung-hoan-tien
https://techcombank.com/thong-tin/blog/cach-huy-the-tin-dung
https://techcombank.com/thong-tin/blog/cach-thanh-toan-the-tin-dung
https://techcombank.com/thong-tin/"&amp;"blog/cach-tiet-kiem-tien")</f>
        <v>https://techcombank.com/thong-tin/blog/cach-sao-ke-tai-khoan-ngan-hang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31" s="5" t="str">
        <f t="shared" si="1"/>
        <v>Vượt giới hạn 3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20" t="str">
        <f>IFERROR(__xludf.DUMMYFUNCTION("""COMPUTED_VALUE"""),"https://techcombank.com/thong-tin/blog/no-xau-co-vay-the-chap-duoc-khong")</f>
        <v>https://techcombank.com/thong-tin/blog/no-xau-co-vay-the-chap-duoc-khong</v>
      </c>
      <c r="B32" s="25">
        <f>IFERROR(__xludf.DUMMYFUNCTION("""COMPUTED_VALUE"""),8.0)</f>
        <v>8</v>
      </c>
      <c r="C32" s="5" t="str">
        <f>IFERROR(__xludf.DUMMYFUNCTION("IF(A32="""","""",TEXTJOIN(CHAR(10),TRUE,FILTER('Chi tiết từng link'!$B$2:$B$2505,'Chi tiết từng link'!$D$2:$D$2505=A32)))"),"https://techcombank.com/thong-tin/blog/cic-la-gi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https://techcombank.com/thong-tin/blog/kiem-tra-no-xau
https://techcombank.com/thong-tin/blog/no-xau-la-gi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https://techcombank.com/thong-tin/blog/kiem-tra-no-xau
https://techcombank.com/thong-tin/blog/no-xau-la-gi
https://techcombank.com/thong-tin/blog/vay-tin-chap-khong-tra-duoc-co-sao-khong</v>
      </c>
      <c r="D32" s="5" t="str">
        <f t="shared" si="1"/>
        <v>Vượt giới hạn 3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20" t="str">
        <f>IFERROR(__xludf.DUMMYFUNCTION("""COMPUTED_VALUE"""),"https://techcombank.com/thong-tin/blog/rui-ro-khi-vay-the-chap-ngan-hang")</f>
        <v>https://techcombank.com/thong-tin/blog/rui-ro-khi-vay-the-chap-ngan-hang</v>
      </c>
      <c r="B33" s="25">
        <f>IFERROR(__xludf.DUMMYFUNCTION("""COMPUTED_VALUE"""),8.0)</f>
        <v>8</v>
      </c>
      <c r="C33" s="5" t="str">
        <f>IFERROR(__xludf.DUMMYFUNCTION("IF(A33="""","""",TEXTJOIN(CHAR(10),TRUE,FILTER('Chi tiết từng link'!$B$2:$B$2505,'Chi tiết từng link'!$D$2:$D$2505=A33)))"),"https://techcombank.com/thong-tin/blog/vay-ngan-hang-1-ty-moi-thang-tra-bao-nhieu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https://techcombank.com/thong-tin/blog/cach-tinh-lai-suat-tien-gui-tiet-kiem
https://techcombank.com/thong-tin/blog/rui-ro-khi-gui-tiet-kiem-online
https://techcombank.com/cong-cu-tien-ich/cong-cu-tinh-toan/bang-tinh-lai-suat-va"&amp;"y
https://techcombank.com/cong-cu-tien-ich/cong-cu-tinh-toan/bang-tinh-lai-suat-tiet-kiem")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https://techcombank.com/thong-tin/blog/cach-tinh-lai-suat-tien-gui-tiet-kiem
https://techcombank.com/thong-tin/blog/rui-ro-khi-gui-tiet-kiem-online
https://techcombank.com/cong-cu-tien-ich/cong-cu-tinh-toan/bang-tinh-lai-suat-vay
https://techcombank.com/cong-cu-tien-ich/cong-cu-tinh-toan/bang-tinh-lai-suat-tiet-kiem</v>
      </c>
      <c r="D33" s="5" t="str">
        <f t="shared" si="1"/>
        <v>Vượt giới hạn 3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20" t="str">
        <f>IFERROR(__xludf.DUMMYFUNCTION("""COMPUTED_VALUE"""),"https://techcombank.com/thong-tin/blog/sao-ke-the-tin-dung-la-gi")</f>
        <v>https://techcombank.com/thong-tin/blog/sao-ke-the-tin-dung-la-gi</v>
      </c>
      <c r="B34" s="25">
        <f>IFERROR(__xludf.DUMMYFUNCTION("""COMPUTED_VALUE"""),8.0)</f>
        <v>8</v>
      </c>
      <c r="C34" s="5" t="str">
        <f>IFERROR(__xludf.DUMMYFUNCTION("IF(A34="""","""",TEXTJOIN(CHAR(10),TRUE,FILTER('Chi tiết từng link'!$B$2:$B$2505,'Chi tiết từng link'!$D$2:$D$2505=A34)))"),"https://techcombank.com/thong-tin/blog/cach-sao-ke-tai-khoan-ngan-hang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https://techcombank.com/thong-tin/blog/cach-tinh-lai-vay-ngan-hang
https://techcombank.com/thong-tin/b"&amp;"log/cach-tiet-kiem-tien")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https://techcombank.com/thong-tin/blog/cach-tinh-lai-vay-ngan-hang
https://techcombank.com/thong-tin/blog/cach-tiet-kiem-tien</v>
      </c>
      <c r="D34" s="5" t="str">
        <f t="shared" si="1"/>
        <v>Vượt giới hạn 3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20" t="str">
        <f>IFERROR(__xludf.DUMMYFUNCTION("""COMPUTED_VALUE"""),"https://techcombank.com/thong-tin/blog/tai-khoan-ngan-hang-la-gi")</f>
        <v>https://techcombank.com/thong-tin/blog/tai-khoan-ngan-hang-la-gi</v>
      </c>
      <c r="B35" s="25">
        <f>IFERROR(__xludf.DUMMYFUNCTION("""COMPUTED_VALUE"""),8.0)</f>
        <v>8</v>
      </c>
      <c r="C35" s="5" t="str">
        <f>IFERROR(__xludf.DUMMYFUNCTION("IF(A35="""","""",TEXTJOIN(CHAR(10),TRUE,FILTER('Chi tiết từng link'!$B$2:$B$2505,'Chi tiết từng link'!$D$2:$D$2505=A35)))"),"https://techcombank.com/thong-tin/blog/cach-mo-tai-khoan
https://techcombank.com/thong-tin/blog/lam-the-tin-dung
https://techcombank.com/khach-hang-ca-nhan/chi-tieu/the/the-tin-dung/techcombank-everyday
https://techcombank.com/thong-tin/blog/the-tin-dung-"&amp;"hoan-tien
https://techcombank.com/thong-tin/blog/cach-huy-the-tin-dung
https://techcombank.com/thong-tin/blog/cach-thanh-toan-the-tin-dung
https://techcombank.com/thong-tin/blog/1-te-bang-bao-nhieu-tien-viet-nam
https://techcombank.com/thong-tin/blog/doi-"&amp;"tien-do-o-dau")</f>
        <v>https://techcombank.com/thong-tin/blog/cach-mo-tai-khoan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https://techcombank.com/thong-tin/blog/1-te-bang-bao-nhieu-tien-viet-nam
https://techcombank.com/thong-tin/blog/doi-tien-do-o-dau</v>
      </c>
      <c r="D35" s="5" t="str">
        <f t="shared" si="1"/>
        <v>Vượt giới hạn 3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20" t="str">
        <f>IFERROR(__xludf.DUMMYFUNCTION("""COMPUTED_VALUE"""),"https://techcombank.com/thong-tin/blog/the-tin-dung-co-chuyen-khoan-duoc-khong")</f>
        <v>https://techcombank.com/thong-tin/blog/the-tin-dung-co-chuyen-khoan-duoc-khong</v>
      </c>
      <c r="B36" s="25">
        <f>IFERROR(__xludf.DUMMYFUNCTION("""COMPUTED_VALUE"""),8.0)</f>
        <v>8</v>
      </c>
      <c r="C36" s="5" t="str">
        <f>IFERROR(__xludf.DUMMYFUNCTION("IF(A36="""","""",TEXTJOIN(CHAR(10),TRUE,FILTER('Chi tiết từng link'!$B$2:$B$2505,'Chi tiết từng link'!$D$2:$D$2505=A36)))"),"https://techcombank.com/thong-tin/blog/thue-vat-la-gi
https://techcombank.com/thong-tin/blog/chuyen-khoan-thanh-cong-nhung-khong-nhan-duoc-tien
https://techcombank.com/thong-tin/blog/rut-tien-mat-tu-the-tin-dung
https://techcombank.com/thong-tin/blog/lam-"&amp;"the-tin-dung
https://techcombank.com/khach-hang-ca-nhan/chi-tieu/the/the-tin-dung/techcombank-everyday
https://techcombank.com/thong-tin/blog/the-tin-dung-hoan-tien
https://techcombank.com/thong-tin/blog/cach-huy-the-tin-dung
https://techcombank.com/thong"&amp;"-tin/blog/cach-thanh-toan-the-tin-dung")</f>
        <v>https://techcombank.com/thong-tin/blog/thue-vat-la-gi
https://techcombank.com/thong-tin/blog/chuyen-khoan-thanh-cong-nhung-khong-nhan-duoc-tien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36" s="5" t="str">
        <f t="shared" si="1"/>
        <v>Vượt giới hạn 3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20" t="str">
        <f>IFERROR(__xludf.DUMMYFUNCTION("""COMPUTED_VALUE"""),"https://techcombank.com/thong-tin/blog/the-visa-de-lam-gi")</f>
        <v>https://techcombank.com/thong-tin/blog/the-visa-de-lam-gi</v>
      </c>
      <c r="B37" s="25">
        <f>IFERROR(__xludf.DUMMYFUNCTION("""COMPUTED_VALUE"""),8.0)</f>
        <v>8</v>
      </c>
      <c r="C37" s="5" t="str">
        <f>IFERROR(__xludf.DUMMYFUNCTION("IF(A37="""","""",TEXTJOIN(CHAR(10),TRUE,FILTER('Chi tiết từng link'!$B$2:$B$2505,'Chi tiết từng link'!$D$2:$D$2505=A37)))"),"https://techcombank.com/thong-tin/blog/bao-nhieu-tuoi-duoc-mo-tai-khoan-ngan-hang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https://t"&amp;"echcombank.com/thong-tin/blog/rut-tien-mat-tu-the-tin-dung
https://techcombank.com/thong-tin/blog/lam-the-tin-dung
https://techcombank.com/thong-tin/blog/vay-ngan-hang-1-ty-moi-thang-tra-bao-nhieu
https://techcombank.com/thong-tin/blog/cach-tinh-lai-vay-n"&amp;"gan-hang
https://techcombank.com/cong-cu-tien-ich/cong-cu-tinh-toan/bang-tinh-lai-suat-vay")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https://techcombank.com/thong-tin/blog/vay-ngan-hang-1-ty-moi-thang-tra-bao-nhieu
https://techcombank.com/thong-tin/blog/cach-tinh-lai-vay-ngan-hang
https://techcombank.com/cong-cu-tien-ich/cong-cu-tinh-toan/bang-tinh-lai-suat-vay</v>
      </c>
      <c r="D37" s="5" t="str">
        <f t="shared" si="1"/>
        <v>Vượt giới hạn 3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20" t="str">
        <f>IFERROR(__xludf.DUMMYFUNCTION("""COMPUTED_VALUE"""),"https://techcombank.com/thong-tin/blog/thu-tuc-vay-von-kinh-doanh-nho")</f>
        <v>https://techcombank.com/thong-tin/blog/thu-tuc-vay-von-kinh-doanh-nho</v>
      </c>
      <c r="B38" s="25">
        <f>IFERROR(__xludf.DUMMYFUNCTION("""COMPUTED_VALUE"""),8.0)</f>
        <v>8</v>
      </c>
      <c r="C38" s="5" t="str">
        <f>IFERROR(__xludf.DUMMYFUNCTION("IF(A38="""","""",TEXTJOIN(CHAR(10),TRUE,FILTER('Chi tiết từng link'!$B$2:$B$2505,'Chi tiết từng link'!$D$2:$D$2505=A38)))"),"https://techcombank.com/thong-tin/blog/vay-ngan-hang-1-ty-moi-thang-tra-bao-nhieu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
https://techcombank.com/thong-tin/blog/nen-vay-tin-chap-o-dau
https://techcombank.c"&amp;"om/thong-tin/blog/vay-tin-chap-khong-tra-duoc-co-sao-khong")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38" s="5" t="str">
        <f t="shared" si="1"/>
        <v>Vượt giới hạn 3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20" t="str">
        <f>IFERROR(__xludf.DUMMYFUNCTION("""COMPUTED_VALUE"""),"https://techcombank.com/thong-tin/blog/tim-hieu-ve-chinh-sach-thue-moi")</f>
        <v>https://techcombank.com/thong-tin/blog/tim-hieu-ve-chinh-sach-thue-moi</v>
      </c>
      <c r="B39" s="25">
        <f>IFERROR(__xludf.DUMMYFUNCTION("""COMPUTED_VALUE"""),8.0)</f>
        <v>8</v>
      </c>
      <c r="C39" s="5" t="str">
        <f>IFERROR(__xludf.DUMMYFUNCTION("IF(A39="""","""",TEXTJOIN(CHAR(10),TRUE,FILTER('Chi tiết từng link'!$B$2:$B$2505,'Chi tiết từng link'!$D$2:$D$2505=A39)))"),"https://techcombank.com/thong-tin/blog/thue-thu-nhap-doanh-nghiep
https://techcombank.com/thong-tin/blog/thue-vat-la-gi
https://techcombank.com/thong-tin/blog/thue-doanh-nghiep
https://techcombank.com/thong-tin/blog/cach-tinh-thue-thu-nhap-doanh-nghiep
ht"&amp;"tps://techcombank.com/thong-tin/blog/cach-tinh-tien-dien-sinh-hoat
https://techcombank.com/thong-tin/blog/ho-kinh-doanh-dong-thue-nhu-nao
https://techcombank.com/thong-tin/blog/mo-tai-khoan-ho-kinh-doanh
https://techcombank.com/thong-tin/blog/cach-tinh-th"&amp;"ue-ho-kinh-doanh-nho-le")</f>
        <v>https://techcombank.com/thong-tin/blog/thue-thu-nhap-doanh-nghiep
https://techcombank.com/thong-tin/blog/thue-vat-la-gi
https://techcombank.com/thong-tin/blog/thue-doanh-nghiep
https://techcombank.com/thong-tin/blog/cach-tinh-thue-thu-nhap-doanh-nghiep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39" s="5" t="str">
        <f t="shared" si="1"/>
        <v>Vượt giới hạn 3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20" t="str">
        <f>IFERROR(__xludf.DUMMYFUNCTION("""COMPUTED_VALUE"""),"https://techcombank.com/thong-tin/blog/tra-cuu-han-muc-the-tin-dung")</f>
        <v>https://techcombank.com/thong-tin/blog/tra-cuu-han-muc-the-tin-dung</v>
      </c>
      <c r="B40" s="25">
        <f>IFERROR(__xludf.DUMMYFUNCTION("""COMPUTED_VALUE"""),8.0)</f>
        <v>8</v>
      </c>
      <c r="C40" s="5" t="str">
        <f>IFERROR(__xludf.DUMMYFUNCTION("IF(A40="""","""",TEXTJOIN(CHAR(10),TRUE,FILTER('Chi tiết từng link'!$B$2:$B$2505,'Chi tiết từng link'!$D$2:$D$2505=A40)))"),"https://techcombank.com/thong-tin/blog/nap-tien-vao-tai-khoan-ngan-hang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https://techcombank.com"&amp;"/thong-tin/blog/lam-the-tin-dung
https://techcombank.com/khach-hang-ca-nhan/chi-tieu/the/the-tin-dung/techcombank-everyday
https://techcombank.com/thong-tin/blog/the-tin-dung-hoan-tien
https://techcombank.com/thong-tin/blog/cach-huy-the-tin-dung
https://t"&amp;"echcombank.com/thong-tin/blog/cach-thanh-toan-the-tin-dung")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40" s="5" t="str">
        <f t="shared" si="1"/>
        <v>Vượt giới hạn 3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20" t="str">
        <f>IFERROR(__xludf.DUMMYFUNCTION("""COMPUTED_VALUE"""),"https://techcombank.com/thong-tin/blog/tra-gop-lazada")</f>
        <v>https://techcombank.com/thong-tin/blog/tra-gop-lazada</v>
      </c>
      <c r="B41" s="25">
        <f>IFERROR(__xludf.DUMMYFUNCTION("""COMPUTED_VALUE"""),8.0)</f>
        <v>8</v>
      </c>
      <c r="C41" s="5" t="str">
        <f>IFERROR(__xludf.DUMMYFUNCTION("IF(A41="""","""",TEXTJOIN(CHAR(10),TRUE,FILTER('Chi tiết từng link'!$B$2:$B$2505,'Chi tiết từng link'!$D$2:$D$2505=A41)))"),"https://techcombank.com/thong-tin/blog/lam-the-tin-dung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1" s="5" t="str">
        <f t="shared" si="1"/>
        <v>Vượt giới hạn 3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20" t="str">
        <f>IFERROR(__xludf.DUMMYFUNCTION("""COMPUTED_VALUE"""),"https://techcombank.com/thong-tin/blog/tra-gop-qua-the-tin-dung")</f>
        <v>https://techcombank.com/thong-tin/blog/tra-gop-qua-the-tin-dung</v>
      </c>
      <c r="B42" s="25">
        <f>IFERROR(__xludf.DUMMYFUNCTION("""COMPUTED_VALUE"""),8.0)</f>
        <v>8</v>
      </c>
      <c r="C42" s="5" t="str">
        <f>IFERROR(__xludf.DUMMYFUNCTION("IF(A42="""","""",TEXTJOIN(CHAR(10),TRUE,FILTER('Chi tiết từng link'!$B$2:$B$2505,'Chi tiết từng link'!$D$2:$D$2505=A42)))"),"https://techcombank.com/thong-tin/blog/lam-the-tin-dung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2" s="5" t="str">
        <f t="shared" si="1"/>
        <v>Vượt giới hạn 3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20" t="str">
        <f>IFERROR(__xludf.DUMMYFUNCTION("""COMPUTED_VALUE"""),"https://techcombank.com/thong-tin/blog/tra-gop-shopee")</f>
        <v>https://techcombank.com/thong-tin/blog/tra-gop-shopee</v>
      </c>
      <c r="B43" s="25">
        <f>IFERROR(__xludf.DUMMYFUNCTION("""COMPUTED_VALUE"""),8.0)</f>
        <v>8</v>
      </c>
      <c r="C43" s="5" t="str">
        <f>IFERROR(__xludf.DUMMYFUNCTION("IF(A43="""","""",TEXTJOIN(CHAR(10),TRUE,FILTER('Chi tiết từng link'!$B$2:$B$2505,'Chi tiết từng link'!$D$2:$D$2505=A43)))"),"https://techcombank.com/thong-tin/blog/lam-the-tin-dung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https://techcombank.com/thong-tin/blog/vay-ngan-hang-1-ty-moi-thang-tra-bao-nhieu
https://techcombank.com/thong-tin/blog/cach-tinh-lai-vay-ngan-hang
https://techcombank.com/"&amp;"cong-cu-tien-ich/cong-cu-tinh-toan/bang-tinh-lai-suat-vay")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</v>
      </c>
      <c r="D43" s="5" t="str">
        <f t="shared" si="1"/>
        <v>Vượt giới hạn 3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20" t="str">
        <f>IFERROR(__xludf.DUMMYFUNCTION("""COMPUTED_VALUE"""),"https://techcombank.com/thong-tin/blog/vay-the-chap-qua-luong")</f>
        <v>https://techcombank.com/thong-tin/blog/vay-the-chap-qua-luong</v>
      </c>
      <c r="B44" s="25">
        <f>IFERROR(__xludf.DUMMYFUNCTION("""COMPUTED_VALUE"""),8.0)</f>
        <v>8</v>
      </c>
      <c r="C44" s="5" t="str">
        <f>IFERROR(__xludf.DUMMYFUNCTION("IF(A44="""","""",TEXTJOIN(CHAR(10),TRUE,FILTER('Chi tiết từng link'!$B$2:$B$2505,'Chi tiết từng link'!$D$2:$D$2505=A44)))"),"https://techcombank.com/thong-tin/blog/cach-tinh-thue-thu-nhap-ca-nhan-2025
https://techcombank.com/thong-tin/blog/cach-sao-ke-tai-khoan-ngan-hang
https://techcombank.com/thong-tin/blog/thue-thu-nhap-ca-nhan
https://techcombank.com/thong-tin/blog/vay-ngan"&amp;"-hang-1-ty-moi-thang-tra-bao-nhieu
https://techcombank.com/thong-tin/blog/lai-suat-vay-the-chap-so-do
https://techcombank.com/thong-tin/blog/ho-so-thu-tuc-xoa-the-chap
https://techcombank.com/thong-tin/blog/app-vay-tien-nhanh
https://techcombank.com/thong"&amp;"-tin/blog/nen-vay-tin-chap-o-dau")</f>
        <v>https://techcombank.com/thong-tin/blog/cach-tinh-thue-thu-nhap-ca-nhan-2025
https://techcombank.com/thong-tin/blog/cach-sao-ke-tai-khoan-ngan-hang
https://techcombank.com/thong-tin/blog/thue-thu-nhap-ca-nhan
https://techcombank.com/thong-tin/blog/vay-ngan-hang-1-ty-moi-thang-tra-bao-nhieu
https://techcombank.com/thong-tin/blog/lai-suat-vay-the-chap-so-do
https://techcombank.com/thong-tin/blog/ho-so-thu-tuc-xoa-the-chap
https://techcombank.com/thong-tin/blog/app-vay-tien-nhanh
https://techcombank.com/thong-tin/blog/nen-vay-tin-chap-o-dau</v>
      </c>
      <c r="D44" s="5" t="str">
        <f t="shared" si="1"/>
        <v>Vượt giới hạn 3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20" t="str">
        <f>IFERROR(__xludf.DUMMYFUNCTION("""COMPUTED_VALUE"""),"https://techcombank.com/thong-tin/blog/vay-tin-chap-va-vay-the-chap")</f>
        <v>https://techcombank.com/thong-tin/blog/vay-tin-chap-va-vay-the-chap</v>
      </c>
      <c r="B45" s="25">
        <f>IFERROR(__xludf.DUMMYFUNCTION("""COMPUTED_VALUE"""),8.0)</f>
        <v>8</v>
      </c>
      <c r="C45" s="5" t="str">
        <f>IFERROR(__xludf.DUMMYFUNCTION("IF(A45="""","""",TEXTJOIN(CHAR(10),TRUE,FILTER('Chi tiết từng link'!$B$2:$B$2505,'Chi tiết từng link'!$D$2:$D$2505=A45)))"),"https://techcombank.com/thong-tin/blog/vay-ngan-hang-1-ty-moi-thang-tra-bao-nhieu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
https://techcombank.com/thong-tin/blog/nen-vay-tin-chap-o-dau
https://techcombank.co"&amp;"m/thong-tin/blog/vay-tin-chap-khong-tra-duoc-co-sao-khong")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
https://techcombank.com/thong-tin/blog/nen-vay-tin-chap-o-dau
https://techcombank.com/thong-tin/blog/vay-tin-chap-khong-tra-duoc-co-sao-khong</v>
      </c>
      <c r="D45" s="5" t="str">
        <f t="shared" si="1"/>
        <v>Vượt giới hạn 3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20" t="str">
        <f>IFERROR(__xludf.DUMMYFUNCTION("""COMPUTED_VALUE"""),"https://techcombank.com/thong-tin/blog/vay-tra-gop")</f>
        <v>https://techcombank.com/thong-tin/blog/vay-tra-gop</v>
      </c>
      <c r="B46" s="25">
        <f>IFERROR(__xludf.DUMMYFUNCTION("""COMPUTED_VALUE"""),8.0)</f>
        <v>8</v>
      </c>
      <c r="C46" s="5" t="str">
        <f>IFERROR(__xludf.DUMMYFUNCTION("IF(A46="""","""",TEXTJOIN(CHAR(10),TRUE,FILTER('Chi tiết từng link'!$B$2:$B$2505,'Chi tiết từng link'!$D$2:$D$2505=A46)))"),"https://techcombank.com/thong-tin/blog/vay-ngan-hang-1-ty-moi-thang-tra-bao-nhieu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
https://techcombank.com/thong-tin/blog/nen-vay-tin-chap-o-dau
https://techcombank.com/th"&amp;"ong-tin/blog/vay-tin-chap-khong-tra-duoc-co-sao-khong")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
https://techcombank.com/thong-tin/blog/nen-vay-tin-chap-o-dau
https://techcombank.com/thong-tin/blog/vay-tin-chap-khong-tra-duoc-co-sao-khong</v>
      </c>
      <c r="D46" s="5" t="str">
        <f t="shared" si="1"/>
        <v>Vượt giới hạn 3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20" t="str">
        <f>IFERROR(__xludf.DUMMYFUNCTION("""COMPUTED_VALUE"""),"https://techcombank.com/thong-tin/blog/cach-gui-tiet-kiem-online")</f>
        <v>https://techcombank.com/thong-tin/blog/cach-gui-tiet-kiem-online</v>
      </c>
      <c r="B47" s="25">
        <f>IFERROR(__xludf.DUMMYFUNCTION("""COMPUTED_VALUE"""),7.0)</f>
        <v>7</v>
      </c>
      <c r="C47" s="5" t="str">
        <f>IFERROR(__xludf.DUMMYFUNCTION("IF(A47="""","""",TEXTJOIN(CHAR(10),TRUE,FILTER('Chi tiết từng link'!$B$2:$B$2505,'Chi tiết từng link'!$D$2:$D$2505=A47)))"),"https://techcombank.com/thong-tin/blog/ten-dang-nhap-tai-khoan-ngan-hang-la-gi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47" s="5" t="str">
        <f t="shared" si="1"/>
        <v>Vượt giới hạn 3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20" t="str">
        <f>IFERROR(__xludf.DUMMYFUNCTION("""COMPUTED_VALUE"""),"https://techcombank.com/thong-tin/blog/chung-chi-tien-gui-khac-gi-so-tiet-kiem")</f>
        <v>https://techcombank.com/thong-tin/blog/chung-chi-tien-gui-khac-gi-so-tiet-kiem</v>
      </c>
      <c r="B48" s="25">
        <f>IFERROR(__xludf.DUMMYFUNCTION("""COMPUTED_VALUE"""),7.0)</f>
        <v>7</v>
      </c>
      <c r="C48" s="5" t="str">
        <f>IFERROR(__xludf.DUMMYFUNCTION("IF(A48="""","""",TEXTJOIN(CHAR(10),TRUE,FILTER('Chi tiết từng link'!$B$2:$B$2505,'Chi tiết từng link'!$D$2:$D$2505=A48)))"),"https://techcombank.com/thong-tin/blog/chung-chi-tien-gui-la-gi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https://techcombank.com/thong-tin/blog/rut-tien-tiet-kiem-truoc-thoi-han
https://techcombank.com/thong-tin/blog/so-tiet-kiem-ngan-hang
https://techcombank.com/cong-cu-tien-ich/cong-cu-tinh-toan/bang-tinh-lai-suat-tiet-kiem")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</v>
      </c>
      <c r="D48" s="5" t="str">
        <f t="shared" si="1"/>
        <v>Vượt giới hạn 3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 t="str">
        <f>IFERROR(__xludf.DUMMYFUNCTION("""COMPUTED_VALUE"""),"https://techcombank.com/thong-tin/blog/co-50-trieu-nen-mua-vang-hay-gui-tiet-kiem")</f>
        <v>https://techcombank.com/thong-tin/blog/co-50-trieu-nen-mua-vang-hay-gui-tiet-kiem</v>
      </c>
      <c r="B49" s="25">
        <f>IFERROR(__xludf.DUMMYFUNCTION("""COMPUTED_VALUE"""),7.0)</f>
        <v>7</v>
      </c>
      <c r="C49" s="5" t="str">
        <f>IFERROR(__xludf.DUMMYFUNCTION("IF(A49="""","""",TEXTJOIN(CHAR(10),TRUE,FILTER('Chi tiết từng link'!$B$2:$B$2505,'Chi tiết từng link'!$D$2:$D$2505=A49)))"),"https://techcombank.com/thong-tin/blog/thue-thu-nhap-doanh-nghiep
https://techcombank.com/thong-tin/blog/cach-tinh-thue-thu-nhap-doanh-nghiep
https://techcombank.com/thong-tin/blog/chung-chi-tien-gui-la-gi
https://techcombank.com/thong-tin/blog/lai-suat-t"&amp;"iet-kiem
https://techcombank.com/thong-tin/blog/cach-tinh-lai-suat-tien-gui-tiet-kiem
https://techcombank.com/thong-tin/blog/so-tiet-kiem-ngan-hang
https://techcombank.com/cong-cu-tien-ich/cong-cu-tinh-toan/bang-tinh-lai-suat-tiet-kiem")</f>
        <v>https://techcombank.com/thong-tin/blog/thue-thu-nhap-doanh-nghiep
https://techcombank.com/thong-tin/blog/cach-tinh-thue-thu-nhap-doanh-nghiep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49" s="5" t="str">
        <f t="shared" si="1"/>
        <v>Vượt giới hạn 3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 t="str">
        <f>IFERROR(__xludf.DUMMYFUNCTION("""COMPUTED_VALUE"""),"https://techcombank.com/thong-tin/blog/dang-vay-tra-gop-co-vay-them-duoc-khong")</f>
        <v>https://techcombank.com/thong-tin/blog/dang-vay-tra-gop-co-vay-them-duoc-khong</v>
      </c>
      <c r="B50" s="25">
        <f>IFERROR(__xludf.DUMMYFUNCTION("""COMPUTED_VALUE"""),7.0)</f>
        <v>7</v>
      </c>
      <c r="C50" s="5" t="str">
        <f>IFERROR(__xludf.DUMMYFUNCTION("IF(A50="""","""",TEXTJOIN(CHAR(10),TRUE,FILTER('Chi tiết từng link'!$B$2:$B$2505,'Chi tiết từng link'!$D$2:$D$2505=A50)))"),"https://techcombank.com/thong-tin/blog/rut-tien-mat-tu-the-tin-dung
https://techcombank.com/thong-tin/blog/xep-hang-tin-dung
https://techcombank.com/thong-tin/blog/vay-ngan-hang-1-ty-moi-thang-tra-bao-nhieu
https://techcombank.com/thong-tin/blog/cach-tinh"&amp;"-lai-vay-ngan-hang
https://techcombank.com/cong-cu-tien-ich/cong-cu-tinh-toan/bang-tinh-lai-suat-vay
https://techcombank.com/thong-tin/blog/app-vay-tien-nhanh
https://techcombank.com/thong-tin/blog/nen-vay-tin-chap-o-dau")</f>
        <v>https://techcombank.com/thong-tin/blog/rut-tien-mat-tu-the-tin-dung
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50" s="5" t="str">
        <f t="shared" si="1"/>
        <v>Vượt giới hạn 3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 t="str">
        <f>IFERROR(__xludf.DUMMYFUNCTION("""COMPUTED_VALUE"""),"https://techcombank.com/thong-tin/blog/ho-kinh-doanh-can-gi-o-tai-khoan-ngan-hang")</f>
        <v>https://techcombank.com/thong-tin/blog/ho-kinh-doanh-can-gi-o-tai-khoan-ngan-hang</v>
      </c>
      <c r="B51" s="25">
        <f>IFERROR(__xludf.DUMMYFUNCTION("""COMPUTED_VALUE"""),7.0)</f>
        <v>7</v>
      </c>
      <c r="C51" s="5" t="str">
        <f>IFERROR(__xludf.DUMMYFUNCTION("IF(A51="""","""",TEXTJOIN(CHAR(10),TRUE,FILTER('Chi tiết từng link'!$B$2:$B$2505,'Chi tiết từng link'!$D$2:$D$2505=A51)))"),"https://techcombank.com/thong-tin/blog/thue-thu-nhap-doanh-nghiep
https://techcombank.com/thong-tin/blog/cach-tinh-thue-thu-nhap-doanh-nghiep
https://techcombank.com/thong-tin/blog/cach-mo-tai-khoan
https://techcombank.com/thong-tin/blog/chung-chi-tien-gu"&amp;"i-la-gi
https://techcombank.com/thong-tin/blog/ho-kinh-doanh-dong-thue-nhu-nao
https://techcombank.com/thong-tin/blog/mo-tai-khoan-ho-kinh-doanh
https://techcombank.com/thong-tin/blog/cach-tinh-thue-ho-kinh-doanh-nho-le")</f>
        <v>https://techcombank.com/thong-tin/blog/thue-thu-nhap-doanh-nghiep
https://techcombank.com/thong-tin/blog/cach-tinh-thue-thu-nhap-doanh-nghiep
https://techcombank.com/thong-tin/blog/cach-mo-tai-khoan
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51" s="5" t="str">
        <f t="shared" si="1"/>
        <v>Vượt giới hạn 3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 t="str">
        <f>IFERROR(__xludf.DUMMYFUNCTION("""COMPUTED_VALUE"""),"https://techcombank.com/thong-tin/blog/ho-kinh-doanh-dong-thue-nhu-nao")</f>
        <v>https://techcombank.com/thong-tin/blog/ho-kinh-doanh-dong-thue-nhu-nao</v>
      </c>
      <c r="B52" s="25">
        <f>IFERROR(__xludf.DUMMYFUNCTION("""COMPUTED_VALUE"""),7.0)</f>
        <v>7</v>
      </c>
      <c r="C52" s="5" t="str">
        <f>IFERROR(__xludf.DUMMYFUNCTION("IF(A52="""","""",TEXTJOIN(CHAR(10),TRUE,FILTER('Chi tiết từng link'!$B$2:$B$2505,'Chi tiết từng link'!$D$2:$D$2505=A52)))"),"https://techcombank.com/thong-tin/blog/cach-nop-thue-dien-tu
https://techcombank.com/thong-tin/blog/thue-vat-la-gi
https://techcombank.com/thong-tin/blog/cach-tinh-thue-thu-nhap-ca-nhan-2025
https://techcombank.com/thong-tin/blog/kiem-tra-thue-thu-nhap-ca"&amp;"-nhan
https://techcombank.com/thong-tin/blog/thue-thu-nhap-ca-nhan
https://techcombank.com/thong-tin/blog/mo-tai-khoan-ho-kinh-doanh
https://techcombank.com/thong-tin/blog/cach-tinh-thue-ho-kinh-doanh-nho-le")</f>
        <v>https://techcombank.com/thong-tin/blog/cach-nop-thue-dien-tu
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https://techcombank.com/thong-tin/blog/mo-tai-khoan-ho-kinh-doanh
https://techcombank.com/thong-tin/blog/cach-tinh-thue-ho-kinh-doanh-nho-le</v>
      </c>
      <c r="D52" s="5" t="str">
        <f t="shared" si="1"/>
        <v>Vượt giới hạn 3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 t="str">
        <f>IFERROR(__xludf.DUMMYFUNCTION("""COMPUTED_VALUE"""),"https://techcombank.com/thong-tin/blog/kiem-tra-no-xau")</f>
        <v>https://techcombank.com/thong-tin/blog/kiem-tra-no-xau</v>
      </c>
      <c r="B53" s="25">
        <f>IFERROR(__xludf.DUMMYFUNCTION("""COMPUTED_VALUE"""),7.0)</f>
        <v>7</v>
      </c>
      <c r="C53" s="5" t="str">
        <f>IFERROR(__xludf.DUMMYFUNCTION("IF(A53="""","""",TEXTJOIN(CHAR(10),TRUE,FILTER('Chi tiết từng link'!$B$2:$B$2505,'Chi tiết từng link'!$D$2:$D$2505=A53)))"),"https://techcombank.com/thong-tin/blog/cach-quet-nfc-cccd-tren-iphone
https://techcombank.com/thong-tin/blog/cic-la-gi
https://techcombank.com/thong-tin/blog/xep-hang-tin-dung
https://techcombank.com/thong-tin/blog/cach-tinh-lai-vay-ngan-hang
https://tech"&amp;"combank.com/cong-cu-tien-ich/cong-cu-tinh-toan/bang-tinh-lai-suat-vay
https://techcombank.com/thong-tin/blog/no-xau-la-gi
https://techcombank.com/thong-tin/blog/vay-tin-chap-khong-tra-duoc-co-sao-khong")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https://techcombank.com/thong-tin/blog/cach-tinh-lai-vay-ngan-hang
https://techcombank.com/cong-cu-tien-ich/cong-cu-tinh-toan/bang-tinh-lai-suat-vay
https://techcombank.com/thong-tin/blog/no-xau-la-gi
https://techcombank.com/thong-tin/blog/vay-tin-chap-khong-tra-duoc-co-sao-khong</v>
      </c>
      <c r="D53" s="5" t="str">
        <f t="shared" si="1"/>
        <v>Vượt giới hạn 3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 t="str">
        <f>IFERROR(__xludf.DUMMYFUNCTION("""COMPUTED_VALUE"""),"https://techcombank.com/thong-tin/blog/kiem-tra-thue-ho-kinh-doanh")</f>
        <v>https://techcombank.com/thong-tin/blog/kiem-tra-thue-ho-kinh-doanh</v>
      </c>
      <c r="B54" s="25">
        <f>IFERROR(__xludf.DUMMYFUNCTION("""COMPUTED_VALUE"""),7.0)</f>
        <v>7</v>
      </c>
      <c r="C54" s="5" t="str">
        <f>IFERROR(__xludf.DUMMYFUNCTION("IF(A54="""","""",TEXTJOIN(CHAR(10),TRUE,FILTER('Chi tiết từng link'!$B$2:$B$2505,'Chi tiết từng link'!$D$2:$D$2505=A54)))"),"https://techcombank.com/thong-tin/blog/nop-thue-dat-qua-ngan-hang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https://techcombank.com/thong-tin/blog/mo-hinh-kinh-doanh-la-gi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54" s="5" t="str">
        <f t="shared" si="1"/>
        <v>Vượt giới hạn 3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 t="str">
        <f>IFERROR(__xludf.DUMMYFUNCTION("""COMPUTED_VALUE"""),"https://techcombank.com/thong-tin/blog/lai-suat-vay-mua-o-to")</f>
        <v>https://techcombank.com/thong-tin/blog/lai-suat-vay-mua-o-to</v>
      </c>
      <c r="B55" s="25">
        <f>IFERROR(__xludf.DUMMYFUNCTION("""COMPUTED_VALUE"""),7.0)</f>
        <v>7</v>
      </c>
      <c r="C55" s="5" t="str">
        <f>IFERROR(__xludf.DUMMYFUNCTION("IF(A55="""","""",TEXTJOIN(CHAR(10),TRUE,FILTER('Chi tiết từng link'!$B$2:$B$2505,'Chi tiết từng link'!$D$2:$D$2505=A55)))"),"https://techcombank.com/thong-tin/blog/ngan-hang-uy-tin
https://techcombank.com/thong-tin/blog/vay-ngan-hang-1-ty-moi-thang-tra-bao-nhieu
https://techcombank.com/thong-tin/blog/cach-tinh-lai-vay-ngan-hang
https://techcombank.com/thong-tin/blog/lai-suat-va"&amp;"y-the-chap-so-do
https://techcombank.com/thong-tin/blog/ho-so-thu-tuc-xoa-the-chap
https://techcombank.com/cong-cu-tien-ich/cong-cu-tinh-toan/bang-tinh-lai-suat-vay
https://techcombank.com/thong-tin/blog/lai-suat-vay-ngan-hang")</f>
        <v>https://techcombank.com/thong-tin/blog/ngan-hang-uy-tin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55" s="5" t="str">
        <f t="shared" si="1"/>
        <v>Vượt giới hạn 3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 t="str">
        <f>IFERROR(__xludf.DUMMYFUNCTION("""COMPUTED_VALUE"""),"https://techcombank.com/thong-tin/blog/lai-suat-vay-ngan-hang")</f>
        <v>https://techcombank.com/thong-tin/blog/lai-suat-vay-ngan-hang</v>
      </c>
      <c r="B56" s="25">
        <f>IFERROR(__xludf.DUMMYFUNCTION("""COMPUTED_VALUE"""),7.0)</f>
        <v>7</v>
      </c>
      <c r="C56" s="5" t="str">
        <f>IFERROR(__xludf.DUMMYFUNCTION("IF(A56="""","""",TEXTJOIN(CHAR(10),TRUE,FILTER('Chi tiết từng link'!$B$2:$B$2505,'Chi tiết từng link'!$D$2:$D$2505=A56)))"),"https://techcombank.com/thong-tin/blog/ngan-hang-uy-tin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https://techcombank.com/thong-tin/blog/app-vay-tien-nhanh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https://techcombank.com/thong-tin/blog/app-vay-tien-nhanh
https://techcombank.com/thong-tin/blog/nen-vay-tin-chap-o-dau</v>
      </c>
      <c r="D56" s="5" t="str">
        <f t="shared" si="1"/>
        <v>Vượt giới hạn 3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 t="str">
        <f>IFERROR(__xludf.DUMMYFUNCTION("""COMPUTED_VALUE"""),"https://techcombank.com/thong-tin/blog/lai-suat-vay-tieu-dung")</f>
        <v>https://techcombank.com/thong-tin/blog/lai-suat-vay-tieu-dung</v>
      </c>
      <c r="B57" s="25">
        <f>IFERROR(__xludf.DUMMYFUNCTION("""COMPUTED_VALUE"""),7.0)</f>
        <v>7</v>
      </c>
      <c r="C57" s="5" t="str">
        <f>IFERROR(__xludf.DUMMYFUNCTION("IF(A57="""","""",TEXTJOIN(CHAR(10),TRUE,FILTER('Chi tiết từng link'!$B$2:$B$2505,'Chi tiết từng link'!$D$2:$D$2505=A57)))"),"https://techcombank.com/thong-tin/blog/ngan-hang-uy-tin
https://techcombank.com/thong-tin/blog/cach-tinh-lai-vay-ngan-hang
https://techcombank.com/thong-tin/blog/cach-tinh-lai-suat-tien-gui-tiet-kiem
https://techcombank.com/cong-cu-tien-ich/cong-cu-tinh-t"&amp;"oan/bang-tinh-lai-suat-vay
https://techcombank.com/cong-cu-tien-ich/cong-cu-tinh-toan/bang-tinh-lai-suat-tiet-kiem
https://techcombank.com/thong-tin/blog/lai-suat-vay-ngan-hang
https://techcombank.com/thong-tin/blog/nen-vay-tin-chap-o-dau")</f>
        <v>https://techcombank.com/thong-tin/blog/ngan-hang-uy-tin
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</v>
      </c>
      <c r="D57" s="5" t="str">
        <f t="shared" si="1"/>
        <v>Vượt giới hạn 3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 t="str">
        <f>IFERROR(__xludf.DUMMYFUNCTION("""COMPUTED_VALUE"""),"https://techcombank.com/thong-tin/blog/lien-ket-tai-khoan-ngan-hang-voi-etax-mobile")</f>
        <v>https://techcombank.com/thong-tin/blog/lien-ket-tai-khoan-ngan-hang-voi-etax-mobile</v>
      </c>
      <c r="B58" s="25">
        <f>IFERROR(__xludf.DUMMYFUNCTION("""COMPUTED_VALUE"""),7.0)</f>
        <v>7</v>
      </c>
      <c r="C58" s="5" t="str">
        <f>IFERROR(__xludf.DUMMYFUNCTION("IF(A58="""","""",TEXTJOIN(CHAR(10),TRUE,FILTER('Chi tiết từng link'!$B$2:$B$2505,'Chi tiết từng link'!$D$2:$D$2505=A58)))"),"https://techcombank.com/thong-tin/blog/nop-thue-dat-qua-ngan-hang
https://techcombank.com/thong-tin/blog/cach-nop-thue-dien-tu
https://techcombank.com/thong-tin/blog/cach-mo-tai-khoan
https://techcombank.com/thong-tin/blog/kiem-tra-thue-thu-nhap-ca-nhan
h"&amp;"ttps://techcombank.com/thong-tin/blog/ho-kinh-doanh-dong-thue-nhu-nao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https://techcombank.com/thong-tin/blog/cach-mo-tai-khoan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58" s="5" t="str">
        <f t="shared" si="1"/>
        <v>Vượt giới hạn 3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 t="str">
        <f>IFERROR(__xludf.DUMMYFUNCTION("""COMPUTED_VALUE"""),"https://techcombank.com/thong-tin/blog/mm-yy-la-gi")</f>
        <v>https://techcombank.com/thong-tin/blog/mm-yy-la-gi</v>
      </c>
      <c r="B59" s="25">
        <f>IFERROR(__xludf.DUMMYFUNCTION("""COMPUTED_VALUE"""),7.0)</f>
        <v>7</v>
      </c>
      <c r="C59" s="5" t="str">
        <f>IFERROR(__xludf.DUMMYFUNCTION("IF(A59="""","""",TEXTJOIN(CHAR(10),TRUE,FILTER('Chi tiết từng link'!$B$2:$B$2505,'Chi tiết từng link'!$D$2:$D$2505=A59)))"),"https://techcombank.com/thong-tin/blog/nap-tien-vao-tai-khoan-ngan-hang
https://techcombank.com/thong-tin/blog/rut-tien-bang-ma-qr-la-gi-cach-thuc-hien-nhu-the-nao
https://techcombank.com/thong-tin/blog/lam-the-tin-dung
https://techcombank.com/khach-hang-"&amp;"ca-nhan/chi-tieu/the/the-tin-dung/techcombank-everyday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https://techcombank.com/thong-tin/blog/nap-tien-vao-tai-khoan-ngan-hang
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59" s="5" t="str">
        <f t="shared" si="1"/>
        <v>Vượt giới hạn 3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 t="str">
        <f>IFERROR(__xludf.DUMMYFUNCTION("""COMPUTED_VALUE"""),"https://techcombank.com/thong-tin/blog/mo-the-tin-dung-chi-can-cccd")</f>
        <v>https://techcombank.com/thong-tin/blog/mo-the-tin-dung-chi-can-cccd</v>
      </c>
      <c r="B60" s="25">
        <f>IFERROR(__xludf.DUMMYFUNCTION("""COMPUTED_VALUE"""),7.0)</f>
        <v>7</v>
      </c>
      <c r="C60" s="5" t="str">
        <f>IFERROR(__xludf.DUMMYFUNCTION("IF(A60="""","""",TEXTJOIN(CHAR(10),TRUE,FILTER('Chi tiết từng link'!$B$2:$B$2505,'Chi tiết từng link'!$D$2:$D$2505=A60)))"),"https://techcombank.com/thong-tin/blog/cach-sao-ke-tai-khoan-ngan-hang
https://techcombank.com/thong-tin/blog/cach-quet-nfc-cccd-tren-iphone
https://techcombank.com/thong-tin/blog/lam-the-tin-dung
https://techcombank.com/khach-hang-ca-nhan/chi-tieu/the/th"&amp;"e-tin-dung/techcombank-everyday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https://techcombank.com/thong-tin/blog/cach-sao-ke-tai-khoan-ngan-hang
https://techcombank.com/thong-tin/blog/cach-quet-nfc-cccd-tren-iphone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0" s="5" t="str">
        <f t="shared" si="1"/>
        <v>Vượt giới hạn 3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 t="str">
        <f>IFERROR(__xludf.DUMMYFUNCTION("""COMPUTED_VALUE"""),"https://techcombank.com/thong-tin/blog/mo-the-tin-dung-han-muc-cao")</f>
        <v>https://techcombank.com/thong-tin/blog/mo-the-tin-dung-han-muc-cao</v>
      </c>
      <c r="B61" s="25">
        <f>IFERROR(__xludf.DUMMYFUNCTION("""COMPUTED_VALUE"""),7.0)</f>
        <v>7</v>
      </c>
      <c r="C61" s="5" t="str">
        <f>IFERROR(__xludf.DUMMYFUNCTION("IF(A61="""","""",TEXTJOIN(CHAR(10),TRUE,FILTER('Chi tiết từng link'!$B$2:$B$2505,'Chi tiết từng link'!$D$2:$D$2505=A61)))"),"https://techcombank.com/thong-tin/blog/cach-sao-ke-tai-khoan-ngan-hang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61" s="5" t="str">
        <f t="shared" si="1"/>
        <v>Vượt giới hạn 3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 t="str">
        <f>IFERROR(__xludf.DUMMYFUNCTION("""COMPUTED_VALUE"""),"https://techcombank.com/thong-tin/blog/nhung-ho-kinh-doanh-duoc-mien-thue")</f>
        <v>https://techcombank.com/thong-tin/blog/nhung-ho-kinh-doanh-duoc-mien-thue</v>
      </c>
      <c r="B62" s="25">
        <f>IFERROR(__xludf.DUMMYFUNCTION("""COMPUTED_VALUE"""),7.0)</f>
        <v>7</v>
      </c>
      <c r="C62" s="5" t="str">
        <f>IFERROR(__xludf.DUMMYFUNCTION("IF(A62="""","""",TEXTJOIN(CHAR(10),TRUE,FILTER('Chi tiết từng link'!$B$2:$B$2505,'Chi tiết từng link'!$D$2:$D$2505=A62)))"),"https://techcombank.com/thong-tin/blog/thue-vat-la-gi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
https://techcombank.com/thong-tin/blog/cach-tinh-thue-ho-kinh-doanh-nho-le")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
https://techcombank.com/thong-tin/blog/cach-tinh-thue-ho-kinh-doanh-nho-le</v>
      </c>
      <c r="D62" s="5" t="str">
        <f t="shared" si="1"/>
        <v>Vượt giới hạn 3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 t="str">
        <f>IFERROR(__xludf.DUMMYFUNCTION("""COMPUTED_VALUE"""),"https://techcombank.com/thong-tin/blog/no-xau-co-lam-the-visa-duoc-khong")</f>
        <v>https://techcombank.com/thong-tin/blog/no-xau-co-lam-the-visa-duoc-khong</v>
      </c>
      <c r="B63" s="25">
        <f>IFERROR(__xludf.DUMMYFUNCTION("""COMPUTED_VALUE"""),7.0)</f>
        <v>7</v>
      </c>
      <c r="C63" s="5" t="str">
        <f>IFERROR(__xludf.DUMMYFUNCTION("IF(A63="""","""",TEXTJOIN(CHAR(10),TRUE,FILTER('Chi tiết từng link'!$B$2:$B$2505,'Chi tiết từng link'!$D$2:$D$2505=A63)))"),"https://techcombank.com/thong-tin/blog/bao-nhieu-tuoi-duoc-mo-tai-khoan-ngan-hang
https://techcombank.com/thong-tin/blog/cic-la-gi
https://techcombank.com/thong-tin/blog/lam-the-tin-dung
https://techcombank.com/thong-tin/blog/xep-hang-tin-dung
https://tec"&amp;"hcombank.com/thong-tin/blog/kiem-tra-no-xau
https://techcombank.com/thong-tin/blog/no-xau-la-gi
https://techcombank.com/thong-tin/blog/vay-tin-chap-khong-tra-duoc-co-sao-khong")</f>
        <v>https://techcombank.com/thong-tin/blog/bao-nhieu-tuoi-duoc-mo-tai-khoan-ngan-hang
https://techcombank.com/thong-tin/blog/cic-la-gi
https://techcombank.com/thong-tin/blog/lam-the-tin-dung
https://techcombank.com/thong-tin/blog/xep-hang-tin-dung
https://techcombank.com/thong-tin/blog/kiem-tra-no-xau
https://techcombank.com/thong-tin/blog/no-xau-la-gi
https://techcombank.com/thong-tin/blog/vay-tin-chap-khong-tra-duoc-co-sao-khong</v>
      </c>
      <c r="D63" s="5" t="str">
        <f t="shared" si="1"/>
        <v>Vượt giới hạn 3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 t="str">
        <f>IFERROR(__xludf.DUMMYFUNCTION("""COMPUTED_VALUE"""),"https://techcombank.com/thong-tin/blog/phi-rut-tien-mat-the-tin-dung")</f>
        <v>https://techcombank.com/thong-tin/blog/phi-rut-tien-mat-the-tin-dung</v>
      </c>
      <c r="B64" s="25">
        <f>IFERROR(__xludf.DUMMYFUNCTION("""COMPUTED_VALUE"""),7.0)</f>
        <v>7</v>
      </c>
      <c r="C64" s="5" t="str">
        <f>IFERROR(__xludf.DUMMYFUNCTION("IF(A64="""","""",TEXTJOIN(CHAR(10),TRUE,FILTER('Chi tiết từng link'!$B$2:$B$2505,'Chi tiết từng link'!$D$2:$D$2505=A64)))"),"https://techcombank.com/thong-tin/blog/rut-tien-bang-ma-qr-la-gi-cach-thuc-hien-nhu-the-nao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4" s="5" t="str">
        <f t="shared" si="1"/>
        <v>Vượt giới hạn 3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20" t="str">
        <f>IFERROR(__xludf.DUMMYFUNCTION("""COMPUTED_VALUE"""),"https://techcombank.com/thong-tin/blog/rui-ro-khi-gui-tiet-kiem-ngan-hang")</f>
        <v>https://techcombank.com/thong-tin/blog/rui-ro-khi-gui-tiet-kiem-ngan-hang</v>
      </c>
      <c r="B65" s="25">
        <f>IFERROR(__xludf.DUMMYFUNCTION("""COMPUTED_VALUE"""),7.0)</f>
        <v>7</v>
      </c>
      <c r="C65" s="5" t="str">
        <f>IFERROR(__xludf.DUMMYFUNCTION("IF(A65="""","""",TEXTJOIN(CHAR(10),TRUE,FILTER('Chi tiết từng link'!$B$2:$B$2505,'Chi tiết từng link'!$D$2:$D$2505=A65)))"),"https://techcombank.com/thong-tin/blog/ten-dang-nhap-tai-khoan-ngan-hang-la-gi
https://techcombank.com/thong-tin/blog/chung-chi-tien-gui-la-gi
https://techcombank.com/thong-tin/blog/lai-suat-tiet-kiem
https://techcombank.com/thong-tin/blog/cach-tinh-lai-s"&amp;"uat-tien-gui-tiet-kiem
https://techcombank.com/thong-tin/blog/so-tiet-kiem-ngan-hang
https://techcombank.com/thong-tin/blog/rui-ro-khi-gui-tiet-kiem-online
https://techcombank.com/cong-cu-tien-ich/cong-cu-tinh-toan/bang-tinh-lai-suat-tiet-kiem")</f>
        <v>https://techcombank.com/thong-tin/blog/ten-dang-nhap-tai-khoan-ngan-hang-la-gi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65" s="5" t="str">
        <f t="shared" si="1"/>
        <v>Vượt giới hạn 3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20" t="str">
        <f>IFERROR(__xludf.DUMMYFUNCTION("""COMPUTED_VALUE"""),"https://techcombank.com/thong-tin/blog/tai-khoan-doanh-nghiep-co-the-khong")</f>
        <v>https://techcombank.com/thong-tin/blog/tai-khoan-doanh-nghiep-co-the-khong</v>
      </c>
      <c r="B66" s="25">
        <f>IFERROR(__xludf.DUMMYFUNCTION("""COMPUTED_VALUE"""),7.0)</f>
        <v>7</v>
      </c>
      <c r="C66" s="5" t="str">
        <f>IFERROR(__xludf.DUMMYFUNCTION("IF(A66="""","""",TEXTJOIN(CHAR(10),TRUE,FILTER('Chi tiết từng link'!$B$2:$B$2505,'Chi tiết từng link'!$D$2:$D$2505=A66)))"),"https://techcombank.com/thong-tin/blog/cong-ty-su-dung-tai-khoan-ca-nhan
https://techcombank.com/thong-tin/blog/eco-card
https://techcombank.com/thong-tin/blog/lam-the-tin-dung
https://techcombank.com/khach-hang-ca-nhan/chi-tieu/the/the-tin-dung/techcomba"&amp;"nk-everyday
https://techcombank.com/thong-tin/blog/the-tin-dung-hoan-tien
https://techcombank.com/thong-tin/blog/cach-huy-the-tin-dung
https://techcombank.com/thong-tin/blog/cach-thanh-toan-the-tin-dung")</f>
        <v>https://techcombank.com/thong-tin/blog/cong-ty-su-dung-tai-khoan-ca-nhan
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6" s="5" t="str">
        <f t="shared" si="1"/>
        <v>Vượt giới hạn 3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20" t="str">
        <f>IFERROR(__xludf.DUMMYFUNCTION("""COMPUTED_VALUE"""),"https://techcombank.com/thong-tin/blog/thanh-toan-tien-dien-bang-the-tin-dung")</f>
        <v>https://techcombank.com/thong-tin/blog/thanh-toan-tien-dien-bang-the-tin-dung</v>
      </c>
      <c r="B67" s="25">
        <f>IFERROR(__xludf.DUMMYFUNCTION("""COMPUTED_VALUE"""),7.0)</f>
        <v>7</v>
      </c>
      <c r="C67" s="5" t="str">
        <f>IFERROR(__xludf.DUMMYFUNCTION("IF(A67="""","""",TEXTJOIN(CHAR(10),TRUE,FILTER('Chi tiết từng link'!$B$2:$B$2505,'Chi tiết từng link'!$D$2:$D$2505=A67)))"),"https://techcombank.com/thong-tin/blog/cach-tinh-tien-dien-sinh-hoat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7" s="5" t="str">
        <f t="shared" si="1"/>
        <v>Vượt giới hạn 3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20" t="str">
        <f>IFERROR(__xludf.DUMMYFUNCTION("""COMPUTED_VALUE"""),"https://techcombank.com/thong-tin/blog/the-ghi-no-visa-la-gi")</f>
        <v>https://techcombank.com/thong-tin/blog/the-ghi-no-visa-la-gi</v>
      </c>
      <c r="B68" s="25">
        <f>IFERROR(__xludf.DUMMYFUNCTION("""COMPUTED_VALUE"""),7.0)</f>
        <v>7</v>
      </c>
      <c r="C68" s="5" t="str">
        <f>IFERROR(__xludf.DUMMYFUNCTION("IF(A68="""","""",TEXTJOIN(CHAR(10),TRUE,FILTER('Chi tiết từng link'!$B$2:$B$2505,'Chi tiết từng link'!$D$2:$D$2505=A68)))"),"https://techcombank.com/thong-tin/blog/eco-card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
https://techcombank.com/thong-tin/blog/cach-nhan-tien-tu-nuoc-ngoai-ve-viet-nam")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68" s="5" t="str">
        <f t="shared" si="1"/>
        <v>Vượt giới hạn 3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20" t="str">
        <f>IFERROR(__xludf.DUMMYFUNCTION("""COMPUTED_VALUE"""),"https://techcombank.com/thong-tin/blog/the-tin-dung-la-gi")</f>
        <v>https://techcombank.com/thong-tin/blog/the-tin-dung-la-gi</v>
      </c>
      <c r="B69" s="25">
        <f>IFERROR(__xludf.DUMMYFUNCTION("""COMPUTED_VALUE"""),7.0)</f>
        <v>7</v>
      </c>
      <c r="C69" s="5" t="str">
        <f>IFERROR(__xludf.DUMMYFUNCTION("IF(A69="""","""",TEXTJOIN(CHAR(10),TRUE,FILTER('Chi tiết từng link'!$B$2:$B$2505,'Chi tiết từng link'!$D$2:$D$2505=A69)))"),"https://techcombank.com/thong-tin/blog/rut-tien-bang-ma-qr-la-gi-cach-thuc-hien-nhu-the-nao
https://techcombank.com/thong-tin/blog/rut-tien-mat-tu-the-tin-dung
https://techcombank.com/thong-tin/blog/lam-the-tin-dung
https://techcombank.com/khach-hang-ca-n"&amp;"han/chi-tieu/the/the-tin-dung/techcombank-everyday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69" s="5" t="str">
        <f t="shared" si="1"/>
        <v>Vượt giới hạn 3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20" t="str">
        <f>IFERROR(__xludf.DUMMYFUNCTION("""COMPUTED_VALUE"""),"https://techcombank.com/thong-tin/blog/the-tin-dung-phu-la-gi")</f>
        <v>https://techcombank.com/thong-tin/blog/the-tin-dung-phu-la-gi</v>
      </c>
      <c r="B70" s="25">
        <f>IFERROR(__xludf.DUMMYFUNCTION("""COMPUTED_VALUE"""),7.0)</f>
        <v>7</v>
      </c>
      <c r="C70" s="5" t="str">
        <f>IFERROR(__xludf.DUMMYFUNCTION("IF(A70="""","""",TEXTJOIN(CHAR(10),TRUE,FILTER('Chi tiết từng link'!$B$2:$B$2505,'Chi tiết từng link'!$D$2:$D$2505=A70)))"),"https://techcombank.com/thong-tin/blog/cach-sao-ke-tai-khoan-ngan-hang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0" s="5" t="str">
        <f t="shared" si="1"/>
        <v>Vượt giới hạn 3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20" t="str">
        <f>IFERROR(__xludf.DUMMYFUNCTION("""COMPUTED_VALUE"""),"https://techcombank.com/thong-tin/blog/thoi-gian-hoan-tien-the-tin-dung")</f>
        <v>https://techcombank.com/thong-tin/blog/thoi-gian-hoan-tien-the-tin-dung</v>
      </c>
      <c r="B71" s="25">
        <f>IFERROR(__xludf.DUMMYFUNCTION("""COMPUTED_VALUE"""),7.0)</f>
        <v>7</v>
      </c>
      <c r="C71" s="5" t="str">
        <f>IFERROR(__xludf.DUMMYFUNCTION("IF(A71="""","""",TEXTJOIN(CHAR(10),TRUE,FILTER('Chi tiết từng link'!$B$2:$B$2505,'Chi tiết từng link'!$D$2:$D$2505=A71)))"),"https://techcombank.com/thong-tin/blog/cach-sao-ke-tai-khoan-ngan-hang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1" s="5" t="str">
        <f t="shared" si="1"/>
        <v>Vượt giới hạn 3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20" t="str">
        <f>IFERROR(__xludf.DUMMYFUNCTION("""COMPUTED_VALUE"""),"https://techcombank.com/thong-tin/blog/tien-chuyen-vao-tai-khoan-co-bi-tinh-thue-khong")</f>
        <v>https://techcombank.com/thong-tin/blog/tien-chuyen-vao-tai-khoan-co-bi-tinh-thue-khong</v>
      </c>
      <c r="B72" s="25">
        <f>IFERROR(__xludf.DUMMYFUNCTION("""COMPUTED_VALUE"""),7.0)</f>
        <v>7</v>
      </c>
      <c r="C72" s="5" t="str">
        <f>IFERROR(__xludf.DUMMYFUNCTION("IF(A72="""","""",TEXTJOIN(CHAR(10),TRUE,FILTER('Chi tiết từng link'!$B$2:$B$2505,'Chi tiết từng link'!$D$2:$D$2505=A72)))"),"https://techcombank.com/thong-tin/blog/nop-thue-dat-qua-ngan-hang
https://techcombank.com/thong-tin/blog/cach-nop-thue-dien-tu
https://techcombank.com/thong-tin/blog/cong-ty-su-dung-tai-khoan-ca-nhan
https://techcombank.com/thong-tin/blog/cach-sao-ke-tai-"&amp;"khoan-ngan-hang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https://techcombank.com/thong-tin/blog/cong-ty-su-dung-tai-khoan-ca-nhan
https://techcombank.com/thong-tin/blog/cach-sao-ke-tai-khoan-ngan-hang
https://techcombank.com/thong-tin/blog/kiem-tra-thue-thu-nhap-ca-nhan
https://techcombank.com/thong-tin/blog/thue-thu-nhap-ca-nhan
https://techcombank.com/thong-tin/blog/ho-kinh-doanh-dong-thue-nhu-nao</v>
      </c>
      <c r="D72" s="5" t="str">
        <f t="shared" si="1"/>
        <v>Vượt giới hạn 3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20" t="str">
        <f>IFERROR(__xludf.DUMMYFUNCTION("""COMPUTED_VALUE"""),"https://techcombank.com/thong-tin/blog/tra-cuu-no-thue-ca-nhan")</f>
        <v>https://techcombank.com/thong-tin/blog/tra-cuu-no-thue-ca-nhan</v>
      </c>
      <c r="B73" s="25">
        <f>IFERROR(__xludf.DUMMYFUNCTION("""COMPUTED_VALUE"""),7.0)</f>
        <v>7</v>
      </c>
      <c r="C73" s="5" t="str">
        <f>IFERROR(__xludf.DUMMYFUNCTION("IF(A73="""","""",TEXTJOIN(CHAR(10),TRUE,FILTER('Chi tiết từng link'!$B$2:$B$2505,'Chi tiết từng link'!$D$2:$D$2505=A73)))"),"https://techcombank.com/thong-tin/blog/nop-thue-dat-qua-ngan-hang
https://techcombank.com/thong-tin/blog/cach-nop-thue-dien-tu
https://techcombank.com/thong-tin/blog/tra-cuu-no-thue-doanh-nghiep
https://techcombank.com/thong-tin/blog/cach-tinh-thue-thu-nh"&amp;"ap-ca-nhan-2025
https://techcombank.com/thong-tin/blog/kiem-tra-thue-thu-nhap-ca-nhan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73" s="5" t="str">
        <f t="shared" si="1"/>
        <v>Vượt giới hạn 3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20" t="str">
        <f>IFERROR(__xludf.DUMMYFUNCTION("""COMPUTED_VALUE"""),"https://techcombank.com/thong-tin/blog/tra-cuu-no-thue-ho-kinh-doanh")</f>
        <v>https://techcombank.com/thong-tin/blog/tra-cuu-no-thue-ho-kinh-doanh</v>
      </c>
      <c r="B74" s="25">
        <f>IFERROR(__xludf.DUMMYFUNCTION("""COMPUTED_VALUE"""),7.0)</f>
        <v>7</v>
      </c>
      <c r="C74" s="5" t="str">
        <f>IFERROR(__xludf.DUMMYFUNCTION("IF(A74="""","""",TEXTJOIN(CHAR(10),TRUE,FILTER('Chi tiết từng link'!$B$2:$B$2505,'Chi tiết từng link'!$D$2:$D$2505=A74)))"),"https://techcombank.com/thong-tin/blog/nop-thue-dat-qua-ngan-hang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74" s="5" t="str">
        <f t="shared" si="1"/>
        <v>Vượt giới hạn 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20" t="str">
        <f>IFERROR(__xludf.DUMMYFUNCTION("""COMPUTED_VALUE"""),"https://techcombank.com/thong-tin/blog/uu-dai-the-tin-dung")</f>
        <v>https://techcombank.com/thong-tin/blog/uu-dai-the-tin-dung</v>
      </c>
      <c r="B75" s="25">
        <f>IFERROR(__xludf.DUMMYFUNCTION("""COMPUTED_VALUE"""),7.0)</f>
        <v>7</v>
      </c>
      <c r="C75" s="5" t="str">
        <f>IFERROR(__xludf.DUMMYFUNCTION("IF(A75="""","""",TEXTJOIN(CHAR(10),TRUE,FILTER('Chi tiết từng link'!$B$2:$B$2505,'Chi tiết từng link'!$D$2:$D$2505=A75)))"),"https://techcombank.com/thong-tin/blog/cach-sao-ke-tai-khoan-ngan-hang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5" s="5" t="str">
        <f t="shared" si="1"/>
        <v>Vượt giới hạn 3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20" t="str">
        <f>IFERROR(__xludf.DUMMYFUNCTION("""COMPUTED_VALUE"""),"https://techcombank.com/thong-tin/blog/uu-dai-the-tin-dung-techcombank-signature")</f>
        <v>https://techcombank.com/thong-tin/blog/uu-dai-the-tin-dung-techcombank-signature</v>
      </c>
      <c r="B76" s="25">
        <f>IFERROR(__xludf.DUMMYFUNCTION("""COMPUTED_VALUE"""),7.0)</f>
        <v>7</v>
      </c>
      <c r="C76" s="5" t="str">
        <f>IFERROR(__xludf.DUMMYFUNCTION("IF(A76="""","""",TEXTJOIN(CHAR(10),TRUE,FILTER('Chi tiết từng link'!$B$2:$B$2505,'Chi tiết từng link'!$D$2:$D$2505=A76)))"),"https://techcombank.com/thong-tin/blog/cach-sao-ke-tai-khoan-ngan-hang
https://techcombank.com/thong-tin/blog/lam-the-tin-dung
https://techcombank.com/khach-hang-ca-nhan/chi-tieu/the/the-tin-dung/techcombank-everyday
https://techcombank.com/thong-tin/blog"&amp;"/the-tin-dung-hoan-tien
https://techcombank.com/thong-tin/blog/cach-huy-the-tin-dung
https://techcombank.com/thong-tin/blog/cach-thanh-toan-the-tin-dung
https://techcombank.com/thong-tin/blog/cach-tiet-kiem-tien")</f>
        <v>https://techcombank.com/thong-tin/blog/cach-sao-ke-tai-khoan-ngan-hang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https://techcombank.com/thong-tin/blog/cach-tiet-kiem-tien</v>
      </c>
      <c r="D76" s="5" t="str">
        <f t="shared" si="1"/>
        <v>Vượt giới hạn 3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20" t="str">
        <f>IFERROR(__xludf.DUMMYFUNCTION("""COMPUTED_VALUE"""),"https://techcombank.com/thong-tin/blog/vay-ngan-hang-1-ty-moi-thang-tra-bao-nhieu")</f>
        <v>https://techcombank.com/thong-tin/blog/vay-ngan-hang-1-ty-moi-thang-tra-bao-nhieu</v>
      </c>
      <c r="B77" s="25">
        <f>IFERROR(__xludf.DUMMYFUNCTION("""COMPUTED_VALUE"""),7.0)</f>
        <v>7</v>
      </c>
      <c r="C77" s="5" t="str">
        <f>IFERROR(__xludf.DUMMYFUNCTION("IF(A77="""","""",TEXTJOIN(CHAR(10),TRUE,FILTER('Chi tiết từng link'!$B$2:$B$2505,'Chi tiết từng link'!$D$2:$D$2505=A77)))"),"https://techcombank.com/thong-tin/blog/cach-tinh-tien-dien-sinh-hoat
https://techcombank.com/thong-tin/blog/ten-dang-nhap-tai-khoan-ngan-hang-la-gi
https://techcombank.com/thong-tin/blog/lam-the-tin-dung
https://techcombank.com/khach-hang-ca-nhan/chi-tieu"&amp;"/the/the-tin-dung/techcombank-everyday
https://techcombank.com/thong-tin/blog/the-tin-dung-hoan-tien
https://techcombank.com/thong-tin/blog/cach-huy-the-tin-dung
https://techcombank.com/thong-tin/blog/cach-thanh-toan-the-tin-dung")</f>
        <v>https://techcombank.com/thong-tin/blog/cach-tinh-tien-dien-sinh-hoat
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77" s="5" t="str">
        <f t="shared" si="1"/>
        <v>Vượt giới hạn 3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20" t="str">
        <f>IFERROR(__xludf.DUMMYFUNCTION("""COMPUTED_VALUE"""),"https://techcombank.com/thong-tin/blog/vay-the-chap-khong-tra-duoc")</f>
        <v>https://techcombank.com/thong-tin/blog/vay-the-chap-khong-tra-duoc</v>
      </c>
      <c r="B78" s="25">
        <f>IFERROR(__xludf.DUMMYFUNCTION("""COMPUTED_VALUE"""),7.0)</f>
        <v>7</v>
      </c>
      <c r="C78" s="5" t="str">
        <f>IFERROR(__xludf.DUMMYFUNCTION("IF(A78="""","""",TEXTJOIN(CHAR(10),TRUE,FILTER('Chi tiết từng link'!$B$2:$B$2505,'Chi tiết từng link'!$D$2:$D$2505=A78)))"),"https://techcombank.com/thong-tin/blog/cic-la-gi
https://techcombank.com/thong-tin/blog/xep-hang-tin-dung
https://techcombank.com/thong-tin/blog/vay-ngan-hang-1-ty-moi-thang-tra-bao-nhieu
https://techcombank.com/thong-tin/blog/lai-suat-vay-the-chap-so-do
"&amp;"https://techcombank.com/thong-tin/blog/ho-so-thu-tuc-xoa-the-chap
https://techcombank.com/thong-tin/blog/rui-ro-khi-gui-tiet-kiem-online
https://techcombank.com/thong-tin/blog/vay-tin-chap-khong-tra-duoc-co-sao-khong")</f>
        <v>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
https://techcombank.com/thong-tin/blog/vay-tin-chap-khong-tra-duoc-co-sao-khong</v>
      </c>
      <c r="D78" s="5" t="str">
        <f t="shared" si="1"/>
        <v>Vượt giới hạn 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20" t="str">
        <f>IFERROR(__xludf.DUMMYFUNCTION("""COMPUTED_VALUE"""),"https://techcombank.com/thong-tin/blog/vay-tin-chap-la-gi")</f>
        <v>https://techcombank.com/thong-tin/blog/vay-tin-chap-la-gi</v>
      </c>
      <c r="B79" s="25">
        <f>IFERROR(__xludf.DUMMYFUNCTION("""COMPUTED_VALUE"""),7.0)</f>
        <v>7</v>
      </c>
      <c r="C79" s="5" t="str">
        <f>IFERROR(__xludf.DUMMYFUNCTION("IF(A79="""","""",TEXTJOIN(CHAR(10),TRUE,FILTER('Chi tiết từng link'!$B$2:$B$2505,'Chi tiết từng link'!$D$2:$D$2505=A79)))"),"https://techcombank.com/thong-tin/blog/cach-tinh-lai-vay-ngan-hang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https://techcombank.com/thong-tin/blog/nen-vay-tin-chap-o-dau
https://techcombank.com/thong-tin/blog/vay-tin-chap-khong-tra-duoc-co-sa"&amp;"o-khong")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https://techcombank.com/thong-tin/blog/nen-vay-tin-chap-o-dau
https://techcombank.com/thong-tin/blog/vay-tin-chap-khong-tra-duoc-co-sao-khong</v>
      </c>
      <c r="D79" s="5" t="str">
        <f t="shared" si="1"/>
        <v>Vượt giới hạn 3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20" t="str">
        <f>IFERROR(__xludf.DUMMYFUNCTION("""COMPUTED_VALUE"""),"https://techcombank.com/thong-tin/blog/1000-yen-bang-bao-nhieu-tien-viet")</f>
        <v>https://techcombank.com/thong-tin/blog/1000-yen-bang-bao-nhieu-tien-viet</v>
      </c>
      <c r="B80" s="25">
        <f>IFERROR(__xludf.DUMMYFUNCTION("""COMPUTED_VALUE"""),6.0)</f>
        <v>6</v>
      </c>
      <c r="C80" s="5" t="str">
        <f>IFERROR(__xludf.DUMMYFUNCTION("IF(A80="""","""",TEXTJOIN(CHAR(10),TRUE,FILTER('Chi tiết từng link'!$B$2:$B$2505,'Chi tiết từng link'!$D$2:$D$2505=A80)))"),"https://techcombank.com/thong-tin/blog/chuyen-khoan-thanh-cong-nhung-khong-nhan-duoc-tien
https://techcombank.com/thong-tin/blog/tien-nhat
https://techcombank.com/thong-tin/blog/1-yen-bang-bao-nhieu-tien-viet-nam
https://techcombank.com/thong-tin/blog/1-m"&amp;"an-bang-bao-nhieu-tien-viet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https://techcombank.com/thong-tin/blog/tien-nhat
https://techcombank.com/thong-tin/blog/1-yen-bang-bao-nhieu-tien-viet-nam
https://techcombank.com/thong-tin/blog/1-man-bang-bao-nhieu-tien-viet
https://techcombank.com/thong-tin/blog/cach-nhan-tien-tu-nuoc-ngoai-ve-viet-nam
https://techcombank.com/thong-tin/blog/doi-tien-do-o-dau</v>
      </c>
      <c r="D80" s="5" t="str">
        <f t="shared" si="1"/>
        <v>Vượt giới hạn 3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20" t="str">
        <f>IFERROR(__xludf.DUMMYFUNCTION("""COMPUTED_VALUE"""),"https://techcombank.com/thong-tin/blog/cach-su-dung-the-visa-techcombank")</f>
        <v>https://techcombank.com/thong-tin/blog/cach-su-dung-the-visa-techcombank</v>
      </c>
      <c r="B81" s="25">
        <f>IFERROR(__xludf.DUMMYFUNCTION("""COMPUTED_VALUE"""),6.0)</f>
        <v>6</v>
      </c>
      <c r="C81" s="5" t="str">
        <f>IFERROR(__xludf.DUMMYFUNCTION("IF(A81="""","""",TEXTJOIN(CHAR(10),TRUE,FILTER('Chi tiết từng link'!$B$2:$B$2505,'Chi tiết từng link'!$D$2:$D$2505=A81)))"),"https://techcombank.com/thong-tin/blog/chuyen-khoan-thanh-cong-nhung-khong-nhan-duoc-tien
https://techcombank.com/thong-tin/blog/rut-tien-bang-ma-qr-la-gi-cach-thuc-hien-nhu-the-nao
https://techcombank.com/thong-tin/blog/rut-tien-mat-tu-the-tin-dung
https"&amp;"://techcombank.com/thong-tin/blog/vay-ngan-hang-1-ty-moi-thang-tra-bao-nhieu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https://techcombank.com/thong-tin/blog/chuyen-khoan-thanh-cong-nhung-khong-nhan-duoc-tien
https://techcombank.com/thong-tin/blog/rut-tien-bang-ma-qr-la-gi-cach-thuc-hien-nhu-the-nao
https://techcombank.com/thong-tin/blog/rut-tien-mat-tu-the-tin-dung
https://techcombank.com/thong-tin/blog/vay-ngan-hang-1-ty-moi-thang-tra-bao-nhieu
https://techcombank.com/thong-tin/blog/cach-tinh-lai-vay-ngan-hang
https://techcombank.com/cong-cu-tien-ich/cong-cu-tinh-toan/bang-tinh-lai-suat-vay</v>
      </c>
      <c r="D81" s="5" t="str">
        <f t="shared" si="1"/>
        <v>Vượt giới hạn 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20" t="str">
        <f>IFERROR(__xludf.DUMMYFUNCTION("""COMPUTED_VALUE"""),"https://techcombank.com/thong-tin/blog/cach-tiet-kiem-tien-sinh-loi")</f>
        <v>https://techcombank.com/thong-tin/blog/cach-tiet-kiem-tien-sinh-loi</v>
      </c>
      <c r="B82" s="25">
        <f>IFERROR(__xludf.DUMMYFUNCTION("""COMPUTED_VALUE"""),6.0)</f>
        <v>6</v>
      </c>
      <c r="C82" s="5" t="str">
        <f>IFERROR(__xludf.DUMMYFUNCTION("IF(A82="""","""",TEXTJOIN(CHAR(10),TRUE,FILTER('Chi tiết từng link'!$B$2:$B$2505,'Chi tiết từng link'!$D$2:$D$2505=A82)))"),"https://techcombank.com/thong-tin/blog/chung-chi-tien-gui-la-gi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82" s="5" t="str">
        <f t="shared" si="1"/>
        <v>Vượt giới hạn 3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20" t="str">
        <f>IFERROR(__xludf.DUMMYFUNCTION("""COMPUTED_VALUE"""),"https://techcombank.com/thong-tin/blog/cach-tinh-lai-suat-tien-gui-tiet-kiem")</f>
        <v>https://techcombank.com/thong-tin/blog/cach-tinh-lai-suat-tien-gui-tiet-kiem</v>
      </c>
      <c r="B83" s="25">
        <f>IFERROR(__xludf.DUMMYFUNCTION("""COMPUTED_VALUE"""),6.0)</f>
        <v>6</v>
      </c>
      <c r="C83" s="5" t="str">
        <f>IFERROR(__xludf.DUMMYFUNCTION("IF(A83="""","""",TEXTJOIN(CHAR(10),TRUE,FILTER('Chi tiết từng link'!$B$2:$B$2505,'Chi tiết từng link'!$D$2:$D$2505=A83)))"),"https://techcombank.com/thong-tin/blog/ngan-hang-uy-tin
https://techcombank.com/thong-tin/blog/chung-chi-tien-gui-la-gi
https://techcombank.com/thong-tin/blog/lai-suat-chung-chi-tien-gui-cac-ngan-hang
https://techcombank.com/thong-tin/blog/lai-suat-tiet-k"&amp;"iem
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https://techcombank.com/thong-tin/blog/lai-suat-chung-chi-tien-gui-cac-ngan-hang
https://techcombank.com/thong-tin/blog/lai-suat-tiet-kiem
https://techcombank.com/thong-tin/blog/so-tiet-kiem-ngan-hang
https://techcombank.com/cong-cu-tien-ich/cong-cu-tinh-toan/bang-tinh-lai-suat-tiet-kiem</v>
      </c>
      <c r="D83" s="5" t="str">
        <f t="shared" si="1"/>
        <v>Vượt giới hạn 3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20" t="str">
        <f>IFERROR(__xludf.DUMMYFUNCTION("""COMPUTED_VALUE"""),"https://techcombank.com/thong-tin/blog/cach-tinh-lai-vay-ngan-hang")</f>
        <v>https://techcombank.com/thong-tin/blog/cach-tinh-lai-vay-ngan-hang</v>
      </c>
      <c r="B84" s="25">
        <f>IFERROR(__xludf.DUMMYFUNCTION("""COMPUTED_VALUE"""),6.0)</f>
        <v>6</v>
      </c>
      <c r="C84" s="5" t="str">
        <f>IFERROR(__xludf.DUMMYFUNCTION("IF(A84="""","""",TEXTJOIN(CHAR(10),TRUE,FILTER('Chi tiết từng link'!$B$2:$B$2505,'Chi tiết từng link'!$D$2:$D$2505=A84)))"),"https://techcombank.com/thong-tin/blog/cach-thanh-toan-the-tin-dung
https://techcombank.com/thong-tin/blog/cach-tinh-lai-suat-tien-gui-tiet-kiem
https://techcombank.com/cong-cu-tien-ich/cong-cu-tinh-toan/bang-tinh-lai-suat-vay
https://techcombank.com/cong"&amp;"-cu-tien-ich/cong-cu-tinh-toan/bang-tinh-lai-suat-tiet-kiem
https://techcombank.com/thong-tin/blog/lai-suat-vay-ngan-hang
https://techcombank.com/thong-tin/blog/vay-thau-chi-la-gi")</f>
        <v>https://techcombank.com/thong-tin/blog/cach-thanh-toan-the-tin-dung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84" s="5" t="str">
        <f t="shared" si="1"/>
        <v>Vượt giới hạn 3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20" t="str">
        <f>IFERROR(__xludf.DUMMYFUNCTION("""COMPUTED_VALUE"""),"https://techcombank.com/thong-tin/blog/cach-tinh-thue-ho-kinh-doanh-nho-le")</f>
        <v>https://techcombank.com/thong-tin/blog/cach-tinh-thue-ho-kinh-doanh-nho-le</v>
      </c>
      <c r="B85" s="25">
        <f>IFERROR(__xludf.DUMMYFUNCTION("""COMPUTED_VALUE"""),6.0)</f>
        <v>6</v>
      </c>
      <c r="C85" s="5" t="str">
        <f>IFERROR(__xludf.DUMMYFUNCTION("IF(A85="""","""",TEXTJOIN(CHAR(10),TRUE,FILTER('Chi tiết từng link'!$B$2:$B$2505,'Chi tiết từng link'!$D$2:$D$2505=A85)))"),"https://techcombank.com/thong-tin/blog/thue-vat-la-gi
https://techcombank.com/thong-tin/blog/cach-tinh-thue-thu-nhap-ca-nhan-2025
https://techcombank.com/thong-tin/blog/kiem-tra-thue-thu-nhap-ca-nhan
https://techcombank.com/thong-tin/blog/thue-thu-nhap-ca"&amp;"-nhan
https://techcombank.com/thong-tin/blog/ho-kinh-doanh-dong-thue-nhu-nao
https://techcombank.com/thong-tin/blog/mo-tai-khoan-ho-kinh-doanh")</f>
        <v>https://techcombank.com/thong-tin/blog/thue-vat-la-gi
https://techcombank.com/thong-tin/blog/cach-tinh-thue-thu-nhap-ca-nhan-2025
https://techcombank.com/thong-tin/blog/kiem-tra-thue-thu-nhap-ca-nhan
https://techcombank.com/thong-tin/blog/thue-thu-nhap-ca-nhan
https://techcombank.com/thong-tin/blog/ho-kinh-doanh-dong-thue-nhu-nao
https://techcombank.com/thong-tin/blog/mo-tai-khoan-ho-kinh-doanh</v>
      </c>
      <c r="D85" s="5" t="str">
        <f t="shared" si="1"/>
        <v>Vượt giới hạn 3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20" t="str">
        <f>IFERROR(__xludf.DUMMYFUNCTION("""COMPUTED_VALUE"""),"https://techcombank.com/thong-tin/blog/chinh-sach-thue-moi")</f>
        <v>https://techcombank.com/thong-tin/blog/chinh-sach-thue-moi</v>
      </c>
      <c r="B86" s="25">
        <f>IFERROR(__xludf.DUMMYFUNCTION("""COMPUTED_VALUE"""),6.0)</f>
        <v>6</v>
      </c>
      <c r="C86" s="5" t="str">
        <f>IFERROR(__xludf.DUMMYFUNCTION("IF(A86="""","""",TEXTJOIN(CHAR(10),TRUE,FILTER('Chi tiết từng link'!$B$2:$B$2505,'Chi tiết từng link'!$D$2:$D$2505=A86)))"),"https://techcombank.com/thong-tin/blog/thue-doanh-nghiep
https://techcombank.com/thong-tin/blog/eco-card
https://techcombank.com/thong-tin/blog/ho-kinh-doanh-dong-thue-nhu-nao
https://techcombank.com/thong-tin/blog/mo-tai-khoan-ho-kinh-doanh
https://techc"&amp;"ombank.com/thong-tin/blog/cach-tinh-thue-ho-kinh-doanh-nho-le
https://techcombank.com/thong-tin/blog/cach-tiet-kiem-tien")</f>
        <v>https://techcombank.com/thong-tin/blog/thue-doanh-nghiep
https://techcombank.com/thong-tin/blog/eco-card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86" s="5" t="str">
        <f t="shared" si="1"/>
        <v>Vượt giới hạn 3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20" t="str">
        <f>IFERROR(__xludf.DUMMYFUNCTION("""COMPUTED_VALUE"""),"https://techcombank.com/thong-tin/blog/chon-kenh-dau-tu-an-toan-trong-boi-canh-thi-truong-bien-dong")</f>
        <v>https://techcombank.com/thong-tin/blog/chon-kenh-dau-tu-an-toan-trong-boi-canh-thi-truong-bien-dong</v>
      </c>
      <c r="B87" s="25">
        <f>IFERROR(__xludf.DUMMYFUNCTION("""COMPUTED_VALUE"""),6.0)</f>
        <v>6</v>
      </c>
      <c r="C87" s="5" t="str">
        <f>IFERROR(__xludf.DUMMYFUNCTION("IF(A87="""","""",TEXTJOIN(CHAR(10),TRUE,FILTER('Chi tiết từng link'!$B$2:$B$2505,'Chi tiết từng link'!$D$2:$D$2505=A87)))"),"https://techcombank.com/thong-tin/blog/chung-chi-tien-gui-la-gi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87" s="5" t="str">
        <f t="shared" si="1"/>
        <v>Vượt giới hạn 3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20" t="str">
        <f>IFERROR(__xludf.DUMMYFUNCTION("""COMPUTED_VALUE"""),"https://techcombank.com/thong-tin/blog/chuyen-tien-tu-nhat-ve-viet-nam")</f>
        <v>https://techcombank.com/thong-tin/blog/chuyen-tien-tu-nhat-ve-viet-nam</v>
      </c>
      <c r="B88" s="25">
        <f>IFERROR(__xludf.DUMMYFUNCTION("""COMPUTED_VALUE"""),6.0)</f>
        <v>6</v>
      </c>
      <c r="C88" s="5" t="str">
        <f>IFERROR(__xludf.DUMMYFUNCTION("IF(A88="""","""",TEXTJOIN(CHAR(10),TRUE,FILTER('Chi tiết từng link'!$B$2:$B$2505,'Chi tiết từng link'!$D$2:$D$2505=A88)))"),"https://techcombank.com/thong-tin/blog/chuyen-khoan-thanh-cong-nhung-khong-nhan-duoc-tien
https://techcombank.com/thong-tin/blog/1-te-bang-bao-nhieu-tien-viet-nam
https://techcombank.com/thong-tin/blog/tien-nhat
https://techcombank.com/thong-tin/blog/1-ye"&amp;"n-bang-bao-nhieu-tien-viet-nam
https://techcombank.com/thong-tin/blog/1-man-bang-bao-nhieu-tien-viet
https://techcombank.com/thong-tin/blog/doi-tien-do-o-dau")</f>
        <v>https://techcombank.com/thong-tin/blog/chuyen-khoan-thanh-cong-nhung-khong-nhan-duoc-tien
https://techcombank.com/thong-tin/blog/1-te-bang-bao-nhieu-tien-viet-nam
https://techcombank.com/thong-tin/blog/tien-nhat
https://techcombank.com/thong-tin/blog/1-yen-bang-bao-nhieu-tien-viet-nam
https://techcombank.com/thong-tin/blog/1-man-bang-bao-nhieu-tien-viet
https://techcombank.com/thong-tin/blog/doi-tien-do-o-dau</v>
      </c>
      <c r="D88" s="5" t="str">
        <f t="shared" si="1"/>
        <v>Vượt giới hạn 3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20" t="str">
        <f>IFERROR(__xludf.DUMMYFUNCTION("""COMPUTED_VALUE"""),"https://techcombank.com/thong-tin/blog/co-nen-dung-the-tin-dung-khong")</f>
        <v>https://techcombank.com/thong-tin/blog/co-nen-dung-the-tin-dung-khong</v>
      </c>
      <c r="B89" s="25">
        <f>IFERROR(__xludf.DUMMYFUNCTION("""COMPUTED_VALUE"""),6.0)</f>
        <v>6</v>
      </c>
      <c r="C89" s="5" t="str">
        <f>IFERROR(__xludf.DUMMYFUNCTION("IF(A89="""","""",TEXTJOIN(CHAR(10),TRUE,FILTER('Chi tiết từng link'!$B$2:$B$2505,'Chi tiết từng link'!$D$2:$D$2505=A89)))"),"https://techcombank.com/thong-tin/blog/bao-nhieu-tuoi-duoc-mo-tai-khoan-ngan-hang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89" s="5" t="str">
        <f t="shared" si="1"/>
        <v>Vượt giới hạn 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20" t="str">
        <f>IFERROR(__xludf.DUMMYFUNCTION("""COMPUTED_VALUE"""),"https://techcombank.com/thong-tin/blog/co-nen-gui-tiet-kiem-online")</f>
        <v>https://techcombank.com/thong-tin/blog/co-nen-gui-tiet-kiem-online</v>
      </c>
      <c r="B90" s="25">
        <f>IFERROR(__xludf.DUMMYFUNCTION("""COMPUTED_VALUE"""),6.0)</f>
        <v>6</v>
      </c>
      <c r="C90" s="5" t="str">
        <f>IFERROR(__xludf.DUMMYFUNCTION("IF(A90="""","""",TEXTJOIN(CHAR(10),TRUE,FILTER('Chi tiết từng link'!$B$2:$B$2505,'Chi tiết từng link'!$D$2:$D$2505=A90)))"),"https://techcombank.com/thong-tin/blog/chung-chi-tien-gui-la-gi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0" s="5" t="str">
        <f t="shared" si="1"/>
        <v>Vượt giới hạn 3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20" t="str">
        <f>IFERROR(__xludf.DUMMYFUNCTION("""COMPUTED_VALUE"""),"https://techcombank.com/thong-tin/blog/dau-tu-trai-phieu-doanh-nghiep-dung-ham-lai-suat-cao")</f>
        <v>https://techcombank.com/thong-tin/blog/dau-tu-trai-phieu-doanh-nghiep-dung-ham-lai-suat-cao</v>
      </c>
      <c r="B91" s="25">
        <f>IFERROR(__xludf.DUMMYFUNCTION("""COMPUTED_VALUE"""),6.0)</f>
        <v>6</v>
      </c>
      <c r="C91" s="5" t="str">
        <f>IFERROR(__xludf.DUMMYFUNCTION("IF(A91="""","""",TEXTJOIN(CHAR(10),TRUE,FILTER('Chi tiết từng link'!$B$2:$B$2505,'Chi tiết từng link'!$D$2:$D$2505=A91)))"),"https://techcombank.com/thong-tin/blog/chung-chi-tien-gui-la-gi
https://techcombank.com/thong-tin/blog/lai-suat-chung-chi-tien-gui-cac-ngan-hang
https://techcombank.com/thong-tin/blog/lai-suat-tiet-kiem
https://techcombank.com/thong-tin/blog/cach-tinh-lai"&amp;"-suat-tien-gui-tiet-kiem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https://techcombank.com/thong-tin/blog/lai-suat-chung-chi-tien-gui-cac-ngan-hang
https://techcombank.com/thong-tin/blog/lai-suat-tiet-kiem
https://techcombank.com/thong-tin/blog/cach-tinh-lai-suat-tien-gui-tiet-kiem
https://techcombank.com/cong-cu-tien-ich/cong-cu-tinh-toan/bang-tinh-lai-suat-tiet-kiem
https://techcombank.com/thong-tin/blog/phuong-phap-dau-tu-chung-chi-quy</v>
      </c>
      <c r="D91" s="5" t="str">
        <f t="shared" si="1"/>
        <v>Vượt giới hạn 3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20" t="str">
        <f>IFERROR(__xludf.DUMMYFUNCTION("""COMPUTED_VALUE"""),"https://techcombank.com/thong-tin/blog/dieu-kien-vay-the-chap")</f>
        <v>https://techcombank.com/thong-tin/blog/dieu-kien-vay-the-chap</v>
      </c>
      <c r="B92" s="25">
        <f>IFERROR(__xludf.DUMMYFUNCTION("""COMPUTED_VALUE"""),6.0)</f>
        <v>6</v>
      </c>
      <c r="C92" s="5" t="str">
        <f>IFERROR(__xludf.DUMMYFUNCTION("IF(A92="""","""",TEXTJOIN(CHAR(10),TRUE,FILTER('Chi tiết từng link'!$B$2:$B$2505,'Chi tiết từng link'!$D$2:$D$2505=A92)))"),"https://techcombank.com/thong-tin/blog/bao-nhieu-tuoi-duoc-mo-tai-khoan-ngan-hang
https://techcombank.com/thong-tin/blog/cic-la-gi
https://techcombank.com/thong-tin/blog/xep-hang-tin-dung
https://techcombank.com/thong-tin/blog/vay-ngan-hang-1-ty-moi-thang"&amp;"-tra-bao-nhieu
https://techcombank.com/thong-tin/blog/lai-suat-vay-the-chap-so-do
https://techcombank.com/thong-tin/blog/ho-so-thu-tuc-xoa-the-chap")</f>
        <v>https://techcombank.com/thong-tin/blog/bao-nhieu-tuoi-duoc-mo-tai-khoan-ngan-hang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92" s="5" t="str">
        <f t="shared" si="1"/>
        <v>Vượt giới hạn 3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20" t="str">
        <f>IFERROR(__xludf.DUMMYFUNCTION("""COMPUTED_VALUE"""),"https://techcombank.com/thong-tin/blog/dieu-kien-vay-von-ngan-hang")</f>
        <v>https://techcombank.com/thong-tin/blog/dieu-kien-vay-von-ngan-hang</v>
      </c>
      <c r="B93" s="25">
        <f>IFERROR(__xludf.DUMMYFUNCTION("""COMPUTED_VALUE"""),6.0)</f>
        <v>6</v>
      </c>
      <c r="C93" s="5" t="str">
        <f>IFERROR(__xludf.DUMMYFUNCTION("IF(A93="""","""",TEXTJOIN(CHAR(10),TRUE,FILTER('Chi tiết từng link'!$B$2:$B$2505,'Chi tiết từng link'!$D$2:$D$2505=A93)))"),"https://techcombank.com/thong-tin/blog/ngan-hang-uy-tin
https://techcombank.com/thong-tin/blog/xep-hang-tin-dung
https://techcombank.com/thong-tin/blog/ho-kinh-doanh-dong-thue-nhu-nao
https://techcombank.com/thong-tin/blog/mo-tai-khoan-ho-kinh-doanh
https"&amp;"://techcombank.com/thong-tin/blog/cach-tinh-thue-ho-kinh-doanh-nho-le
https://techcombank.com/thong-tin/blog/lai-suat-vay-ngan-hang")</f>
        <v>https://techcombank.com/thong-tin/blog/ngan-hang-uy-tin
https://techcombank.com/thong-tin/blog/xep-hang-tin-dung
https://techcombank.com/thong-tin/blog/ho-kinh-doanh-dong-thue-nhu-nao
https://techcombank.com/thong-tin/blog/mo-tai-khoan-ho-kinh-doanh
https://techcombank.com/thong-tin/blog/cach-tinh-thue-ho-kinh-doanh-nho-le
https://techcombank.com/thong-tin/blog/lai-suat-vay-ngan-hang</v>
      </c>
      <c r="D93" s="5" t="str">
        <f t="shared" si="1"/>
        <v>Vượt giới hạn 3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20" t="str">
        <f>IFERROR(__xludf.DUMMYFUNCTION("""COMPUTED_VALUE"""),"https://techcombank.com/thong-tin/blog/du-no-tin-dung-la-gi")</f>
        <v>https://techcombank.com/thong-tin/blog/du-no-tin-dung-la-gi</v>
      </c>
      <c r="B94" s="25">
        <f>IFERROR(__xludf.DUMMYFUNCTION("""COMPUTED_VALUE"""),6.0)</f>
        <v>6</v>
      </c>
      <c r="C94" s="5" t="str">
        <f>IFERROR(__xludf.DUMMYFUNCTION("IF(A94="""","""",TEXTJOIN(CHAR(10),TRUE,FILTER('Chi tiết từng link'!$B$2:$B$2505,'Chi tiết từng link'!$D$2:$D$2505=A94)))"),"https://techcombank.com/thong-tin/blog/xep-hang-tin-dung
https://techcombank.com/thong-tin/blog/cach-thanh-toan-the-tin-dung
https://techcombank.com/thong-tin/blog/cach-tinh-lai-vay-ngan-hang
https://techcombank.com/thong-tin/blog/cach-tiet-kiem-tien
http"&amp;"s://techcombank.com/cong-cu-tien-ich/cong-cu-tinh-toan/bang-tinh-lai-suat-vay
https://techcombank.com/thong-tin/blog/no-xau-la-gi")</f>
        <v>https://techcombank.com/thong-tin/blog/xep-hang-tin-dung
https://techcombank.com/thong-tin/blog/cach-thanh-toan-the-tin-dung
https://techcombank.com/thong-tin/blog/cach-tinh-lai-vay-ngan-hang
https://techcombank.com/thong-tin/blog/cach-tiet-kiem-tien
https://techcombank.com/cong-cu-tien-ich/cong-cu-tinh-toan/bang-tinh-lai-suat-vay
https://techcombank.com/thong-tin/blog/no-xau-la-gi</v>
      </c>
      <c r="D94" s="5" t="str">
        <f t="shared" si="1"/>
        <v>Vượt giới hạn 3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20" t="str">
        <f>IFERROR(__xludf.DUMMYFUNCTION("""COMPUTED_VALUE"""),"https://techcombank.com/thong-tin/blog/gui-tien-ngan-hang-co-an-toan-khong")</f>
        <v>https://techcombank.com/thong-tin/blog/gui-tien-ngan-hang-co-an-toan-khong</v>
      </c>
      <c r="B95" s="25">
        <f>IFERROR(__xludf.DUMMYFUNCTION("""COMPUTED_VALUE"""),6.0)</f>
        <v>6</v>
      </c>
      <c r="C95" s="5" t="str">
        <f>IFERROR(__xludf.DUMMYFUNCTION("IF(A95="""","""",TEXTJOIN(CHAR(10),TRUE,FILTER('Chi tiết từng link'!$B$2:$B$2505,'Chi tiết từng link'!$D$2:$D$2505=A95)))"),"https://techcombank.com/thong-tin/blog/ngan-hang-uy-tin
https://techcombank.com/thong-tin/blog/chung-chi-tien-gui-la-gi
https://techcombank.com/thong-tin/blog/lai-suat-tiet-kiem
https://techcombank.com/thong-tin/blog/cach-tinh-lai-suat-tien-gui-tiet-kiem
"&amp;"https://techcombank.com/thong-tin/blog/so-tiet-kiem-ngan-hang
https://techcombank.com/cong-cu-tien-ich/cong-cu-tinh-toan/bang-tinh-lai-suat-tiet-kiem")</f>
        <v>https://techcombank.com/thong-tin/blog/ngan-hang-uy-tin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5" s="5" t="str">
        <f t="shared" si="1"/>
        <v>Vượt giới hạn 3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20" t="str">
        <f>IFERROR(__xludf.DUMMYFUNCTION("""COMPUTED_VALUE"""),"https://techcombank.com/thong-tin/blog/gui-tiet-kiem-hang-thang")</f>
        <v>https://techcombank.com/thong-tin/blog/gui-tiet-kiem-hang-thang</v>
      </c>
      <c r="B96" s="25">
        <f>IFERROR(__xludf.DUMMYFUNCTION("""COMPUTED_VALUE"""),6.0)</f>
        <v>6</v>
      </c>
      <c r="C96" s="5" t="str">
        <f>IFERROR(__xludf.DUMMYFUNCTION("IF(A96="""","""",TEXTJOIN(CHAR(10),TRUE,FILTER('Chi tiết từng link'!$B$2:$B$2505,'Chi tiết từng link'!$D$2:$D$2505=A96)))"),"https://techcombank.com/thong-tin/blog/cach-mo-tai-khoan
https://techcombank.com/thong-tin/blog/chung-chi-tien-gui-la-gi
https://techcombank.com/thong-tin/blog/lai-suat-tiet-kiem
https://techcombank.com/thong-tin/blog/cach-tinh-lai-suat-tien-gui-tiet-kiem"&amp;"
https://techcombank.com/thong-tin/blog/so-tiet-kiem-ngan-hang
https://techcombank.com/cong-cu-tien-ich/cong-cu-tinh-toan/bang-tinh-lai-suat-tiet-kiem")</f>
        <v>https://techcombank.com/thong-tin/blog/cach-mo-tai-khoan
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96" s="5" t="str">
        <f t="shared" si="1"/>
        <v>Vượt giới hạn 3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20" t="str">
        <f>IFERROR(__xludf.DUMMYFUNCTION("""COMPUTED_VALUE"""),"https://techcombank.com/thong-tin/blog/gui-tiet-kiem-lay-lai-hang-thang")</f>
        <v>https://techcombank.com/thong-tin/blog/gui-tiet-kiem-lay-lai-hang-thang</v>
      </c>
      <c r="B97" s="25">
        <f>IFERROR(__xludf.DUMMYFUNCTION("""COMPUTED_VALUE"""),6.0)</f>
        <v>6</v>
      </c>
      <c r="C97" s="5" t="str">
        <f>IFERROR(__xludf.DUMMYFUNCTION("IF(A97="""","""",TEXTJOIN(CHAR(10),TRUE,FILTER('Chi tiết từng link'!$B$2:$B$2505,'Chi tiết từng link'!$D$2:$D$2505=A97)))"),"https://techcombank.com/thong-tin/blog/chung-chi-tien-gui-la-gi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7" s="5" t="str">
        <f t="shared" si="1"/>
        <v>Vượt giới hạn 3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20" t="str">
        <f>IFERROR(__xludf.DUMMYFUNCTION("""COMPUTED_VALUE"""),"https://techcombank.com/thong-tin/blog/gui-tiet-kiem-ngan-hang-van-la-lua-chon-an-toan-trong-thoi-ky-kinh-te-con-nhieu-bien-dong")</f>
        <v>https://techcombank.com/thong-tin/blog/gui-tiet-kiem-ngan-hang-van-la-lua-chon-an-toan-trong-thoi-ky-kinh-te-con-nhieu-bien-dong</v>
      </c>
      <c r="B98" s="25">
        <f>IFERROR(__xludf.DUMMYFUNCTION("""COMPUTED_VALUE"""),6.0)</f>
        <v>6</v>
      </c>
      <c r="C98" s="5" t="str">
        <f>IFERROR(__xludf.DUMMYFUNCTION("IF(A98="""","""",TEXTJOIN(CHAR(10),TRUE,FILTER('Chi tiết từng link'!$B$2:$B$2505,'Chi tiết từng link'!$D$2:$D$2505=A98)))"),"https://techcombank.com/thong-tin/blog/chung-chi-tien-gui-la-gi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
https://techcombank.com/thong-tin/blog/phuong-phap-dau-tu-chung-chi-quy")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
https://techcombank.com/thong-tin/blog/phuong-phap-dau-tu-chung-chi-quy</v>
      </c>
      <c r="D98" s="5" t="str">
        <f t="shared" si="1"/>
        <v>Vượt giới hạn 3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20" t="str">
        <f>IFERROR(__xludf.DUMMYFUNCTION("""COMPUTED_VALUE"""),"https://techcombank.com/thong-tin/blog/gui-tiet-kiem-online-bi-mat-tien")</f>
        <v>https://techcombank.com/thong-tin/blog/gui-tiet-kiem-online-bi-mat-tien</v>
      </c>
      <c r="B99" s="25">
        <f>IFERROR(__xludf.DUMMYFUNCTION("""COMPUTED_VALUE"""),6.0)</f>
        <v>6</v>
      </c>
      <c r="C99" s="5" t="str">
        <f>IFERROR(__xludf.DUMMYFUNCTION("IF(A99="""","""",TEXTJOIN(CHAR(10),TRUE,FILTER('Chi tiết từng link'!$B$2:$B$2505,'Chi tiết từng link'!$D$2:$D$2505=A99)))"),"https://techcombank.com/thong-tin/blog/chung-chi-tien-gui-la-gi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99" s="5" t="str">
        <f t="shared" si="1"/>
        <v>Vượt giới hạn 3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20" t="str">
        <f>IFERROR(__xludf.DUMMYFUNCTION("""COMPUTED_VALUE"""),"https://techcombank.com/thong-tin/blog/gui-tiet-kiem-online-quay-vong-ca-goc-va-lai")</f>
        <v>https://techcombank.com/thong-tin/blog/gui-tiet-kiem-online-quay-vong-ca-goc-va-lai</v>
      </c>
      <c r="B100" s="25">
        <f>IFERROR(__xludf.DUMMYFUNCTION("""COMPUTED_VALUE"""),6.0)</f>
        <v>6</v>
      </c>
      <c r="C100" s="5" t="str">
        <f>IFERROR(__xludf.DUMMYFUNCTION("IF(A100="""","""",TEXTJOIN(CHAR(10),TRUE,FILTER('Chi tiết từng link'!$B$2:$B$2505,'Chi tiết từng link'!$D$2:$D$2505=A100)))"),"https://techcombank.com/thong-tin/blog/chung-chi-tien-gui-la-gi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0" s="5" t="str">
        <f t="shared" si="1"/>
        <v>Vượt giới hạn 3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20" t="str">
        <f>IFERROR(__xludf.DUMMYFUNCTION("""COMPUTED_VALUE"""),"https://techcombank.com/thong-tin/blog/gui-tiet-kiem-vang")</f>
        <v>https://techcombank.com/thong-tin/blog/gui-tiet-kiem-vang</v>
      </c>
      <c r="B101" s="25">
        <f>IFERROR(__xludf.DUMMYFUNCTION("""COMPUTED_VALUE"""),6.0)</f>
        <v>6</v>
      </c>
      <c r="C101" s="5" t="str">
        <f>IFERROR(__xludf.DUMMYFUNCTION("IF(A101="""","""",TEXTJOIN(CHAR(10),TRUE,FILTER('Chi tiết từng link'!$B$2:$B$2505,'Chi tiết từng link'!$D$2:$D$2505=A101)))"),"https://techcombank.com/thong-tin/blog/chung-chi-tien-gui-la-gi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1" s="5" t="str">
        <f t="shared" si="1"/>
        <v>Vượt giới hạn 3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20" t="str">
        <f>IFERROR(__xludf.DUMMYFUNCTION("""COMPUTED_VALUE"""),"https://techcombank.com/thong-tin/blog/han-muc-the-tin-dung")</f>
        <v>https://techcombank.com/thong-tin/blog/han-muc-the-tin-dung</v>
      </c>
      <c r="B102" s="25">
        <f>IFERROR(__xludf.DUMMYFUNCTION("""COMPUTED_VALUE"""),6.0)</f>
        <v>6</v>
      </c>
      <c r="C102" s="5" t="str">
        <f>IFERROR(__xludf.DUMMYFUNCTION("IF(A102="""","""",TEXTJOIN(CHAR(10),TRUE,FILTER('Chi tiết từng link'!$B$2:$B$2505,'Chi tiết từng link'!$D$2:$D$2505=A102)))"),"https://techcombank.com/thong-tin/blog/rut-tien-mat-tu-the-tin-dung
https://techcombank.com/thong-tin/blog/lam-the-tin-dung
https://techcombank.com/khach-hang-ca-nhan/chi-tieu/the/the-tin-dung/techcombank-everyday
https://techcombank.com/thong-tin/blog/th"&amp;"e-tin-dung-hoan-tien
https://techcombank.com/thong-tin/blog/cach-huy-the-tin-dung
https://techcombank.com/thong-tin/blog/cach-thanh-toan-the-tin-dung")</f>
        <v>https://techcombank.com/thong-tin/blog/rut-tien-mat-tu-the-tin-dung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02" s="5" t="str">
        <f t="shared" si="1"/>
        <v>Vượt giới hạn 3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20" t="str">
        <f>IFERROR(__xludf.DUMMYFUNCTION("""COMPUTED_VALUE"""),"https://techcombank.com/thong-tin/blog/han-muc-vay-the-chap-so-do")</f>
        <v>https://techcombank.com/thong-tin/blog/han-muc-vay-the-chap-so-do</v>
      </c>
      <c r="B103" s="25">
        <f>IFERROR(__xludf.DUMMYFUNCTION("""COMPUTED_VALUE"""),6.0)</f>
        <v>6</v>
      </c>
      <c r="C103" s="5" t="str">
        <f>IFERROR(__xludf.DUMMYFUNCTION("IF(A103="""","""",TEXTJOIN(CHAR(10),TRUE,FILTER('Chi tiết từng link'!$B$2:$B$2505,'Chi tiết từng link'!$D$2:$D$2505=A103)))"),"https://techcombank.com/thong-tin/blog/nop-thue-dat-qua-ngan-hang
https://techcombank.com/thong-tin/blog/cic-la-gi
https://techcombank.com/thong-tin/blog/xep-hang-tin-dung
https://techcombank.com/thong-tin/blog/vay-ngan-hang-1-ty-moi-thang-tra-bao-nhieu
h"&amp;"ttps://techcombank.com/thong-tin/blog/lai-suat-vay-the-chap-so-do
https://techcombank.com/thong-tin/blog/ho-so-thu-tuc-xoa-the-chap")</f>
        <v>https://techcombank.com/thong-tin/blog/nop-thue-dat-qua-ngan-hang
https://techcombank.com/thong-tin/blog/cic-la-gi
https://techcombank.com/thong-tin/blog/xep-hang-tin-dung
https://techcombank.com/thong-tin/blog/vay-ngan-hang-1-ty-moi-thang-tra-bao-nhieu
https://techcombank.com/thong-tin/blog/lai-suat-vay-the-chap-so-do
https://techcombank.com/thong-tin/blog/ho-so-thu-tuc-xoa-the-chap</v>
      </c>
      <c r="D103" s="5" t="str">
        <f t="shared" si="1"/>
        <v>Vượt giới hạn 3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20" t="str">
        <f>IFERROR(__xludf.DUMMYFUNCTION("""COMPUTED_VALUE"""),"https://techcombank.com/thong-tin/blog/hoan-thue-doanh-nghiep")</f>
        <v>https://techcombank.com/thong-tin/blog/hoan-thue-doanh-nghiep</v>
      </c>
      <c r="B104" s="25">
        <f>IFERROR(__xludf.DUMMYFUNCTION("""COMPUTED_VALUE"""),6.0)</f>
        <v>6</v>
      </c>
      <c r="C104" s="5" t="str">
        <f>IFERROR(__xludf.DUMMYFUNCTION("IF(A104="""","""",TEXTJOIN(CHAR(10),TRUE,FILTER('Chi tiết từng link'!$B$2:$B$2505,'Chi tiết từng link'!$D$2:$D$2505=A104)))"),"https://techcombank.com/thong-tin/blog/cach-nop-thue-dien-tu
https://techcombank.com/thong-tin/blog/thue-thu-nhap-doanh-nghiep
https://techcombank.com/thong-tin/blog/thue-vat-la-gi
https://techcombank.com/thong-tin/blog/tra-cuu-no-thue-doanh-nghiep
https:"&amp;"//techcombank.com/thong-tin/blog/thue-doanh-nghiep
https://techcombank.com/thong-tin/blog/ho-kinh-doanh-dong-thue-nhu-nao")</f>
        <v>https://techcombank.com/thong-tin/blog/cach-nop-thue-dien-tu
https://techcombank.com/thong-tin/blog/thue-thu-nhap-doanh-nghiep
https://techcombank.com/thong-tin/blog/thue-vat-la-gi
https://techcombank.com/thong-tin/blog/tra-cuu-no-thue-doanh-nghiep
https://techcombank.com/thong-tin/blog/thue-doanh-nghiep
https://techcombank.com/thong-tin/blog/ho-kinh-doanh-dong-thue-nhu-nao</v>
      </c>
      <c r="D104" s="5" t="str">
        <f t="shared" si="1"/>
        <v>Vượt giới hạn 3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20" t="str">
        <f>IFERROR(__xludf.DUMMYFUNCTION("""COMPUTED_VALUE"""),"https://techcombank.com/thong-tin/blog/hoan-thue-thu-nhap-ca-nhan")</f>
        <v>https://techcombank.com/thong-tin/blog/hoan-thue-thu-nhap-ca-nhan</v>
      </c>
      <c r="B105" s="25">
        <f>IFERROR(__xludf.DUMMYFUNCTION("""COMPUTED_VALUE"""),6.0)</f>
        <v>6</v>
      </c>
      <c r="C105" s="5" t="str">
        <f>IFERROR(__xludf.DUMMYFUNCTION("IF(A105="""","""",TEXTJOIN(CHAR(10),TRUE,FILTER('Chi tiết từng link'!$B$2:$B$2505,'Chi tiết từng link'!$D$2:$D$2505=A105)))"),"https://techcombank.com/thong-tin/blog/nop-thue-dat-qua-ngan-hang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05" s="5" t="str">
        <f t="shared" si="1"/>
        <v>Vượt giới hạn 3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20" t="str">
        <f>IFERROR(__xludf.DUMMYFUNCTION("""COMPUTED_VALUE"""),"https://techcombank.com/thong-tin/blog/ke-khai-thue-ho-kinh-doanh-ca-the-online")</f>
        <v>https://techcombank.com/thong-tin/blog/ke-khai-thue-ho-kinh-doanh-ca-the-online</v>
      </c>
      <c r="B106" s="25">
        <f>IFERROR(__xludf.DUMMYFUNCTION("""COMPUTED_VALUE"""),6.0)</f>
        <v>6</v>
      </c>
      <c r="C106" s="5" t="str">
        <f>IFERROR(__xludf.DUMMYFUNCTION("IF(A106="""","""",TEXTJOIN(CHAR(10),TRUE,FILTER('Chi tiết từng link'!$B$2:$B$2505,'Chi tiết từng link'!$D$2:$D$2505=A106)))"),"https://techcombank.com/thong-tin/blog/nop-thue-dat-qua-ngan-hang
https://techcombank.com/thong-tin/blog/cach-nop-thue-dien-tu
https://techcombank.com/thong-tin/blog/kiem-tra-thue-thu-nhap-ca-nhan
https://techcombank.com/thong-tin/blog/ho-kinh-doanh-dong-"&amp;"thue-nhu-nao
https://techcombank.com/thong-tin/blog/mo-tai-khoan-ho-kinh-doanh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https://techcombank.com/thong-tin/blog/kiem-tra-thue-thu-nhap-ca-nhan
https://techcombank.com/thong-tin/blog/ho-kinh-doanh-dong-thue-nhu-nao
https://techcombank.com/thong-tin/blog/mo-tai-khoan-ho-kinh-doanh
https://techcombank.com/thong-tin/blog/cach-tinh-thue-ho-kinh-doanh-nho-le</v>
      </c>
      <c r="D106" s="5" t="str">
        <f t="shared" si="1"/>
        <v>Vượt giới hạn 3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20" t="str">
        <f>IFERROR(__xludf.DUMMYFUNCTION("""COMPUTED_VALUE"""),"https://techcombank.com/thong-tin/blog/kinh-nghiem-gui-tiet-kiem-online")</f>
        <v>https://techcombank.com/thong-tin/blog/kinh-nghiem-gui-tiet-kiem-online</v>
      </c>
      <c r="B107" s="25">
        <f>IFERROR(__xludf.DUMMYFUNCTION("""COMPUTED_VALUE"""),6.0)</f>
        <v>6</v>
      </c>
      <c r="C107" s="5" t="str">
        <f>IFERROR(__xludf.DUMMYFUNCTION("IF(A107="""","""",TEXTJOIN(CHAR(10),TRUE,FILTER('Chi tiết từng link'!$B$2:$B$2505,'Chi tiết từng link'!$D$2:$D$2505=A107)))"),"https://techcombank.com/thong-tin/blog/chung-chi-tien-gui-la-gi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07" s="5" t="str">
        <f t="shared" si="1"/>
        <v>Vượt giới hạn 3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20" t="str">
        <f>IFERROR(__xludf.DUMMYFUNCTION("""COMPUTED_VALUE"""),"https://techcombank.com/thong-tin/blog/lai-suat-vay-thau-chi")</f>
        <v>https://techcombank.com/thong-tin/blog/lai-suat-vay-thau-chi</v>
      </c>
      <c r="B108" s="25">
        <f>IFERROR(__xludf.DUMMYFUNCTION("""COMPUTED_VALUE"""),6.0)</f>
        <v>6</v>
      </c>
      <c r="C108" s="5" t="str">
        <f>IFERROR(__xludf.DUMMYFUNCTION("IF(A108="""","""",TEXTJOIN(CHAR(10),TRUE,FILTER('Chi tiết từng link'!$B$2:$B$2505,'Chi tiết từng link'!$D$2:$D$2505=A108)))"),"https://techcombank.com/thong-tin/blog/cach-tinh-lai-vay-ngan-hang
https://techcombank.com/thong-tin/blog/cach-tinh-lai-suat-tien-gui-tiet-kiem
https://techcombank.com/cong-cu-tien-ich/cong-cu-tinh-toan/bang-tinh-lai-suat-vay
https://techcombank.com/cong-"&amp;"cu-tien-ich/cong-cu-tinh-toan/bang-tinh-lai-suat-tiet-kiem
https://techcombank.com/thong-tin/blog/lai-suat-vay-ngan-hang
https://techcombank.com/thong-tin/blog/vay-thau-chi-la-gi")</f>
        <v>https://techcombank.com/thong-tin/blog/cach-tinh-lai-vay-ngan-hang
https://techcombank.com/thong-tin/blog/cach-tinh-lai-suat-tien-gui-tiet-kiem
https://techcombank.com/cong-cu-tien-ich/cong-cu-tinh-toan/bang-tinh-lai-suat-vay
https://techcombank.com/cong-cu-tien-ich/cong-cu-tinh-toan/bang-tinh-lai-suat-tiet-kiem
https://techcombank.com/thong-tin/blog/lai-suat-vay-ngan-hang
https://techcombank.com/thong-tin/blog/vay-thau-chi-la-gi</v>
      </c>
      <c r="D108" s="5" t="str">
        <f t="shared" si="1"/>
        <v>Vượt giới hạn 3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20" t="str">
        <f>IFERROR(__xludf.DUMMYFUNCTION("""COMPUTED_VALUE"""),"https://techcombank.com/thong-tin/blog/lai-suat-vay-the-chap")</f>
        <v>https://techcombank.com/thong-tin/blog/lai-suat-vay-the-chap</v>
      </c>
      <c r="B109" s="25">
        <f>IFERROR(__xludf.DUMMYFUNCTION("""COMPUTED_VALUE"""),6.0)</f>
        <v>6</v>
      </c>
      <c r="C109" s="5" t="str">
        <f>IFERROR(__xludf.DUMMYFUNCTION("IF(A109="""","""",TEXTJOIN(CHAR(10),TRUE,FILTER('Chi tiết từng link'!$B$2:$B$2505,'Chi tiết từng link'!$D$2:$D$2505=A109)))"),"https://techcombank.com/thong-tin/blog/vay-ngan-hang-1-ty-moi-thang-tra-bao-nhieu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https://techcombank.com/thong-tin/blog/lai-suat-vay-ngan-hang")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https://techcombank.com/thong-tin/blog/lai-suat-vay-ngan-hang</v>
      </c>
      <c r="D109" s="5" t="str">
        <f t="shared" si="1"/>
        <v>Vượt giới hạn 3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20" t="str">
        <f>IFERROR(__xludf.DUMMYFUNCTION("""COMPUTED_VALUE"""),"https://techcombank.com/thong-tin/blog/lam-the-tin-dung-co-mat-phi-khong")</f>
        <v>https://techcombank.com/thong-tin/blog/lam-the-tin-dung-co-mat-phi-khong</v>
      </c>
      <c r="B110" s="25">
        <f>IFERROR(__xludf.DUMMYFUNCTION("""COMPUTED_VALUE"""),6.0)</f>
        <v>6</v>
      </c>
      <c r="C110" s="5" t="str">
        <f>IFERROR(__xludf.DUMMYFUNCTION("IF(A110="""","""",TEXTJOIN(CHAR(10),TRUE,FILTER('Chi tiết từng link'!$B$2:$B$2505,'Chi tiết từng link'!$D$2:$D$2505=A110)))"),"https://techcombank.com/thong-tin/blog/bao-nhieu-tuoi-duoc-mo-tai-khoan-ngan-hang
https://techcombank.com/thong-tin/blog/lam-the-tin-dung
https://techcombank.com/khach-hang-ca-nhan/chi-tieu/the/the-tin-dung/techcombank-everyday
https://techcombank.com/tho"&amp;"ng-tin/blog/the-tin-dung-hoan-tien
https://techcombank.com/thong-tin/blog/cach-huy-the-tin-dung
https://techcombank.com/thong-tin/blog/cach-thanh-toan-the-tin-dung")</f>
        <v>https://techcombank.com/thong-tin/blog/bao-nhieu-tuoi-duoc-mo-tai-khoan-ngan-hang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0" s="5" t="str">
        <f t="shared" si="1"/>
        <v>Vượt giới hạn 3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20" t="str">
        <f>IFERROR(__xludf.DUMMYFUNCTION("""COMPUTED_VALUE"""),"https://techcombank.com/thong-tin/blog/loi-nhuan")</f>
        <v>https://techcombank.com/thong-tin/blog/loi-nhuan</v>
      </c>
      <c r="B111" s="25">
        <f>IFERROR(__xludf.DUMMYFUNCTION("""COMPUTED_VALUE"""),6.0)</f>
        <v>6</v>
      </c>
      <c r="C111" s="5" t="str">
        <f>IFERROR(__xludf.DUMMYFUNCTION("IF(A111="""","""",TEXTJOIN(CHAR(10),TRUE,FILTER('Chi tiết từng link'!$B$2:$B$2505,'Chi tiết từng link'!$D$2:$D$2505=A111)))"),"https://techcombank.com/thong-tin/blog/thue-thu-nhap-doanh-nghiep
https://techcombank.com/thong-tin/blog/cach-tinh-thue-thu-nhap-doanh-nghiep
https://techcombank.com/thong-tin/blog/ho-kinh-doanh-dong-thue-nhu-nao
https://techcombank.com/thong-tin/blog/cac"&amp;"h-tinh-lai-vay-ngan-hang
https://techcombank.com/cong-cu-tien-ich/cong-cu-tinh-toan/bang-tinh-lai-suat-vay
https://techcombank.com/thong-tin/blog/lai-suat-vay-ngan-hang")</f>
        <v>https://techcombank.com/thong-tin/blog/thue-thu-nhap-doanh-nghiep
https://techcombank.com/thong-tin/blog/cach-tinh-thue-thu-nhap-doanh-nghiep
https://techcombank.com/thong-tin/blog/ho-kinh-doanh-dong-thue-nhu-nao
https://techcombank.com/thong-tin/blog/cach-tinh-lai-vay-ngan-hang
https://techcombank.com/cong-cu-tien-ich/cong-cu-tinh-toan/bang-tinh-lai-suat-vay
https://techcombank.com/thong-tin/blog/lai-suat-vay-ngan-hang</v>
      </c>
      <c r="D111" s="5" t="str">
        <f t="shared" si="1"/>
        <v>Vượt giới hạn 3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20" t="str">
        <f>IFERROR(__xludf.DUMMYFUNCTION("""COMPUTED_VALUE"""),"https://techcombank.com/thong-tin/blog/ma-buu-chinh-the-tin-dung")</f>
        <v>https://techcombank.com/thong-tin/blog/ma-buu-chinh-the-tin-dung</v>
      </c>
      <c r="B112" s="25">
        <f>IFERROR(__xludf.DUMMYFUNCTION("""COMPUTED_VALUE"""),6.0)</f>
        <v>6</v>
      </c>
      <c r="C112" s="5" t="str">
        <f>IFERROR(__xludf.DUMMYFUNCTION("IF(A112="""","""",TEXTJOIN(CHAR(10),TRUE,FILTER('Chi tiết từng link'!$B$2:$B$2505,'Chi tiết từng link'!$D$2:$D$2505=A112)))"),"https://techcombank.com/thong-tin/blog/lam-the-tin-dung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12" s="5" t="str">
        <f t="shared" si="1"/>
        <v>Vượt giới hạn 3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20" t="str">
        <f>IFERROR(__xludf.DUMMYFUNCTION("""COMPUTED_VALUE"""),"https://techcombank.com/thong-tin/blog/mat-the-tin-dung-co-bi-mat-tien-khong")</f>
        <v>https://techcombank.com/thong-tin/blog/mat-the-tin-dung-co-bi-mat-tien-khong</v>
      </c>
      <c r="B113" s="25">
        <f>IFERROR(__xludf.DUMMYFUNCTION("""COMPUTED_VALUE"""),6.0)</f>
        <v>6</v>
      </c>
      <c r="C113" s="5" t="str">
        <f>IFERROR(__xludf.DUMMYFUNCTION("IF(A113="""","""",TEXTJOIN(CHAR(10),TRUE,FILTER('Chi tiết từng link'!$B$2:$B$2505,'Chi tiết từng link'!$D$2:$D$2505=A113)))"),"https://techcombank.com/thong-tin/blog/lam-the-tin-dung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https://techcombank.com/thong-tin/blog/rui-ro-khi-gui-tiet-kiem-online")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https://techcombank.com/thong-tin/blog/rui-ro-khi-gui-tiet-kiem-online</v>
      </c>
      <c r="D113" s="5" t="str">
        <f t="shared" si="1"/>
        <v>Vượt giới hạn 3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20" t="str">
        <f>IFERROR(__xludf.DUMMYFUNCTION("""COMPUTED_VALUE"""),"https://techcombank.com/thong-tin/blog/mat-the-tin-dung-co-lam-lai-duoc-khong")</f>
        <v>https://techcombank.com/thong-tin/blog/mat-the-tin-dung-co-lam-lai-duoc-khong</v>
      </c>
      <c r="B114" s="25">
        <f>IFERROR(__xludf.DUMMYFUNCTION("""COMPUTED_VALUE"""),6.0)</f>
        <v>6</v>
      </c>
      <c r="C114" s="5" t="str">
        <f>IFERROR(__xludf.DUMMYFUNCTION("IF(A114="""","""",TEXTJOIN(CHAR(10),TRUE,FILTER('Chi tiết từng link'!$B$2:$B$2505,'Chi tiết từng link'!$D$2:$D$2505=A114)))"),"https://techcombank.com/thong-tin/blog/ngan-hang-uy-tin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14" s="5" t="str">
        <f t="shared" si="1"/>
        <v>Vượt giới hạn 3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20" t="str">
        <f>IFERROR(__xludf.DUMMYFUNCTION("""COMPUTED_VALUE"""),"https://techcombank.com/thong-tin/blog/nen-gui-tiet-kiem-6-thang-hay-1-nam")</f>
        <v>https://techcombank.com/thong-tin/blog/nen-gui-tiet-kiem-6-thang-hay-1-nam</v>
      </c>
      <c r="B115" s="25">
        <f>IFERROR(__xludf.DUMMYFUNCTION("""COMPUTED_VALUE"""),6.0)</f>
        <v>6</v>
      </c>
      <c r="C115" s="5" t="str">
        <f>IFERROR(__xludf.DUMMYFUNCTION("IF(A115="""","""",TEXTJOIN(CHAR(10),TRUE,FILTER('Chi tiết từng link'!$B$2:$B$2505,'Chi tiết từng link'!$D$2:$D$2505=A115)))"),"https://techcombank.com/thong-tin/blog/chung-chi-tien-gui-la-gi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https://techcombank.com/thong-tin/blog/cach-tiet-kiem-tien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https://techcombank.com/thong-tin/blog/cach-tiet-kiem-tien
https://techcombank.com/cong-cu-tien-ich/cong-cu-tinh-toan/bang-tinh-lai-suat-tiet-kiem</v>
      </c>
      <c r="D115" s="5" t="str">
        <f t="shared" si="1"/>
        <v>Vượt giới hạn 3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20" t="str">
        <f>IFERROR(__xludf.DUMMYFUNCTION("""COMPUTED_VALUE"""),"https://techcombank.com/thong-tin/blog/nen-mua-xe-tra-gop-hay-tra-thang")</f>
        <v>https://techcombank.com/thong-tin/blog/nen-mua-xe-tra-gop-hay-tra-thang</v>
      </c>
      <c r="B116" s="25">
        <f>IFERROR(__xludf.DUMMYFUNCTION("""COMPUTED_VALUE"""),6.0)</f>
        <v>6</v>
      </c>
      <c r="C116" s="5" t="str">
        <f>IFERROR(__xludf.DUMMYFUNCTION("IF(A116="""","""",TEXTJOIN(CHAR(10),TRUE,FILTER('Chi tiết từng link'!$B$2:$B$2505,'Chi tiết từng link'!$D$2:$D$2505=A116)))"),"https://techcombank.com/thong-tin/blog/lai-suat-vay-mua-o-to
https://techcombank.com/thong-tin/blog/vay-ngan-hang-1-ty-moi-thang-tra-bao-nhieu
https://techcombank.com/thong-tin/blog/cach-tinh-lai-vay-ngan-hang
https://techcombank.com/thong-tin/blog/lai-su"&amp;"at-vay-the-chap-so-do
https://techcombank.com/thong-tin/blog/ho-so-thu-tuc-xoa-the-chap
https://techcombank.com/cong-cu-tien-ich/cong-cu-tinh-toan/bang-tinh-lai-suat-vay")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</v>
      </c>
      <c r="D116" s="5" t="str">
        <f t="shared" si="1"/>
        <v>Vượt giới hạn 3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20" t="str">
        <f>IFERROR(__xludf.DUMMYFUNCTION("""COMPUTED_VALUE"""),"https://techcombank.com/thong-tin/blog/no-nhom-3")</f>
        <v>https://techcombank.com/thong-tin/blog/no-nhom-3</v>
      </c>
      <c r="B117" s="25">
        <f>IFERROR(__xludf.DUMMYFUNCTION("""COMPUTED_VALUE"""),6.0)</f>
        <v>6</v>
      </c>
      <c r="C117" s="5" t="str">
        <f>IFERROR(__xludf.DUMMYFUNCTION("IF(A117="""","""",TEXTJOIN(CHAR(10),TRUE,FILTER('Chi tiết từng link'!$B$2:$B$2505,'Chi tiết từng link'!$D$2:$D$2505=A117)))"),"https://techcombank.com/thong-tin/blog/cic-la-gi
https://techcombank.com/thong-tin/blog/xep-hang-tin-dung
https://techcombank.com/thong-tin/blog/cach-tiet-kiem-tien
https://techcombank.com/thong-tin/blog/kiem-tra-no-xau
https://techcombank.com/thong-tin/b"&amp;"log/no-xau-la-gi
https://techcombank.com/thong-tin/blog/vay-tin-chap-khong-tra-duoc-co-sao-khong")</f>
        <v>https://techcombank.com/thong-tin/blog/cic-la-gi
https://techcombank.com/thong-tin/blog/xep-hang-tin-dung
https://techcombank.com/thong-tin/blog/cach-tiet-kiem-tien
https://techcombank.com/thong-tin/blog/kiem-tra-no-xau
https://techcombank.com/thong-tin/blog/no-xau-la-gi
https://techcombank.com/thong-tin/blog/vay-tin-chap-khong-tra-duoc-co-sao-khong</v>
      </c>
      <c r="D117" s="5" t="str">
        <f t="shared" si="1"/>
        <v>Vượt giới hạn 3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20" t="str">
        <f>IFERROR(__xludf.DUMMYFUNCTION("""COMPUTED_VALUE"""),"https://techcombank.com/thong-tin/blog/one-stop-shop")</f>
        <v>https://techcombank.com/thong-tin/blog/one-stop-shop</v>
      </c>
      <c r="B118" s="25">
        <f>IFERROR(__xludf.DUMMYFUNCTION("""COMPUTED_VALUE"""),6.0)</f>
        <v>6</v>
      </c>
      <c r="C118" s="5" t="str">
        <f>IFERROR(__xludf.DUMMYFUNCTION("IF(A118="""","""",TEXTJOIN(CHAR(10),TRUE,FILTER('Chi tiết từng link'!$B$2:$B$2505,'Chi tiết từng link'!$D$2:$D$2505=A118)))"),"https://techcombank.com/thong-tin/blog/thue-vat-la-gi
https://techcombank.com/thong-tin/blog/cach-tinh-tien-dien-sinh-hoat
https://techcombank.com/thong-tin/blog/ho-kinh-doanh-dong-thue-nhu-nao
https://techcombank.com/thong-tin/blog/mo-hinh-kinh-doanh-la-"&amp;"gi
https://techcombank.com/thong-tin/blog/mo-tai-khoan-ho-kinh-doanh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118" s="5" t="str">
        <f t="shared" si="1"/>
        <v>Vượt giới hạn 3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20" t="str">
        <f>IFERROR(__xludf.DUMMYFUNCTION("""COMPUTED_VALUE"""),"https://techcombank.com/thong-tin/blog/quy-trinh-gui-tien-tiet-kiem")</f>
        <v>https://techcombank.com/thong-tin/blog/quy-trinh-gui-tien-tiet-kiem</v>
      </c>
      <c r="B119" s="25">
        <f>IFERROR(__xludf.DUMMYFUNCTION("""COMPUTED_VALUE"""),6.0)</f>
        <v>6</v>
      </c>
      <c r="C119" s="5" t="str">
        <f>IFERROR(__xludf.DUMMYFUNCTION("IF(A119="""","""",TEXTJOIN(CHAR(10),TRUE,FILTER('Chi tiết từng link'!$B$2:$B$2505,'Chi tiết từng link'!$D$2:$D$2505=A119)))"),"https://techcombank.com/thong-tin/blog/chung-chi-tien-gui-la-gi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19" s="5" t="str">
        <f t="shared" si="1"/>
        <v>Vượt giới hạn 3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20" t="str">
        <f>IFERROR(__xludf.DUMMYFUNCTION("""COMPUTED_VALUE"""),"https://techcombank.com/thong-tin/blog/quy-trinh-tat-toan-khoan-vay-the-chap")</f>
        <v>https://techcombank.com/thong-tin/blog/quy-trinh-tat-toan-khoan-vay-the-chap</v>
      </c>
      <c r="B120" s="25">
        <f>IFERROR(__xludf.DUMMYFUNCTION("""COMPUTED_VALUE"""),6.0)</f>
        <v>6</v>
      </c>
      <c r="C120" s="5" t="str">
        <f>IFERROR(__xludf.DUMMYFUNCTION("IF(A120="""","""",TEXTJOIN(CHAR(10),TRUE,FILTER('Chi tiết từng link'!$B$2:$B$2505,'Chi tiết từng link'!$D$2:$D$2505=A120)))"),"https://techcombank.com/thong-tin/blog/vay-ngan-hang-1-ty-moi-thang-tra-bao-nhieu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https://techcombank.com/thong-tin/blog/rut-tien-tiet-kiem-truoc-thoi-han
https://techcombank.com/cong-cu-tien-ich/cong-cu-tinh-toan/bang-tinh-lai-suat-vay")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https://techcombank.com/thong-tin/blog/rut-tien-tiet-kiem-truoc-thoi-han
https://techcombank.com/cong-cu-tien-ich/cong-cu-tinh-toan/bang-tinh-lai-suat-vay</v>
      </c>
      <c r="D120" s="5" t="str">
        <f t="shared" si="1"/>
        <v>Vượt giới hạn 3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20" t="str">
        <f>IFERROR(__xludf.DUMMYFUNCTION("""COMPUTED_VALUE"""),"https://techcombank.com/thong-tin/blog/quyet-toan-thue-thu-nhap-ca-nhan")</f>
        <v>https://techcombank.com/thong-tin/blog/quyet-toan-thue-thu-nhap-ca-nhan</v>
      </c>
      <c r="B121" s="25">
        <f>IFERROR(__xludf.DUMMYFUNCTION("""COMPUTED_VALUE"""),6.0)</f>
        <v>6</v>
      </c>
      <c r="C121" s="5" t="str">
        <f>IFERROR(__xludf.DUMMYFUNCTION("IF(A121="""","""",TEXTJOIN(CHAR(10),TRUE,FILTER('Chi tiết từng link'!$B$2:$B$2505,'Chi tiết từng link'!$D$2:$D$2505=A121)))"),"https://techcombank.com/thong-tin/blog/nop-thue-dat-qua-ngan-hang
https://techcombank.com/thong-tin/blog/cach-nop-thue-dien-tu
https://techcombank.com/thong-tin/blog/cach-tinh-thue-thu-nhap-ca-nhan-2025
https://techcombank.com/thong-tin/blog/kiem-tra-thue"&amp;"-thu-nhap-ca-nhan
https://techcombank.com/thong-tin/blog/thue-thu-nhap-ca-nhan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https://techcombank.com/thong-tin/blog/kiem-tra-thue-thu-nhap-ca-nhan
https://techcombank.com/thong-tin/blog/thue-thu-nhap-ca-nhan
https://techcombank.com/thong-tin/blog/ho-kinh-doanh-dong-thue-nhu-nao</v>
      </c>
      <c r="D121" s="5" t="str">
        <f t="shared" si="1"/>
        <v>Vượt giới hạn 3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20" t="str">
        <f>IFERROR(__xludf.DUMMYFUNCTION("""COMPUTED_VALUE"""),"https://techcombank.com/thong-tin/blog/rut-tien-mat-tu-the-tin-dung")</f>
        <v>https://techcombank.com/thong-tin/blog/rut-tien-mat-tu-the-tin-dung</v>
      </c>
      <c r="B122" s="25">
        <f>IFERROR(__xludf.DUMMYFUNCTION("""COMPUTED_VALUE"""),6.0)</f>
        <v>6</v>
      </c>
      <c r="C122" s="5" t="str">
        <f>IFERROR(__xludf.DUMMYFUNCTION("IF(A122="""","""",TEXTJOIN(CHAR(10),TRUE,FILTER('Chi tiết từng link'!$B$2:$B$2505,'Chi tiết từng link'!$D$2:$D$2505=A122)))"),"https://techcombank.com/thong-tin/blog/rut-tien-bang-ma-qr-la-gi-cach-thuc-hien-nhu-the-nao
https://techcombank.com/thong-tin/blog/lam-the-tin-dung
https://techcombank.com/khach-hang-ca-nhan/chi-tieu/the/the-tin-dung/techcombank-everyday
https://techcomba"&amp;"nk.com/thong-tin/blog/the-tin-dung-hoan-tien
https://techcombank.com/thong-tin/blog/cach-huy-the-tin-dung
https://techcombank.com/thong-tin/blog/cach-thanh-toan-the-tin-dung")</f>
        <v>https://techcombank.com/thong-tin/blog/rut-tien-bang-ma-qr-la-gi-cach-thuc-hien-nhu-the-nao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2" s="5" t="str">
        <f t="shared" si="1"/>
        <v>Vượt giới hạn 3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20" t="str">
        <f>IFERROR(__xludf.DUMMYFUNCTION("""COMPUTED_VALUE"""),"https://techcombank.com/thong-tin/blog/so-sanh-gui-tiet-kiem-online-va-tai-quay")</f>
        <v>https://techcombank.com/thong-tin/blog/so-sanh-gui-tiet-kiem-online-va-tai-quay</v>
      </c>
      <c r="B123" s="25">
        <f>IFERROR(__xludf.DUMMYFUNCTION("""COMPUTED_VALUE"""),6.0)</f>
        <v>6</v>
      </c>
      <c r="C123" s="5" t="str">
        <f>IFERROR(__xludf.DUMMYFUNCTION("IF(A123="""","""",TEXTJOIN(CHAR(10),TRUE,FILTER('Chi tiết từng link'!$B$2:$B$2505,'Chi tiết từng link'!$D$2:$D$2505=A123)))"),"https://techcombank.com/thong-tin/blog/chung-chi-tien-gui-la-gi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3" s="5" t="str">
        <f t="shared" si="1"/>
        <v>Vượt giới hạn 3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20" t="str">
        <f>IFERROR(__xludf.DUMMYFUNCTION("""COMPUTED_VALUE"""),"https://techcombank.com/thong-tin/blog/tai-sao-gui-tiet-kiem-online-lai-suat-cao-hon")</f>
        <v>https://techcombank.com/thong-tin/blog/tai-sao-gui-tiet-kiem-online-lai-suat-cao-hon</v>
      </c>
      <c r="B124" s="25">
        <f>IFERROR(__xludf.DUMMYFUNCTION("""COMPUTED_VALUE"""),6.0)</f>
        <v>6</v>
      </c>
      <c r="C124" s="5" t="str">
        <f>IFERROR(__xludf.DUMMYFUNCTION("IF(A124="""","""",TEXTJOIN(CHAR(10),TRUE,FILTER('Chi tiết từng link'!$B$2:$B$2505,'Chi tiết từng link'!$D$2:$D$2505=A124)))"),"https://techcombank.com/thong-tin/blog/chung-chi-tien-gui-la-gi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https://techcombank.com/thong-tin/blog/rui-ro-khi-gui-tiet-kiem-online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https://techcombank.com/thong-tin/blog/rui-ro-khi-gui-tiet-kiem-online
https://techcombank.com/cong-cu-tien-ich/cong-cu-tinh-toan/bang-tinh-lai-suat-tiet-kiem</v>
      </c>
      <c r="D124" s="5" t="str">
        <f t="shared" si="1"/>
        <v>Vượt giới hạn 3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20" t="str">
        <f>IFERROR(__xludf.DUMMYFUNCTION("""COMPUTED_VALUE"""),"https://techcombank.com/thong-tin/blog/tat-toan")</f>
        <v>https://techcombank.com/thong-tin/blog/tat-toan</v>
      </c>
      <c r="B125" s="25">
        <f>IFERROR(__xludf.DUMMYFUNCTION("""COMPUTED_VALUE"""),6.0)</f>
        <v>6</v>
      </c>
      <c r="C125" s="5" t="str">
        <f>IFERROR(__xludf.DUMMYFUNCTION("IF(A125="""","""",TEXTJOIN(CHAR(10),TRUE,FILTER('Chi tiết từng link'!$B$2:$B$2505,'Chi tiết từng link'!$D$2:$D$2505=A125)))"),"https://techcombank.com/thong-tin/blog/cach-tinh-lai-vay-ngan-hang
https://techcombank.com/thong-tin/blog/ho-so-thu-tuc-xoa-the-chap
https://techcombank.com/thong-tin/blog/rut-tien-tiet-kiem-truoc-thoi-han
https://techcombank.com/thong-tin/blog/so-tiet-ki"&amp;"em-ngan-hang
https://techcombank.com/cong-cu-tien-ich/cong-cu-tinh-toan/bang-tinh-lai-suat-vay
https://techcombank.com/thong-tin/blog/vay-tin-chap-khong-tra-duoc-co-sao-khong")</f>
        <v>https://techcombank.com/thong-tin/blog/cach-tinh-lai-vay-ngan-hang
https://techcombank.com/thong-tin/blog/ho-so-thu-tuc-xoa-the-chap
https://techcombank.com/thong-tin/blog/rut-tien-tiet-kiem-truoc-thoi-han
https://techcombank.com/thong-tin/blog/so-tiet-kiem-ngan-hang
https://techcombank.com/cong-cu-tien-ich/cong-cu-tinh-toan/bang-tinh-lai-suat-vay
https://techcombank.com/thong-tin/blog/vay-tin-chap-khong-tra-duoc-co-sao-khong</v>
      </c>
      <c r="D125" s="5" t="str">
        <f t="shared" si="1"/>
        <v>Vượt giới hạn 3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20" t="str">
        <f>IFERROR(__xludf.DUMMYFUNCTION("""COMPUTED_VALUE"""),"https://techcombank.com/thong-tin/blog/the-ghi-no-va-the-tin-dung")</f>
        <v>https://techcombank.com/thong-tin/blog/the-ghi-no-va-the-tin-dung</v>
      </c>
      <c r="B126" s="25">
        <f>IFERROR(__xludf.DUMMYFUNCTION("""COMPUTED_VALUE"""),6.0)</f>
        <v>6</v>
      </c>
      <c r="C126" s="5" t="str">
        <f>IFERROR(__xludf.DUMMYFUNCTION("IF(A126="""","""",TEXTJOIN(CHAR(10),TRUE,FILTER('Chi tiết từng link'!$B$2:$B$2505,'Chi tiết từng link'!$D$2:$D$2505=A126)))"),"https://techcombank.com/thong-tin/blog/eco-card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6" s="5" t="str">
        <f t="shared" si="1"/>
        <v>Vượt giới hạn 3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20" t="str">
        <f>IFERROR(__xludf.DUMMYFUNCTION("""COMPUTED_VALUE"""),"https://techcombank.com/thong-tin/blog/the-tin-dung-mien-lai-55-ngay")</f>
        <v>https://techcombank.com/thong-tin/blog/the-tin-dung-mien-lai-55-ngay</v>
      </c>
      <c r="B127" s="25">
        <f>IFERROR(__xludf.DUMMYFUNCTION("""COMPUTED_VALUE"""),6.0)</f>
        <v>6</v>
      </c>
      <c r="C127" s="5" t="str">
        <f>IFERROR(__xludf.DUMMYFUNCTION("IF(A127="""","""",TEXTJOIN(CHAR(10),TRUE,FILTER('Chi tiết từng link'!$B$2:$B$2505,'Chi tiết từng link'!$D$2:$D$2505=A127)))"),"https://techcombank.com/thong-tin/blog/ngan-hang-uy-tin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27" s="5" t="str">
        <f t="shared" si="1"/>
        <v>Vượt giới hạn 3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20" t="str">
        <f>IFERROR(__xludf.DUMMYFUNCTION("""COMPUTED_VALUE"""),"https://techcombank.com/thong-tin/blog/the-tin-dung-noi-dia")</f>
        <v>https://techcombank.com/thong-tin/blog/the-tin-dung-noi-dia</v>
      </c>
      <c r="B128" s="25">
        <f>IFERROR(__xludf.DUMMYFUNCTION("""COMPUTED_VALUE"""),6.0)</f>
        <v>6</v>
      </c>
      <c r="C128" s="5" t="str">
        <f>IFERROR(__xludf.DUMMYFUNCTION("IF(A128="""","""",TEXTJOIN(CHAR(10),TRUE,FILTER('Chi tiết từng link'!$B$2:$B$2505,'Chi tiết từng link'!$D$2:$D$2505=A128)))"),"https://techcombank.com/thong-tin/blog/lam-the-tin-dung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8" s="5" t="str">
        <f t="shared" si="1"/>
        <v>Vượt giới hạn 3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20" t="str">
        <f>IFERROR(__xludf.DUMMYFUNCTION("""COMPUTED_VALUE"""),"https://techcombank.com/thong-tin/blog/the-tin-dung-quoc-te")</f>
        <v>https://techcombank.com/thong-tin/blog/the-tin-dung-quoc-te</v>
      </c>
      <c r="B129" s="25">
        <f>IFERROR(__xludf.DUMMYFUNCTION("""COMPUTED_VALUE"""),6.0)</f>
        <v>6</v>
      </c>
      <c r="C129" s="5" t="str">
        <f>IFERROR(__xludf.DUMMYFUNCTION("IF(A129="""","""",TEXTJOIN(CHAR(10),TRUE,FILTER('Chi tiết từng link'!$B$2:$B$2505,'Chi tiết từng link'!$D$2:$D$2505=A129)))"),"https://techcombank.com/thong-tin/blog/lam-the-tin-dung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https://techcombank.com/thong-tin/blog/cach-nhan-tien-tu-nuoc-ngoai-ve-viet-nam")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https://techcombank.com/thong-tin/blog/cach-nhan-tien-tu-nuoc-ngoai-ve-viet-nam</v>
      </c>
      <c r="D129" s="5" t="str">
        <f t="shared" si="1"/>
        <v>Vượt giới hạn 3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20" t="str">
        <f>IFERROR(__xludf.DUMMYFUNCTION("""COMPUTED_VALUE"""),"https://techcombank.com/thong-tin/blog/the-tin-dung-techcombank-visa-eco")</f>
        <v>https://techcombank.com/thong-tin/blog/the-tin-dung-techcombank-visa-eco</v>
      </c>
      <c r="B130" s="25">
        <f>IFERROR(__xludf.DUMMYFUNCTION("""COMPUTED_VALUE"""),6.0)</f>
        <v>6</v>
      </c>
      <c r="C130" s="5" t="str">
        <f>IFERROR(__xludf.DUMMYFUNCTION("IF(A130="""","""",TEXTJOIN(CHAR(10),TRUE,FILTER('Chi tiết từng link'!$B$2:$B$2505,'Chi tiết từng link'!$D$2:$D$2505=A130)))"),"https://techcombank.com/thong-tin/blog/eco-card
https://techcombank.com/thong-tin/blog/lam-the-tin-dung
https://techcombank.com/khach-hang-ca-nhan/chi-tieu/the/the-tin-dung/techcombank-everyday
https://techcombank.com/thong-tin/blog/the-tin-dung-hoan-tien"&amp;"
https://techcombank.com/thong-tin/blog/cach-huy-the-tin-dung
https://techcombank.com/thong-tin/blog/cach-thanh-toan-the-tin-dung")</f>
        <v>https://techcombank.com/thong-tin/blog/eco-card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0" s="5" t="str">
        <f t="shared" si="1"/>
        <v>Vượt giới hạn 3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20" t="str">
        <f>IFERROR(__xludf.DUMMYFUNCTION("""COMPUTED_VALUE"""),"https://techcombank.com/thong-tin/blog/the-tin-dung-vip")</f>
        <v>https://techcombank.com/thong-tin/blog/the-tin-dung-vip</v>
      </c>
      <c r="B131" s="25">
        <f>IFERROR(__xludf.DUMMYFUNCTION("""COMPUTED_VALUE"""),6.0)</f>
        <v>6</v>
      </c>
      <c r="C131" s="5" t="str">
        <f>IFERROR(__xludf.DUMMYFUNCTION("IF(A131="""","""",TEXTJOIN(CHAR(10),TRUE,FILTER('Chi tiết từng link'!$B$2:$B$2505,'Chi tiết từng link'!$D$2:$D$2505=A131)))"),"https://techcombank.com/thong-tin/blog/lam-the-tin-dung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1" s="5" t="str">
        <f t="shared" si="1"/>
        <v>Vượt giới hạn 3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20" t="str">
        <f>IFERROR(__xludf.DUMMYFUNCTION("""COMPUTED_VALUE"""),"https://techcombank.com/thong-tin/blog/the-visa-co-can-mat-khau-khong")</f>
        <v>https://techcombank.com/thong-tin/blog/the-visa-co-can-mat-khau-khong</v>
      </c>
      <c r="B132" s="25">
        <f>IFERROR(__xludf.DUMMYFUNCTION("""COMPUTED_VALUE"""),6.0)</f>
        <v>6</v>
      </c>
      <c r="C132" s="5" t="str">
        <f>IFERROR(__xludf.DUMMYFUNCTION("IF(A132="""","""",TEXTJOIN(CHAR(10),TRUE,FILTER('Chi tiết từng link'!$B$2:$B$2505,'Chi tiết từng link'!$D$2:$D$2505=A132)))"),"https://techcombank.com/thong-tin/blog/ten-dang-nhap-tai-khoan-ngan-hang-la-gi
https://techcombank.com/thong-tin/blog/lam-the-tin-dung
https://techcombank.com/khach-hang-ca-nhan/chi-tieu/the/the-tin-dung/techcombank-everyday
https://techcombank.com/thong-"&amp;"tin/blog/the-tin-dung-hoan-tien
https://techcombank.com/thong-tin/blog/cach-huy-the-tin-dung
https://techcombank.com/thong-tin/blog/cach-thanh-toan-the-tin-dung")</f>
        <v>https://techcombank.com/thong-tin/blog/ten-dang-nhap-tai-khoan-ngan-hang-la-gi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2" s="5" t="str">
        <f t="shared" si="1"/>
        <v>Vượt giới hạn 3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20" t="str">
        <f>IFERROR(__xludf.DUMMYFUNCTION("""COMPUTED_VALUE"""),"https://techcombank.com/thong-tin/blog/thue-thuong-mai-dien-tu")</f>
        <v>https://techcombank.com/thong-tin/blog/thue-thuong-mai-dien-tu</v>
      </c>
      <c r="B133" s="25">
        <f>IFERROR(__xludf.DUMMYFUNCTION("""COMPUTED_VALUE"""),6.0)</f>
        <v>6</v>
      </c>
      <c r="C133" s="5" t="str">
        <f>IFERROR(__xludf.DUMMYFUNCTION("IF(A133="""","""",TEXTJOIN(CHAR(10),TRUE,FILTER('Chi tiết từng link'!$B$2:$B$2505,'Chi tiết từng link'!$D$2:$D$2505=A133)))"),"https://techcombank.com/thong-tin/blog/nop-thue-dat-qua-ngan-hang
https://techcombank.com/thong-tin/blog/cach-nop-thue-dien-tu
https://techcombank.com/thong-tin/blog/thue-vat-la-gi
https://techcombank.com/thong-tin/blog/ho-kinh-doanh-dong-thue-nhu-nao
htt"&amp;"ps://techcombank.com/thong-tin/blog/mo-tai-khoan-ho-kinh-doanh
https://techcombank.com/thong-tin/blog/cach-tinh-thue-ho-kinh-doanh-nho-le")</f>
        <v>https://techcombank.com/thong-tin/blog/nop-thue-dat-qua-ngan-hang
https://techcombank.com/thong-tin/blog/cach-nop-thue-dien-tu
https://techcombank.com/thong-tin/blog/thue-vat-la-gi
https://techcombank.com/thong-tin/blog/ho-kinh-doanh-dong-thue-nhu-nao
https://techcombank.com/thong-tin/blog/mo-tai-khoan-ho-kinh-doanh
https://techcombank.com/thong-tin/blog/cach-tinh-thue-ho-kinh-doanh-nho-le</v>
      </c>
      <c r="D133" s="5" t="str">
        <f t="shared" si="1"/>
        <v>Vượt giới hạn 3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20" t="str">
        <f>IFERROR(__xludf.DUMMYFUNCTION("""COMPUTED_VALUE"""),"https://techcombank.com/thong-tin/blog/tien-gui-co-ky-han")</f>
        <v>https://techcombank.com/thong-tin/blog/tien-gui-co-ky-han</v>
      </c>
      <c r="B134" s="25">
        <f>IFERROR(__xludf.DUMMYFUNCTION("""COMPUTED_VALUE"""),6.0)</f>
        <v>6</v>
      </c>
      <c r="C134" s="5" t="str">
        <f>IFERROR(__xludf.DUMMYFUNCTION("IF(A134="""","""",TEXTJOIN(CHAR(10),TRUE,FILTER('Chi tiết từng link'!$B$2:$B$2505,'Chi tiết từng link'!$D$2:$D$2505=A134)))"),"https://techcombank.com/thong-tin/blog/rut-tien-bang-ma-qr-la-gi-cach-thuc-hien-nhu-the-nao
https://techcombank.com/thong-tin/blog/rut-tien-mat-tu-the-tin-dung
https://techcombank.com/thong-tin/blog/lai-suat-tiet-kiem
https://techcombank.com/thong-tin/blo"&amp;"g/cach-tinh-lai-suat-tien-gui-tiet-kiem
https://techcombank.com/thong-tin/blog/rut-tien-tiet-kiem-truoc-thoi-han
https://techcombank.com/cong-cu-tien-ich/cong-cu-tinh-toan/bang-tinh-lai-suat-tiet-kiem")</f>
        <v>https://techcombank.com/thong-tin/blog/rut-tien-bang-ma-qr-la-gi-cach-thuc-hien-nhu-the-nao
https://techcombank.com/thong-tin/blog/rut-tien-mat-tu-the-tin-dung
https://techcombank.com/thong-tin/blog/lai-suat-tiet-kiem
https://techcombank.com/thong-tin/blog/cach-tinh-lai-suat-tien-gui-tiet-kiem
https://techcombank.com/thong-tin/blog/rut-tien-tiet-kiem-truoc-thoi-han
https://techcombank.com/cong-cu-tien-ich/cong-cu-tinh-toan/bang-tinh-lai-suat-tiet-kiem</v>
      </c>
      <c r="D134" s="5" t="str">
        <f t="shared" si="1"/>
        <v>Vượt giới hạn 3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20" t="str">
        <f>IFERROR(__xludf.DUMMYFUNCTION("""COMPUTED_VALUE"""),"https://techcombank.com/thong-tin/blog/tra-cuu-no-thue-doanh-nghiep")</f>
        <v>https://techcombank.com/thong-tin/blog/tra-cuu-no-thue-doanh-nghiep</v>
      </c>
      <c r="B135" s="25">
        <f>IFERROR(__xludf.DUMMYFUNCTION("""COMPUTED_VALUE"""),6.0)</f>
        <v>6</v>
      </c>
      <c r="C135" s="5" t="str">
        <f>IFERROR(__xludf.DUMMYFUNCTION("IF(A135="""","""",TEXTJOIN(CHAR(10),TRUE,FILTER('Chi tiết từng link'!$B$2:$B$2505,'Chi tiết từng link'!$D$2:$D$2505=A135)))"),"https://techcombank.com/thong-tin/blog/nop-thue-dat-qua-ngan-hang
https://techcombank.com/thong-tin/blog/cach-nop-thue-dien-tu
https://techcombank.com/thong-tin/blog/thue-thu-nhap-doanh-nghiep
https://techcombank.com/thong-tin/blog/thue-doanh-nghiep
https"&amp;"://techcombank.com/thong-tin/blog/kiem-tra-thue-thu-nhap-ca-nhan
https://techcombank.com/thong-tin/blog/ho-kinh-doanh-dong-thue-nhu-nao")</f>
        <v>https://techcombank.com/thong-tin/blog/nop-thue-dat-qua-ngan-hang
https://techcombank.com/thong-tin/blog/cach-nop-thue-dien-tu
https://techcombank.com/thong-tin/blog/thue-thu-nhap-doanh-nghiep
https://techcombank.com/thong-tin/blog/thue-doanh-nghiep
https://techcombank.com/thong-tin/blog/kiem-tra-thue-thu-nhap-ca-nhan
https://techcombank.com/thong-tin/blog/ho-kinh-doanh-dong-thue-nhu-nao</v>
      </c>
      <c r="D135" s="5" t="str">
        <f t="shared" si="1"/>
        <v>Vượt giới hạn 3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20" t="str">
        <f>IFERROR(__xludf.DUMMYFUNCTION("""COMPUTED_VALUE"""),"https://techcombank.com/thong-tin/blog/uu-dai-mo-the-tin-dung")</f>
        <v>https://techcombank.com/thong-tin/blog/uu-dai-mo-the-tin-dung</v>
      </c>
      <c r="B136" s="25">
        <f>IFERROR(__xludf.DUMMYFUNCTION("""COMPUTED_VALUE"""),6.0)</f>
        <v>6</v>
      </c>
      <c r="C136" s="5" t="str">
        <f>IFERROR(__xludf.DUMMYFUNCTION("IF(A136="""","""",TEXTJOIN(CHAR(10),TRUE,FILTER('Chi tiết từng link'!$B$2:$B$2505,'Chi tiết từng link'!$D$2:$D$2505=A136)))"),"https://techcombank.com/thong-tin/blog/ngan-hang-uy-tin
https://techcombank.com/thong-tin/blog/lam-the-tin-dung
https://techcombank.com/khach-hang-ca-nhan/chi-tieu/the/the-tin-dung/techcombank-everyday
https://techcombank.com/thong-tin/blog/the-tin-dung-h"&amp;"oan-tien
https://techcombank.com/thong-tin/blog/cach-huy-the-tin-dung
https://techcombank.com/thong-tin/blog/cach-thanh-toan-the-tin-dung")</f>
        <v>https://techcombank.com/thong-tin/blog/ngan-hang-uy-tin
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36" s="5" t="str">
        <f t="shared" si="1"/>
        <v>Vượt giới hạn 3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20" t="str">
        <f>IFERROR(__xludf.DUMMYFUNCTION("""COMPUTED_VALUE"""),"https://techcombank.com/thong-tin/blog/uu-dai-mua-ve-may-bay-bang-the-tin-dung")</f>
        <v>https://techcombank.com/thong-tin/blog/uu-dai-mua-ve-may-bay-bang-the-tin-dung</v>
      </c>
      <c r="B137" s="25">
        <f>IFERROR(__xludf.DUMMYFUNCTION("""COMPUTED_VALUE"""),6.0)</f>
        <v>6</v>
      </c>
      <c r="C137" s="5" t="str">
        <f>IFERROR(__xludf.DUMMYFUNCTION("IF(A137="""","""",TEXTJOIN(CHAR(10),TRUE,FILTER('Chi tiết từng link'!$B$2:$B$2505,'Chi tiết từng link'!$D$2:$D$2505=A137)))"),"https://techcombank.com/thong-tin/blog/lam-the-tin-dung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
https://techcombank.com/thong-tin/blog/traveloka-voucher")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
https://techcombank.com/thong-tin/blog/traveloka-voucher</v>
      </c>
      <c r="D137" s="5" t="str">
        <f t="shared" si="1"/>
        <v>Vượt giới hạn 3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20" t="str">
        <f>IFERROR(__xludf.DUMMYFUNCTION("""COMPUTED_VALUE"""),"https://techcombank.com/thong-tin/blog/vay-200-trieu")</f>
        <v>https://techcombank.com/thong-tin/blog/vay-200-trieu</v>
      </c>
      <c r="B138" s="25">
        <f>IFERROR(__xludf.DUMMYFUNCTION("""COMPUTED_VALUE"""),6.0)</f>
        <v>6</v>
      </c>
      <c r="C138" s="5" t="str">
        <f>IFERROR(__xludf.DUMMYFUNCTION("IF(A138="""","""",TEXTJOIN(CHAR(10),TRUE,FILTER('Chi tiết từng link'!$B$2:$B$2505,'Chi tiết từng link'!$D$2:$D$2505=A138)))"),"https://techcombank.com/thong-tin/blog/cach-thanh-toan-the-tin-dung
https://techcombank.com/thong-tin/blog/vay-ngan-hang-1-ty-moi-thang-tra-bao-nhieu
https://techcombank.com/thong-tin/blog/cach-tinh-lai-vay-ngan-hang
https://techcombank.com/cong-cu-tien-i"&amp;"ch/cong-cu-tinh-toan/bang-tinh-lai-suat-vay
https://techcombank.com/thong-tin/blog/nen-vay-tin-chap-o-dau
https://techcombank.com/thong-tin/blog/vay-tin-chap-khong-tra-duoc-co-sao-khong")</f>
        <v>https://techcombank.com/thong-tin/blog/cach-thanh-toan-the-tin-dung
https://techcombank.com/thong-tin/blog/vay-ngan-hang-1-ty-moi-thang-tra-bao-nhieu
https://techcombank.com/thong-tin/blog/cach-tinh-lai-vay-ngan-hang
https://techcombank.com/cong-cu-tien-ich/cong-cu-tinh-toan/bang-tinh-lai-suat-vay
https://techcombank.com/thong-tin/blog/nen-vay-tin-chap-o-dau
https://techcombank.com/thong-tin/blog/vay-tin-chap-khong-tra-duoc-co-sao-khong</v>
      </c>
      <c r="D138" s="5" t="str">
        <f t="shared" si="1"/>
        <v>Vượt giới hạn 3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20" t="str">
        <f>IFERROR(__xludf.DUMMYFUNCTION("""COMPUTED_VALUE"""),"https://techcombank.com/thong-tin/blog/vay-san-xuat-kinh-doanh")</f>
        <v>https://techcombank.com/thong-tin/blog/vay-san-xuat-kinh-doanh</v>
      </c>
      <c r="B139" s="25">
        <f>IFERROR(__xludf.DUMMYFUNCTION("""COMPUTED_VALUE"""),6.0)</f>
        <v>6</v>
      </c>
      <c r="C139" s="5" t="str">
        <f>IFERROR(__xludf.DUMMYFUNCTION("IF(A139="""","""",TEXTJOIN(CHAR(10),TRUE,FILTER('Chi tiết từng link'!$B$2:$B$2505,'Chi tiết từng link'!$D$2:$D$2505=A139)))"),"https://techcombank.com/thong-tin/blog/xep-hang-tin-dung
https://techcombank.com/thong-tin/blog/lai-suat-vay-the-chap-so-do
https://techcombank.com/thong-tin/blog/ho-so-thu-tuc-xoa-the-chap
https://techcombank.com/thong-tin/blog/vay-thau-chi-la-gi
https:/"&amp;"/techcombank.com/thong-tin/blog/nen-vay-tin-chap-o-dau
https://techcombank.com/thong-tin/blog/vay-tin-chap-khong-tra-duoc-co-sao-khong")</f>
        <v>https://techcombank.com/thong-tin/blog/xep-hang-tin-dung
https://techcombank.com/thong-tin/blog/lai-suat-vay-the-chap-so-do
https://techcombank.com/thong-tin/blog/ho-so-thu-tuc-xoa-the-chap
https://techcombank.com/thong-tin/blog/vay-thau-chi-la-gi
https://techcombank.com/thong-tin/blog/nen-vay-tin-chap-o-dau
https://techcombank.com/thong-tin/blog/vay-tin-chap-khong-tra-duoc-co-sao-khong</v>
      </c>
      <c r="D139" s="5" t="str">
        <f t="shared" si="1"/>
        <v>Vượt giới hạn 3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20" t="str">
        <f>IFERROR(__xludf.DUMMYFUNCTION("""COMPUTED_VALUE"""),"https://techcombank.com/thong-tin/blog/vay-the-chap-hop-dong-mua-ban-can-ho")</f>
        <v>https://techcombank.com/thong-tin/blog/vay-the-chap-hop-dong-mua-ban-can-ho</v>
      </c>
      <c r="B140" s="25">
        <f>IFERROR(__xludf.DUMMYFUNCTION("""COMPUTED_VALUE"""),6.0)</f>
        <v>6</v>
      </c>
      <c r="C140" s="5" t="str">
        <f>IFERROR(__xludf.DUMMYFUNCTION("IF(A140="""","""",TEXTJOIN(CHAR(10),TRUE,FILTER('Chi tiết từng link'!$B$2:$B$2505,'Chi tiết từng link'!$D$2:$D$2505=A140)))"),"https://techcombank.com/thong-tin/blog/vay-ngan-hang-1-ty-moi-thang-tra-bao-nhieu
https://techcombank.com/thong-tin/blog/cach-tinh-lai-vay-ngan-hang
https://techcombank.com/thong-tin/blog/lai-suat-vay-the-chap-so-do
https://techcombank.com/thong-tin/blog/"&amp;"ho-so-thu-tuc-xoa-the-chap
https://techcombank.com/cong-cu-tien-ich/cong-cu-tinh-toan/bang-tinh-lai-suat-vay
https://techcombank.com/thong-tin/blog/app-vay-tien-nhanh")</f>
        <v>https://techcombank.com/thong-tin/blog/vay-ngan-hang-1-ty-moi-thang-tra-bao-nhieu
https://techcombank.com/thong-tin/blog/cach-tinh-lai-vay-ngan-hang
https://techcombank.com/thong-tin/blog/lai-suat-vay-the-chap-so-do
https://techcombank.com/thong-tin/blog/ho-so-thu-tuc-xoa-the-chap
https://techcombank.com/cong-cu-tien-ich/cong-cu-tinh-toan/bang-tinh-lai-suat-vay
https://techcombank.com/thong-tin/blog/app-vay-tien-nhanh</v>
      </c>
      <c r="D140" s="5" t="str">
        <f t="shared" si="1"/>
        <v>Vượt giới hạn 3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20" t="str">
        <f>IFERROR(__xludf.DUMMYFUNCTION("""COMPUTED_VALUE"""),"https://techcombank.com/thong-tin/blog/vay-the-chap-kinh-doanh")</f>
        <v>https://techcombank.com/thong-tin/blog/vay-the-chap-kinh-doanh</v>
      </c>
      <c r="B141" s="25">
        <f>IFERROR(__xludf.DUMMYFUNCTION("""COMPUTED_VALUE"""),6.0)</f>
        <v>6</v>
      </c>
      <c r="C141" s="5" t="str">
        <f>IFERROR(__xludf.DUMMYFUNCTION("IF(A141="""","""",TEXTJOIN(CHAR(10),TRUE,FILTER('Chi tiết từng link'!$B$2:$B$2505,'Chi tiết từng link'!$D$2:$D$2505=A141)))"),"https://techcombank.com/thong-tin/blog/vay-ngan-hang-1-ty-moi-thang-tra-bao-nhieu
https://techcombank.com/thong-tin/blog/ho-kinh-doanh-dong-thue-nhu-nao
https://techcombank.com/thong-tin/blog/mo-tai-khoan-ho-kinh-doanh
https://techcombank.com/thong-tin/bl"&amp;"og/cach-tinh-thue-ho-kinh-doanh-nho-le
https://techcombank.com/thong-tin/blog/lai-suat-vay-the-chap-so-do
https://techcombank.com/thong-tin/blog/ho-so-thu-tuc-xoa-the-chap")</f>
        <v>https://techcombank.com/thong-tin/blog/vay-ngan-hang-1-ty-moi-thang-tra-bao-nhieu
https://techcombank.com/thong-tin/blog/ho-kinh-doanh-dong-thue-nhu-nao
https://techcombank.com/thong-tin/blog/mo-tai-khoan-ho-kinh-doanh
https://techcombank.com/thong-tin/blog/cach-tinh-thue-ho-kinh-doanh-nho-le
https://techcombank.com/thong-tin/blog/lai-suat-vay-the-chap-so-do
https://techcombank.com/thong-tin/blog/ho-so-thu-tuc-xoa-the-chap</v>
      </c>
      <c r="D141" s="5" t="str">
        <f t="shared" si="1"/>
        <v>Vượt giới hạn 3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20" t="str">
        <f>IFERROR(__xludf.DUMMYFUNCTION("""COMPUTED_VALUE"""),"https://techcombank.com/thong-tin/blog/vay-tin-chap-no-xau")</f>
        <v>https://techcombank.com/thong-tin/blog/vay-tin-chap-no-xau</v>
      </c>
      <c r="B142" s="25">
        <f>IFERROR(__xludf.DUMMYFUNCTION("""COMPUTED_VALUE"""),6.0)</f>
        <v>6</v>
      </c>
      <c r="C142" s="5" t="str">
        <f>IFERROR(__xludf.DUMMYFUNCTION("IF(A142="""","""",TEXTJOIN(CHAR(10),TRUE,FILTER('Chi tiết từng link'!$B$2:$B$2505,'Chi tiết từng link'!$D$2:$D$2505=A142)))"),"https://techcombank.com/thong-tin/blog/cic-la-gi
https://techcombank.com/thong-tin/blog/xep-hang-tin-dung
https://techcombank.com/thong-tin/blog/kiem-tra-no-xau
https://techcombank.com/thong-tin/blog/nen-vay-tin-chap-o-dau
https://techcombank.com/thong-ti"&amp;"n/blog/no-xau-la-gi
https://techcombank.com/thong-tin/blog/vay-tin-chap-khong-tra-duoc-co-sao-khong")</f>
        <v>https://techcombank.com/thong-tin/blog/cic-la-gi
https://techcombank.com/thong-tin/blog/xep-hang-tin-dung
https://techcombank.com/thong-tin/blog/kiem-tra-no-xau
https://techcombank.com/thong-tin/blog/nen-vay-tin-chap-o-dau
https://techcombank.com/thong-tin/blog/no-xau-la-gi
https://techcombank.com/thong-tin/blog/vay-tin-chap-khong-tra-duoc-co-sao-khong</v>
      </c>
      <c r="D142" s="5" t="str">
        <f t="shared" si="1"/>
        <v>Vượt giới hạn 3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20" t="str">
        <f>IFERROR(__xludf.DUMMYFUNCTION("""COMPUTED_VALUE"""),"https://techcombank.com/thong-tin/blog/3d-secure")</f>
        <v>https://techcombank.com/thong-tin/blog/3d-secure</v>
      </c>
      <c r="B143" s="25">
        <f>IFERROR(__xludf.DUMMYFUNCTION("""COMPUTED_VALUE"""),5.0)</f>
        <v>5</v>
      </c>
      <c r="C143" s="5" t="str">
        <f>IFERROR(__xludf.DUMMYFUNCTION("IF(A143="""","""",TEXTJOIN(CHAR(10),TRUE,FILTER('Chi tiết từng link'!$B$2:$B$2505,'Chi tiết từng link'!$D$2:$D$2505=A143)))"),"https://techcombank.com/thong-tin/blog/lam-the-tin-dung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3" s="5" t="str">
        <f t="shared" si="1"/>
        <v>Vượt giới hạn 3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20" t="str">
        <f>IFERROR(__xludf.DUMMYFUNCTION("""COMPUTED_VALUE"""),"https://techcombank.com/thong-tin/blog/cac-loai-the-tin-dung")</f>
        <v>https://techcombank.com/thong-tin/blog/cac-loai-the-tin-dung</v>
      </c>
      <c r="B144" s="25">
        <f>IFERROR(__xludf.DUMMYFUNCTION("""COMPUTED_VALUE"""),5.0)</f>
        <v>5</v>
      </c>
      <c r="C144" s="5" t="str">
        <f>IFERROR(__xludf.DUMMYFUNCTION("IF(A144="""","""",TEXTJOIN(CHAR(10),TRUE,FILTER('Chi tiết từng link'!$B$2:$B$2505,'Chi tiết từng link'!$D$2:$D$2505=A144)))"),"https://techcombank.com/thong-tin/blog/lam-the-tin-dung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44" s="5" t="str">
        <f t="shared" si="1"/>
        <v>Vượt giới hạn 3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20" t="str">
        <f>IFERROR(__xludf.DUMMYFUNCTION("""COMPUTED_VALUE"""),"https://techcombank.com/thong-tin/blog/cach-chuyen-tien")</f>
        <v>https://techcombank.com/thong-tin/blog/cach-chuyen-tien</v>
      </c>
      <c r="B145" s="25">
        <f>IFERROR(__xludf.DUMMYFUNCTION("""COMPUTED_VALUE"""),5.0)</f>
        <v>5</v>
      </c>
      <c r="C145" s="5" t="str">
        <f>IFERROR(__xludf.DUMMYFUNCTION("IF(A145="""","""",TEXTJOIN(CHAR(10),TRUE,FILTER('Chi tiết từng link'!$B$2:$B$2505,'Chi tiết từng link'!$D$2:$D$2505=A145)))"),"https://techcombank.com/thong-tin/blog/cach-kiem-tra-tai-khoan-ngan-hang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https://techcombank.com/thong-tin/blog/gui-ma-qr-ngan-hang")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https://techcombank.com/thong-tin/blog/gui-ma-qr-ngan-hang</v>
      </c>
      <c r="D145" s="5" t="str">
        <f t="shared" si="1"/>
        <v>Vượt giới hạn 3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20" t="str">
        <f>IFERROR(__xludf.DUMMYFUNCTION("""COMPUTED_VALUE"""),"https://techcombank.com/thong-tin/blog/cach-lam-the-atm")</f>
        <v>https://techcombank.com/thong-tin/blog/cach-lam-the-atm</v>
      </c>
      <c r="B146" s="25">
        <f>IFERROR(__xludf.DUMMYFUNCTION("""COMPUTED_VALUE"""),5.0)</f>
        <v>5</v>
      </c>
      <c r="C146" s="5" t="str">
        <f>IFERROR(__xludf.DUMMYFUNCTION("IF(A146="""","""",TEXTJOIN(CHAR(10),TRUE,FILTER('Chi tiết từng link'!$B$2:$B$2505,'Chi tiết từng link'!$D$2:$D$2505=A146)))"),"https://techcombank.com/thong-tin/blog/bao-nhieu-tuoi-duoc-mo-tai-khoan-ngan-hang
https://techcombank.com/thong-tin/blog/nap-tien-vao-tai-khoan-ngan-hang
https://techcombank.com/thong-tin/blog/ten-dang-nhap-tai-khoan-ngan-hang-la-gi
https://techcombank.co"&amp;"m/thong-tin/blog/rut-tien-bang-ma-qr-la-gi-cach-thuc-hien-nhu-the-nao
https://techcombank.com/thong-tin/blog/lam-the-tin-dung")</f>
        <v>https://techcombank.com/thong-tin/blog/bao-nhieu-tuoi-duoc-mo-tai-khoan-ngan-hang
https://techcombank.com/thong-tin/blog/nap-tien-vao-tai-khoan-ngan-hang
https://techcombank.com/thong-tin/blog/ten-dang-nhap-tai-khoan-ngan-hang-la-gi
https://techcombank.com/thong-tin/blog/rut-tien-bang-ma-qr-la-gi-cach-thuc-hien-nhu-the-nao
https://techcombank.com/thong-tin/blog/lam-the-tin-dung</v>
      </c>
      <c r="D146" s="5" t="str">
        <f t="shared" si="1"/>
        <v>Vượt giới hạn 3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20" t="str">
        <f>IFERROR(__xludf.DUMMYFUNCTION("""COMPUTED_VALUE"""),"https://techcombank.com/thong-tin/blog/cach-su-dung-tai-khoan-cong-ty")</f>
        <v>https://techcombank.com/thong-tin/blog/cach-su-dung-tai-khoan-cong-ty</v>
      </c>
      <c r="B147" s="25">
        <f>IFERROR(__xludf.DUMMYFUNCTION("""COMPUTED_VALUE"""),5.0)</f>
        <v>5</v>
      </c>
      <c r="C147" s="5" t="str">
        <f>IFERROR(__xludf.DUMMYFUNCTION("IF(A147="""","""",TEXTJOIN(CHAR(10),TRUE,FILTER('Chi tiết từng link'!$B$2:$B$2505,'Chi tiết từng link'!$D$2:$D$2505=A147)))"),"https://techcombank.com/thong-tin/blog/cong-ty-su-dung-tai-khoan-ca-nhan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https://techcombank.com/thong-tin/blog/cong-ty-su-dung-tai-khoan-ca-nhan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47" s="5" t="str">
        <f t="shared" si="1"/>
        <v>Vượt giới hạn 3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20" t="str">
        <f>IFERROR(__xludf.DUMMYFUNCTION("""COMPUTED_VALUE"""),"https://techcombank.com/thong-tin/blog/cach-tao-ma-qr")</f>
        <v>https://techcombank.com/thong-tin/blog/cach-tao-ma-qr</v>
      </c>
      <c r="B148" s="25">
        <f>IFERROR(__xludf.DUMMYFUNCTION("""COMPUTED_VALUE"""),5.0)</f>
        <v>5</v>
      </c>
      <c r="C148" s="5" t="str">
        <f>IFERROR(__xludf.DUMMYFUNCTION("IF(A148="""","""",TEXTJOIN(CHAR(10),TRUE,FILTER('Chi tiết từng link'!$B$2:$B$2505,'Chi tiết từng link'!$D$2:$D$2505=A148)))"),"https://techcombank.com/thong-tin/blog/rut-tien-bang-ma-qr-la-gi-cach-thuc-hien-nhu-the-nao
https://techcombank.com/thong-tin/blog/ho-kinh-doanh-dong-thue-nhu-nao
https://techcombank.com/thong-tin/blog/gui-ma-qr-ngan-hang
https://techcombank.com/thong-tin"&amp;"/blog/mo-tai-khoan-ho-kinh-doanh
https://techcombank.com/thong-tin/blog/cach-tinh-thue-ho-kinh-doanh-nho-le")</f>
        <v>https://techcombank.com/thong-tin/blog/rut-tien-bang-ma-qr-la-gi-cach-thuc-hien-nhu-the-nao
https://techcombank.com/thong-tin/blog/ho-kinh-doanh-dong-thue-nhu-nao
https://techcombank.com/thong-tin/blog/gui-ma-qr-ngan-hang
https://techcombank.com/thong-tin/blog/mo-tai-khoan-ho-kinh-doanh
https://techcombank.com/thong-tin/blog/cach-tinh-thue-ho-kinh-doanh-nho-le</v>
      </c>
      <c r="D148" s="5" t="str">
        <f t="shared" si="1"/>
        <v>Vượt giới hạn 3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20" t="str">
        <f>IFERROR(__xludf.DUMMYFUNCTION("""COMPUTED_VALUE"""),"https://techcombank.com/thong-tin/blog/cach-tinh-thue-thu-nhap-ca-nhan-2025")</f>
        <v>https://techcombank.com/thong-tin/blog/cach-tinh-thue-thu-nhap-ca-nhan-2025</v>
      </c>
      <c r="B149" s="25">
        <f>IFERROR(__xludf.DUMMYFUNCTION("""COMPUTED_VALUE"""),5.0)</f>
        <v>5</v>
      </c>
      <c r="C149" s="5" t="str">
        <f>IFERROR(__xludf.DUMMYFUNCTION("IF(A149="""","""",TEXTJOIN(CHAR(10),TRUE,FILTER('Chi tiết từng link'!$B$2:$B$2505,'Chi tiết từng link'!$D$2:$D$2505=A149)))"),"https://techcombank.com/thong-tin/blog/nop-thue-dat-qua-ngan-hang
https://techcombank.com/thong-tin/blog/cach-nop-thue-dien-tu
https://techcombank.com/thong-tin/blog/kiem-tra-thue-thu-nhap-ca-nhan
https://techcombank.com/thong-tin/blog/thue-thu-nhap-ca-nh"&amp;"an
https://techcombank.com/thong-tin/blog/ho-kinh-doanh-dong-thue-nhu-nao")</f>
        <v>https://techcombank.com/thong-tin/blog/nop-thue-dat-qua-ngan-hang
https://techcombank.com/thong-tin/blog/cach-nop-thue-dien-tu
https://techcombank.com/thong-tin/blog/kiem-tra-thue-thu-nhap-ca-nhan
https://techcombank.com/thong-tin/blog/thue-thu-nhap-ca-nhan
https://techcombank.com/thong-tin/blog/ho-kinh-doanh-dong-thue-nhu-nao</v>
      </c>
      <c r="D149" s="5" t="str">
        <f t="shared" si="1"/>
        <v>Vượt giới hạn 3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20" t="str">
        <f>IFERROR(__xludf.DUMMYFUNCTION("""COMPUTED_VALUE"""),"https://techcombank.com/thong-tin/blog/cashback-the-thanh-toan")</f>
        <v>https://techcombank.com/thong-tin/blog/cashback-the-thanh-toan</v>
      </c>
      <c r="B150" s="25">
        <f>IFERROR(__xludf.DUMMYFUNCTION("""COMPUTED_VALUE"""),5.0)</f>
        <v>5</v>
      </c>
      <c r="C150" s="5" t="str">
        <f>IFERROR(__xludf.DUMMYFUNCTION("IF(A150="""","""",TEXTJOIN(CHAR(10),TRUE,FILTER('Chi tiết từng link'!$B$2:$B$2505,'Chi tiết từng link'!$D$2:$D$2505=A150)))"),"https://techcombank.com/thong-tin/blog/cach-sao-ke-tai-khoan-ngan-hang
https://techcombank.com/khach-hang-ca-nhan/chi-tieu/the/the-tin-dung/techcombank-everyday
https://techcombank.com/thong-tin/blog/the-tin-dung-hoan-tien
https://techcombank.com/thong-ti"&amp;"n/blog/cach-nhan-tien-tu-nuoc-ngoai-ve-viet-nam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https://techcombank.com/thong-tin/blog/cach-nhan-tien-tu-nuoc-ngoai-ve-viet-nam
https://techcombank.com/thong-tin/blog/cach-tiet-kiem-tien</v>
      </c>
      <c r="D150" s="5" t="str">
        <f t="shared" si="1"/>
        <v>Vượt giới hạn 3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20" t="str">
        <f>IFERROR(__xludf.DUMMYFUNCTION("""COMPUTED_VALUE"""),"https://techcombank.com/thong-tin/blog/cdm")</f>
        <v>https://techcombank.com/thong-tin/blog/cdm</v>
      </c>
      <c r="B151" s="25">
        <f>IFERROR(__xludf.DUMMYFUNCTION("""COMPUTED_VALUE"""),5.0)</f>
        <v>5</v>
      </c>
      <c r="C151" s="5" t="str">
        <f>IFERROR(__xludf.DUMMYFUNCTION("IF(A151="""","""",TEXTJOIN(CHAR(10),TRUE,FILTER('Chi tiết từng link'!$B$2:$B$2505,'Chi tiết từng link'!$D$2:$D$2505=A151)))"),"https://techcombank.com/thong-tin/blog/cach-kiem-tra-tai-khoan-ngan-hang
https://techcombank.com/thong-tin/blog/chuyen-khoan-thanh-cong-nhung-khong-nhan-duoc-tien
https://techcombank.com/thong-tin/blog/nap-tien-vao-tai-khoan-ngan-hang
https://techcombank."&amp;"com/thong-tin/blog/rut-tien-bang-ma-qr-la-gi-cach-thuc-hien-nhu-the-nao
https://techcombank.com/thong-tin/blog/rut-tien-mat-tu-the-tin-dung")</f>
        <v>https://techcombank.com/thong-tin/blog/cach-kiem-tra-tai-khoan-ngan-hang
https://techcombank.com/thong-tin/blog/chuyen-khoan-thanh-cong-nhung-khong-nhan-duoc-tien
https://techcombank.com/thong-tin/blog/nap-tien-vao-tai-khoan-ngan-hang
https://techcombank.com/thong-tin/blog/rut-tien-bang-ma-qr-la-gi-cach-thuc-hien-nhu-the-nao
https://techcombank.com/thong-tin/blog/rut-tien-mat-tu-the-tin-dung</v>
      </c>
      <c r="D151" s="5" t="str">
        <f t="shared" si="1"/>
        <v>Vượt giới hạn 3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20" t="str">
        <f>IFERROR(__xludf.DUMMYFUNCTION("""COMPUTED_VALUE"""),"https://techcombank.com/thong-tin/blog/chung-chi-tien-gui-co-duoc-rut-truoc-han")</f>
        <v>https://techcombank.com/thong-tin/blog/chung-chi-tien-gui-co-duoc-rut-truoc-han</v>
      </c>
      <c r="B152" s="25">
        <f>IFERROR(__xludf.DUMMYFUNCTION("""COMPUTED_VALUE"""),5.0)</f>
        <v>5</v>
      </c>
      <c r="C152" s="5" t="str">
        <f>IFERROR(__xludf.DUMMYFUNCTION("IF(A152="""","""",TEXTJOIN(CHAR(10),TRUE,FILTER('Chi tiết từng link'!$B$2:$B$2505,'Chi tiết từng link'!$D$2:$D$2505=A152)))"),"https://techcombank.com/thong-tin/blog/chung-chi-tien-gui-la-gi
https://techcombank.com/thong-tin/blog/lai-suat-chung-chi-tien-gui-cac-ngan-hang
https://techcombank.com/thong-tin/blog/ho-so-thu-tuc-xoa-the-chap
https://techcombank.com/thong-tin/blog/lai-s"&amp;"uat-tiet-kiem
https://techcombank.com/thong-tin/blog/rut-tien-tiet-kiem-truoc-thoi-han")</f>
        <v>https://techcombank.com/thong-tin/blog/chung-chi-tien-gui-la-gi
https://techcombank.com/thong-tin/blog/lai-suat-chung-chi-tien-gui-cac-ngan-hang
https://techcombank.com/thong-tin/blog/ho-so-thu-tuc-xoa-the-chap
https://techcombank.com/thong-tin/blog/lai-suat-tiet-kiem
https://techcombank.com/thong-tin/blog/rut-tien-tiet-kiem-truoc-thoi-han</v>
      </c>
      <c r="D152" s="5" t="str">
        <f t="shared" si="1"/>
        <v>Vượt giới hạn 3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20" t="str">
        <f>IFERROR(__xludf.DUMMYFUNCTION("""COMPUTED_VALUE"""),"https://techcombank.com/thong-tin/blog/chuyen-doi-hoa-don-dien-tu")</f>
        <v>https://techcombank.com/thong-tin/blog/chuyen-doi-hoa-don-dien-tu</v>
      </c>
      <c r="B153" s="25">
        <f>IFERROR(__xludf.DUMMYFUNCTION("""COMPUTED_VALUE"""),5.0)</f>
        <v>5</v>
      </c>
      <c r="C153" s="5" t="str">
        <f>IFERROR(__xludf.DUMMYFUNCTION("IF(A153="""","""",TEXTJOIN(CHAR(10),TRUE,FILTER('Chi tiết từng link'!$B$2:$B$2505,'Chi tiết từng link'!$D$2:$D$2505=A153)))"),"https://techcombank.com/thong-tin/blog/thue-vat-la-gi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53" s="5" t="str">
        <f t="shared" si="1"/>
        <v>Vượt giới hạn 3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20" t="str">
        <f>IFERROR(__xludf.DUMMYFUNCTION("""COMPUTED_VALUE"""),"https://techcombank.com/thong-tin/blog/chuyen-tien-di-uc")</f>
        <v>https://techcombank.com/thong-tin/blog/chuyen-tien-di-uc</v>
      </c>
      <c r="B154" s="25">
        <f>IFERROR(__xludf.DUMMYFUNCTION("""COMPUTED_VALUE"""),5.0)</f>
        <v>5</v>
      </c>
      <c r="C154" s="5" t="str">
        <f>IFERROR(__xludf.DUMMYFUNCTION("IF(A154="""","""",TEXTJOIN(CHAR(10),TRUE,FILTER('Chi tiết từng link'!$B$2:$B$2505,'Chi tiết từng link'!$D$2:$D$2505=A154)))"),"https://techcombank.com/thong-tin/blog/chuyen-khoan-thanh-cong-nhung-khong-nhan-duoc-tien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4" s="5" t="str">
        <f t="shared" si="1"/>
        <v>Vượt giới hạn 3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20" t="str">
        <f>IFERROR(__xludf.DUMMYFUNCTION("""COMPUTED_VALUE"""),"https://techcombank.com/thong-tin/blog/chuyen-tien-tu-my-ve-viet-nam")</f>
        <v>https://techcombank.com/thong-tin/blog/chuyen-tien-tu-my-ve-viet-nam</v>
      </c>
      <c r="B155" s="25">
        <f>IFERROR(__xludf.DUMMYFUNCTION("""COMPUTED_VALUE"""),5.0)</f>
        <v>5</v>
      </c>
      <c r="C155" s="5" t="str">
        <f>IFERROR(__xludf.DUMMYFUNCTION("IF(A155="""","""",TEXTJOIN(CHAR(10),TRUE,FILTER('Chi tiết từng link'!$B$2:$B$2505,'Chi tiết từng link'!$D$2:$D$2505=A155)))"),"https://techcombank.com/thong-tin/blog/chuyen-khoan-thanh-cong-nhung-khong-nhan-duoc-tien
https://techcombank.com/thong-tin/blog/1-dong-do-la-my-bang-bao-nhieu-tien-viet-nam
https://techcombank.com/thong-tin/blog/1-trieu-do-bang-bao-nhieu-tien-viet
https:"&amp;"//techcombank.com/thong-tin/blog/cach-nhan-tien-tu-nuoc-ngoai-ve-viet-nam
https://techcombank.com/thong-tin/blog/doi-tien-do-o-dau")</f>
        <v>https://techcombank.com/thong-tin/blog/chuyen-khoan-thanh-cong-nhung-khong-nhan-duoc-tien
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155" s="5" t="str">
        <f t="shared" si="1"/>
        <v>Vượt giới hạn 3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20" t="str">
        <f>IFERROR(__xludf.DUMMYFUNCTION("""COMPUTED_VALUE"""),"https://techcombank.com/thong-tin/blog/co-nen-gui-tiet-kiem-ngan-hang")</f>
        <v>https://techcombank.com/thong-tin/blog/co-nen-gui-tiet-kiem-ngan-hang</v>
      </c>
      <c r="B156" s="25">
        <f>IFERROR(__xludf.DUMMYFUNCTION("""COMPUTED_VALUE"""),5.0)</f>
        <v>5</v>
      </c>
      <c r="C156" s="5" t="str">
        <f>IFERROR(__xludf.DUMMYFUNCTION("IF(A156="""","""",TEXTJOIN(CHAR(10),TRUE,FILTER('Chi tiết từng link'!$B$2:$B$2505,'Chi tiết từng link'!$D$2:$D$2505=A156)))"),"https://techcombank.com/thong-tin/blog/chung-chi-tien-gui-la-gi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56" s="5" t="str">
        <f t="shared" si="1"/>
        <v>Vượt giới hạn 3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20" t="str">
        <f>IFERROR(__xludf.DUMMYFUNCTION("""COMPUTED_VALUE"""),"https://techcombank.com/thong-tin/blog/dang-ky-ma-so-thue-ca-nhan")</f>
        <v>https://techcombank.com/thong-tin/blog/dang-ky-ma-so-thue-ca-nhan</v>
      </c>
      <c r="B157" s="25">
        <f>IFERROR(__xludf.DUMMYFUNCTION("""COMPUTED_VALUE"""),5.0)</f>
        <v>5</v>
      </c>
      <c r="C157" s="5" t="str">
        <f>IFERROR(__xludf.DUMMYFUNCTION("IF(A157="""","""",TEXTJOIN(CHAR(10),TRUE,FILTER('Chi tiết từng link'!$B$2:$B$2505,'Chi tiết từng link'!$D$2:$D$2505=A157)))"),"https://techcombank.com/thong-tin/blog/cach-tinh-thue-thu-nhap-ca-nhan-2025
https://techcombank.com/thong-tin/blog/kiem-tra-thue-thu-nhap-ca-nhan
https://techcombank.com/thong-tin/blog/thue-thu-nhap-ca-nhan
https://techcombank.com/thong-tin/blog/cach-quet"&amp;"-nfc-cccd-tren-iphone
https://techcombank.com/thong-tin/blog/ho-kinh-doanh-dong-thue-nhu-nao")</f>
        <v>https://techcombank.com/thong-tin/blog/cach-tinh-thue-thu-nhap-ca-nhan-2025
https://techcombank.com/thong-tin/blog/kiem-tra-thue-thu-nhap-ca-nhan
https://techcombank.com/thong-tin/blog/thue-thu-nhap-ca-nhan
https://techcombank.com/thong-tin/blog/cach-quet-nfc-cccd-tren-iphone
https://techcombank.com/thong-tin/blog/ho-kinh-doanh-dong-thue-nhu-nao</v>
      </c>
      <c r="D157" s="5" t="str">
        <f t="shared" si="1"/>
        <v>Vượt giới hạn 3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20" t="str">
        <f>IFERROR(__xludf.DUMMYFUNCTION("""COMPUTED_VALUE"""),"https://techcombank.com/thong-tin/blog/danh-muc-dau-tu")</f>
        <v>https://techcombank.com/thong-tin/blog/danh-muc-dau-tu</v>
      </c>
      <c r="B158" s="25">
        <f>IFERROR(__xludf.DUMMYFUNCTION("""COMPUTED_VALUE"""),5.0)</f>
        <v>5</v>
      </c>
      <c r="C158" s="5" t="str">
        <f>IFERROR(__xludf.DUMMYFUNCTION("IF(A158="""","""",TEXTJOIN(CHAR(10),TRUE,FILTER('Chi tiết từng link'!$B$2:$B$2505,'Chi tiết từng link'!$D$2:$D$2505=A158)))"),"https://techcombank.com/thong-tin/blog/thue-thu-nhap-doanh-nghiep
https://techcombank.com/thong-tin/blog/cach-tinh-thue-thu-nhap-doanh-nghiep
https://techcombank.com/thong-tin/blog/cach-tiet-kiem-tien
https://techcombank.com/thong-tin/blog/rui-ro-khi-gui-"&amp;"tiet-kiem-online
https://techcombank.com/thong-tin/blog/phuong-phap-dau-tu-chung-chi-quy")</f>
        <v>https://techcombank.com/thong-tin/blog/thue-thu-nhap-doanh-nghiep
https://techcombank.com/thong-tin/blog/cach-tinh-thue-thu-nhap-doanh-nghiep
https://techcombank.com/thong-tin/blog/cach-tiet-kiem-tien
https://techcombank.com/thong-tin/blog/rui-ro-khi-gui-tiet-kiem-online
https://techcombank.com/thong-tin/blog/phuong-phap-dau-tu-chung-chi-quy</v>
      </c>
      <c r="D158" s="5" t="str">
        <f t="shared" si="1"/>
        <v>Vượt giới hạn 3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20" t="str">
        <f>IFERROR(__xludf.DUMMYFUNCTION("""COMPUTED_VALUE"""),"https://techcombank.com/thong-tin/blog/dao-han-la-gi")</f>
        <v>https://techcombank.com/thong-tin/blog/dao-han-la-gi</v>
      </c>
      <c r="B159" s="25">
        <f>IFERROR(__xludf.DUMMYFUNCTION("""COMPUTED_VALUE"""),5.0)</f>
        <v>5</v>
      </c>
      <c r="C159" s="5" t="str">
        <f>IFERROR(__xludf.DUMMYFUNCTION("IF(A159="""","""",TEXTJOIN(CHAR(10),TRUE,FILTER('Chi tiết từng link'!$B$2:$B$2505,'Chi tiết từng link'!$D$2:$D$2505=A159)))"),"https://techcombank.com/thong-tin/blog/cach-tinh-lai-vay-ngan-hang
https://techcombank.com/thong-tin/blog/cach-tinh-lai-suat-tien-gui-tiet-kiem
https://techcombank.com/thong-tin/blog/rut-tien-tiet-kiem-truoc-thoi-han
https://techcombank.com/thong-tin/blog"&amp;"/so-tiet-kiem-ngan-hang
https://techcombank.com/cong-cu-tien-ich/cong-cu-tinh-toan/bang-tinh-lai-suat-vay")</f>
        <v>https://techcombank.com/thong-tin/blog/cach-tinh-lai-vay-ngan-hang
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https://techcombank.com/cong-cu-tien-ich/cong-cu-tinh-toan/bang-tinh-lai-suat-vay</v>
      </c>
      <c r="D159" s="5" t="str">
        <f t="shared" si="1"/>
        <v>Vượt giới hạn 3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20" t="str">
        <f>IFERROR(__xludf.DUMMYFUNCTION("""COMPUTED_VALUE"""),"https://techcombank.com/thong-tin/blog/dao-han-the-tin-dung")</f>
        <v>https://techcombank.com/thong-tin/blog/dao-han-the-tin-dung</v>
      </c>
      <c r="B160" s="25">
        <f>IFERROR(__xludf.DUMMYFUNCTION("""COMPUTED_VALUE"""),5.0)</f>
        <v>5</v>
      </c>
      <c r="C160" s="5" t="str">
        <f>IFERROR(__xludf.DUMMYFUNCTION("IF(A160="""","""",TEXTJOIN(CHAR(10),TRUE,FILTER('Chi tiết từng link'!$B$2:$B$2505,'Chi tiết từng link'!$D$2:$D$2505=A160)))"),"https://techcombank.com/thong-tin/blog/lam-the-tin-dung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0" s="5" t="str">
        <f t="shared" si="1"/>
        <v>Vượt giới hạn 3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20" t="str">
        <f>IFERROR(__xludf.DUMMYFUNCTION("""COMPUTED_VALUE"""),"https://techcombank.com/thong-tin/blog/di-du-lich-nuoc-ngoai-can-chuan-bi-gi")</f>
        <v>https://techcombank.com/thong-tin/blog/di-du-lich-nuoc-ngoai-can-chuan-bi-gi</v>
      </c>
      <c r="B161" s="25">
        <f>IFERROR(__xludf.DUMMYFUNCTION("""COMPUTED_VALUE"""),5.0)</f>
        <v>5</v>
      </c>
      <c r="C161" s="5" t="str">
        <f>IFERROR(__xludf.DUMMYFUNCTION("IF(A161="""","""",TEXTJOIN(CHAR(10),TRUE,FILTER('Chi tiết từng link'!$B$2:$B$2505,'Chi tiết từng link'!$D$2:$D$2505=A161)))"),"https://techcombank.com/thong-tin/blog/1-te-bang-bao-nhieu-tien-viet-nam
https://techcombank.com/thong-tin/blog/tien-thai-lan
https://techcombank.com/thong-tin/blog/cach-nhan-tien-tu-nuoc-ngoai-ve-viet-nam
https://techcombank.com/thong-tin/blog/doi-tien-d"&amp;"o-o-dau
https://techcombank.com/thong-tin/blog/traveloka-voucher")</f>
        <v>https://techcombank.com/thong-tin/blog/1-te-bang-bao-nhieu-tien-viet-nam
https://techcombank.com/thong-tin/blog/tien-thai-lan
https://techcombank.com/thong-tin/blog/cach-nhan-tien-tu-nuoc-ngoai-ve-viet-nam
https://techcombank.com/thong-tin/blog/doi-tien-do-o-dau
https://techcombank.com/thong-tin/blog/traveloka-voucher</v>
      </c>
      <c r="D161" s="5" t="str">
        <f t="shared" si="1"/>
        <v>Vượt giới hạn 3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20" t="str">
        <f>IFERROR(__xludf.DUMMYFUNCTION("""COMPUTED_VALUE"""),"https://techcombank.com/thong-tin/blog/gui-tiet-kiem-theo-ngay")</f>
        <v>https://techcombank.com/thong-tin/blog/gui-tiet-kiem-theo-ngay</v>
      </c>
      <c r="B162" s="25">
        <f>IFERROR(__xludf.DUMMYFUNCTION("""COMPUTED_VALUE"""),5.0)</f>
        <v>5</v>
      </c>
      <c r="C162" s="5" t="str">
        <f>IFERROR(__xludf.DUMMYFUNCTION("IF(A162="""","""",TEXTJOIN(CHAR(10),TRUE,FILTER('Chi tiết từng link'!$B$2:$B$2505,'Chi tiết từng link'!$D$2:$D$2505=A162)))"),"https://techcombank.com/thong-tin/blog/chung-chi-tien-gui-la-gi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2" s="5" t="str">
        <f t="shared" si="1"/>
        <v>Vượt giới hạn 3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20" t="str">
        <f>IFERROR(__xludf.DUMMYFUNCTION("""COMPUTED_VALUE"""),"https://techcombank.com/thong-tin/blog/gui-tiet-kiem-tich-luy-la-gi")</f>
        <v>https://techcombank.com/thong-tin/blog/gui-tiet-kiem-tich-luy-la-gi</v>
      </c>
      <c r="B163" s="25">
        <f>IFERROR(__xludf.DUMMYFUNCTION("""COMPUTED_VALUE"""),5.0)</f>
        <v>5</v>
      </c>
      <c r="C163" s="5" t="str">
        <f>IFERROR(__xludf.DUMMYFUNCTION("IF(A163="""","""",TEXTJOIN(CHAR(10),TRUE,FILTER('Chi tiết từng link'!$B$2:$B$2505,'Chi tiết từng link'!$D$2:$D$2505=A163)))"),"https://techcombank.com/thong-tin/blog/chung-chi-tien-gui-la-gi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63" s="5" t="str">
        <f t="shared" si="1"/>
        <v>Vượt giới hạn 3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20" t="str">
        <f>IFERROR(__xludf.DUMMYFUNCTION("""COMPUTED_VALUE"""),"https://techcombank.com/thong-tin/blog/hoa-don-dien-tu")</f>
        <v>https://techcombank.com/thong-tin/blog/hoa-don-dien-tu</v>
      </c>
      <c r="B164" s="25">
        <f>IFERROR(__xludf.DUMMYFUNCTION("""COMPUTED_VALUE"""),5.0)</f>
        <v>5</v>
      </c>
      <c r="C164" s="5" t="str">
        <f>IFERROR(__xludf.DUMMYFUNCTION("IF(A164="""","""",TEXTJOIN(CHAR(10),TRUE,FILTER('Chi tiết từng link'!$B$2:$B$2505,'Chi tiết từng link'!$D$2:$D$2505=A164)))"),"https://techcombank.com/thong-tin/blog/thue-vat-la-gi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4" s="5" t="str">
        <f t="shared" si="1"/>
        <v>Vượt giới hạn 3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20" t="str">
        <f>IFERROR(__xludf.DUMMYFUNCTION("""COMPUTED_VALUE"""),"https://techcombank.com/thong-tin/blog/hoa-don-dien-tu-ho-kinh-doanh")</f>
        <v>https://techcombank.com/thong-tin/blog/hoa-don-dien-tu-ho-kinh-doanh</v>
      </c>
      <c r="B165" s="25">
        <f>IFERROR(__xludf.DUMMYFUNCTION("""COMPUTED_VALUE"""),5.0)</f>
        <v>5</v>
      </c>
      <c r="C165" s="5" t="str">
        <f>IFERROR(__xludf.DUMMYFUNCTION("IF(A165="""","""",TEXTJOIN(CHAR(10),TRUE,FILTER('Chi tiết từng link'!$B$2:$B$2505,'Chi tiết từng link'!$D$2:$D$2505=A165)))"),"https://techcombank.com/thong-tin/blog/thue-vat-la-gi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65" s="5" t="str">
        <f t="shared" si="1"/>
        <v>Vượt giới hạn 3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20" t="str">
        <f>IFERROR(__xludf.DUMMYFUNCTION("""COMPUTED_VALUE"""),"https://techcombank.com/thong-tin/blog/hoc-cach-tiet-kiem-tien-luong")</f>
        <v>https://techcombank.com/thong-tin/blog/hoc-cach-tiet-kiem-tien-luong</v>
      </c>
      <c r="B166" s="25">
        <f>IFERROR(__xludf.DUMMYFUNCTION("""COMPUTED_VALUE"""),5.0)</f>
        <v>5</v>
      </c>
      <c r="C166" s="5" t="str">
        <f>IFERROR(__xludf.DUMMYFUNCTION("IF(A166="""","""",TEXTJOIN(CHAR(10),TRUE,FILTER('Chi tiết từng link'!$B$2:$B$2505,'Chi tiết từng link'!$D$2:$D$2505=A166)))"),"https://techcombank.com/thong-tin/blog/cach-tinh-thue-thu-nhap-ca-nhan-2025
https://techcombank.com/thong-tin/blog/cach-sao-ke-tai-khoan-ngan-hang
https://techcombank.com/thong-tin/blog/thue-thu-nhap-ca-nhan
https://techcombank.com/thong-tin/blog/eco-card"&amp;"
https://techcombank.com/thong-tin/blog/cach-tiet-kiem-tien")</f>
        <v>https://techcombank.com/thong-tin/blog/cach-tinh-thue-thu-nhap-ca-nhan-2025
https://techcombank.com/thong-tin/blog/cach-sao-ke-tai-khoan-ngan-hang
https://techcombank.com/thong-tin/blog/thue-thu-nhap-ca-nhan
https://techcombank.com/thong-tin/blog/eco-card
https://techcombank.com/thong-tin/blog/cach-tiet-kiem-tien</v>
      </c>
      <c r="D166" s="5" t="str">
        <f t="shared" si="1"/>
        <v>Vượt giới hạn 3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20" t="str">
        <f>IFERROR(__xludf.DUMMYFUNCTION("""COMPUTED_VALUE"""),"https://techcombank.com/thong-tin/blog/khong-su-dung-the-tin-dung-co-mat-phi-khong")</f>
        <v>https://techcombank.com/thong-tin/blog/khong-su-dung-the-tin-dung-co-mat-phi-khong</v>
      </c>
      <c r="B167" s="25">
        <f>IFERROR(__xludf.DUMMYFUNCTION("""COMPUTED_VALUE"""),5.0)</f>
        <v>5</v>
      </c>
      <c r="C167" s="5" t="str">
        <f>IFERROR(__xludf.DUMMYFUNCTION("IF(A167="""","""",TEXTJOIN(CHAR(10),TRUE,FILTER('Chi tiết từng link'!$B$2:$B$2505,'Chi tiết từng link'!$D$2:$D$2505=A167)))"),"https://techcombank.com/thong-tin/blog/lam-the-tin-dung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7" s="5" t="str">
        <f t="shared" si="1"/>
        <v>Vượt giới hạn 3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20" t="str">
        <f>IFERROR(__xludf.DUMMYFUNCTION("""COMPUTED_VALUE"""),"https://techcombank.com/thong-tin/blog/kich-hoat-the-tin-dung-techcombank")</f>
        <v>https://techcombank.com/thong-tin/blog/kich-hoat-the-tin-dung-techcombank</v>
      </c>
      <c r="B168" s="25">
        <f>IFERROR(__xludf.DUMMYFUNCTION("""COMPUTED_VALUE"""),5.0)</f>
        <v>5</v>
      </c>
      <c r="C168" s="5" t="str">
        <f>IFERROR(__xludf.DUMMYFUNCTION("IF(A168="""","""",TEXTJOIN(CHAR(10),TRUE,FILTER('Chi tiết từng link'!$B$2:$B$2505,'Chi tiết từng link'!$D$2:$D$2505=A168)))"),"https://techcombank.com/thong-tin/blog/lam-the-tin-dung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68" s="5" t="str">
        <f t="shared" si="1"/>
        <v>Vượt giới hạn 3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20" t="str">
        <f>IFERROR(__xludf.DUMMYFUNCTION("""COMPUTED_VALUE"""),"https://techcombank.com/thong-tin/blog/kiem-tra-thue-thu-nhap-ca-nhan")</f>
        <v>https://techcombank.com/thong-tin/blog/kiem-tra-thue-thu-nhap-ca-nhan</v>
      </c>
      <c r="B169" s="25">
        <f>IFERROR(__xludf.DUMMYFUNCTION("""COMPUTED_VALUE"""),5.0)</f>
        <v>5</v>
      </c>
      <c r="C169" s="5" t="str">
        <f>IFERROR(__xludf.DUMMYFUNCTION("IF(A169="""","""",TEXTJOIN(CHAR(10),TRUE,FILTER('Chi tiết từng link'!$B$2:$B$2505,'Chi tiết từng link'!$D$2:$D$2505=A169)))"),"https://techcombank.com/thong-tin/blog/nop-thue-dat-qua-ngan-hang
https://techcombank.com/thong-tin/blog/cach-nop-thue-dien-tu
https://techcombank.com/thong-tin/blog/cach-tinh-thue-thu-nhap-ca-nhan-2025
https://techcombank.com/thong-tin/blog/thue-thu-nhap"&amp;"-ca-nhan
https://techcombank.com/thong-tin/blog/ho-kinh-doanh-dong-thue-nhu-nao")</f>
        <v>https://techcombank.com/thong-tin/blog/nop-thue-dat-qua-ngan-hang
https://techcombank.com/thong-tin/blog/cach-nop-thue-dien-tu
https://techcombank.com/thong-tin/blog/cach-tinh-thue-thu-nhap-ca-nhan-2025
https://techcombank.com/thong-tin/blog/thue-thu-nhap-ca-nhan
https://techcombank.com/thong-tin/blog/ho-kinh-doanh-dong-thue-nhu-nao</v>
      </c>
      <c r="D169" s="5" t="str">
        <f t="shared" si="1"/>
        <v>Vượt giới hạn 3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20" t="str">
        <f>IFERROR(__xludf.DUMMYFUNCTION("""COMPUTED_VALUE"""),"https://techcombank.com/thong-tin/blog/kinh-nghiem-vay-tien-mua-nha")</f>
        <v>https://techcombank.com/thong-tin/blog/kinh-nghiem-vay-tien-mua-nha</v>
      </c>
      <c r="B170" s="25">
        <f>IFERROR(__xludf.DUMMYFUNCTION("""COMPUTED_VALUE"""),5.0)</f>
        <v>5</v>
      </c>
      <c r="C170" s="5" t="str">
        <f>IFERROR(__xludf.DUMMYFUNCTION("IF(A170="""","""",TEXTJOIN(CHAR(10),TRUE,FILTER('Chi tiết từng link'!$B$2:$B$2505,'Chi tiết từng link'!$D$2:$D$2505=A170)))"),"https://techcombank.com/thong-tin/blog/vay-ngan-hang-1-ty-moi-thang-tra-bao-nhieu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0" s="5" t="str">
        <f t="shared" si="1"/>
        <v>Vượt giới hạn 3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20" t="str">
        <f>IFERROR(__xludf.DUMMYFUNCTION("""COMPUTED_VALUE"""),"https://techcombank.com/thong-tin/blog/kinh-nghiem-vay-tien-ngan-hang-xay-nha")</f>
        <v>https://techcombank.com/thong-tin/blog/kinh-nghiem-vay-tien-ngan-hang-xay-nha</v>
      </c>
      <c r="B171" s="25">
        <f>IFERROR(__xludf.DUMMYFUNCTION("""COMPUTED_VALUE"""),5.0)</f>
        <v>5</v>
      </c>
      <c r="C171" s="5" t="str">
        <f>IFERROR(__xludf.DUMMYFUNCTION("IF(A171="""","""",TEXTJOIN(CHAR(10),TRUE,FILTER('Chi tiết từng link'!$B$2:$B$2505,'Chi tiết từng link'!$D$2:$D$2505=A171)))"),"https://techcombank.com/thong-tin/blog/vay-ngan-hang-1-ty-moi-thang-tra-bao-nhieu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
https://techcombank.com/thong-tin/blog/nen-vay-tin-chap-o-dau")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171" s="5" t="str">
        <f t="shared" si="1"/>
        <v>Vượt giới hạn 3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20" t="str">
        <f>IFERROR(__xludf.DUMMYFUNCTION("""COMPUTED_VALUE"""),"https://techcombank.com/thong-tin/blog/lai-suat-ngan-hang-cho-vay-xay-nha")</f>
        <v>https://techcombank.com/thong-tin/blog/lai-suat-ngan-hang-cho-vay-xay-nha</v>
      </c>
      <c r="B172" s="25">
        <f>IFERROR(__xludf.DUMMYFUNCTION("""COMPUTED_VALUE"""),5.0)</f>
        <v>5</v>
      </c>
      <c r="C172" s="5" t="str">
        <f>IFERROR(__xludf.DUMMYFUNCTION("IF(A172="""","""",TEXTJOIN(CHAR(10),TRUE,FILTER('Chi tiết từng link'!$B$2:$B$2505,'Chi tiết từng link'!$D$2:$D$2505=A172)))"),"https://techcombank.com/thong-tin/blog/cach-thanh-toan-the-tin-dung
https://techcombank.com/thong-tin/blog/cach-tinh-lai-vay-ngan-hang
https://techcombank.com/thong-tin/blog/cach-tinh-lai-suat-tien-gui-tiet-kiem
https://techcombank.com/cong-cu-tien-ich/co"&amp;"ng-cu-tinh-toan/bang-tinh-lai-suat-tiet-kiem
https://techcombank.com/thong-tin/blog/lai-suat-vay-ngan-hang")</f>
        <v>https://techcombank.com/thong-tin/blog/cach-thanh-toan-the-tin-dung
https://techcombank.com/thong-tin/blog/cach-tinh-lai-vay-ngan-hang
https://techcombank.com/thong-tin/blog/cach-tinh-lai-suat-tien-gui-tiet-kiem
https://techcombank.com/cong-cu-tien-ich/cong-cu-tinh-toan/bang-tinh-lai-suat-tiet-kiem
https://techcombank.com/thong-tin/blog/lai-suat-vay-ngan-hang</v>
      </c>
      <c r="D172" s="5" t="str">
        <f t="shared" si="1"/>
        <v>Vượt giới hạn 3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20" t="str">
        <f>IFERROR(__xludf.DUMMYFUNCTION("""COMPUTED_VALUE"""),"https://techcombank.com/thong-tin/blog/lam-the-tin-dung")</f>
        <v>https://techcombank.com/thong-tin/blog/lam-the-tin-dung</v>
      </c>
      <c r="B173" s="25">
        <f>IFERROR(__xludf.DUMMYFUNCTION("""COMPUTED_VALUE"""),5.0)</f>
        <v>5</v>
      </c>
      <c r="C173" s="5" t="str">
        <f>IFERROR(__xludf.DUMMYFUNCTION("IF(A173="""","""",TEXTJOIN(CHAR(10),TRUE,FILTER('Chi tiết từng link'!$B$2:$B$2505,'Chi tiết từng link'!$D$2:$D$2505=A173)))"),"https://techcombank.com/thong-tin/blog/bao-nhieu-tuoi-duoc-mo-tai-khoan-ngan-hang
https://techcombank.com/khach-hang-ca-nhan/chi-tieu/the/the-tin-dung/techcombank-everyday
https://techcombank.com/thong-tin/blog/the-tin-dung-hoan-tien
https://techcombank.c"&amp;"om/thong-tin/blog/cach-huy-the-tin-dung
https://techcombank.com/thong-tin/blog/cach-thanh-toan-the-tin-dung")</f>
        <v>https://techcombank.com/thong-tin/blog/bao-nhieu-tuoi-duoc-mo-tai-khoan-ngan-hang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3" s="5" t="str">
        <f t="shared" si="1"/>
        <v>Vượt giới hạn 3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20" t="str">
        <f>IFERROR(__xludf.DUMMYFUNCTION("""COMPUTED_VALUE"""),"https://techcombank.com/thong-tin/blog/may-tinh-tien")</f>
        <v>https://techcombank.com/thong-tin/blog/may-tinh-tien</v>
      </c>
      <c r="B174" s="25">
        <f>IFERROR(__xludf.DUMMYFUNCTION("""COMPUTED_VALUE"""),5.0)</f>
        <v>5</v>
      </c>
      <c r="C174" s="5" t="str">
        <f>IFERROR(__xludf.DUMMYFUNCTION("IF(A174="""","""",TEXTJOIN(CHAR(10),TRUE,FILTER('Chi tiết từng link'!$B$2:$B$2505,'Chi tiết từng link'!$D$2:$D$2505=A174)))"),"https://techcombank.com/thong-tin/blog/thue-vat-la-gi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74" s="5" t="str">
        <f t="shared" si="1"/>
        <v>Vượt giới hạn 3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20" t="str">
        <f>IFERROR(__xludf.DUMMYFUNCTION("""COMPUTED_VALUE"""),"https://techcombank.com/thong-tin/blog/mo-tai-khoan-tiet-kiem-cho-con")</f>
        <v>https://techcombank.com/thong-tin/blog/mo-tai-khoan-tiet-kiem-cho-con</v>
      </c>
      <c r="B175" s="25">
        <f>IFERROR(__xludf.DUMMYFUNCTION("""COMPUTED_VALUE"""),5.0)</f>
        <v>5</v>
      </c>
      <c r="C175" s="5" t="str">
        <f>IFERROR(__xludf.DUMMYFUNCTION("IF(A175="""","""",TEXTJOIN(CHAR(10),TRUE,FILTER('Chi tiết từng link'!$B$2:$B$2505,'Chi tiết từng link'!$D$2:$D$2505=A175)))"),"https://techcombank.com/thong-tin/blog/cach-mo-tai-khoan
https://techcombank.com/thong-tin/blog/bao-nhieu-tuoi-duoc-mo-tai-khoan-ngan-hang
https://techcombank.com/thong-tin/blog/mo-tai-khoan-ngan-hang-duoi-18-tuoi
https://techcombank.com/thong-tin/blog/so"&amp;"-tiet-kiem-ngan-hang
https://techcombank.com/cong-cu-tien-ich/cong-cu-tinh-toan/bang-tinh-lai-suat-tiet-kiem")</f>
        <v>https://techcombank.com/thong-tin/blog/cach-mo-tai-khoan
https://techcombank.com/thong-tin/blog/bao-nhieu-tuoi-duoc-mo-tai-khoan-ngan-hang
https://techcombank.com/thong-tin/blog/mo-tai-khoan-ngan-hang-duoi-18-tuoi
https://techcombank.com/thong-tin/blog/so-tiet-kiem-ngan-hang
https://techcombank.com/cong-cu-tien-ich/cong-cu-tinh-toan/bang-tinh-lai-suat-tiet-kiem</v>
      </c>
      <c r="D175" s="5" t="str">
        <f t="shared" si="1"/>
        <v>Vượt giới hạn 3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20" t="str">
        <f>IFERROR(__xludf.DUMMYFUNCTION("""COMPUTED_VALUE"""),"https://techcombank.com/thong-tin/blog/mo-the-tin-dung-co-loi-ich-gi")</f>
        <v>https://techcombank.com/thong-tin/blog/mo-the-tin-dung-co-loi-ich-gi</v>
      </c>
      <c r="B176" s="25">
        <f>IFERROR(__xludf.DUMMYFUNCTION("""COMPUTED_VALUE"""),5.0)</f>
        <v>5</v>
      </c>
      <c r="C176" s="5" t="str">
        <f>IFERROR(__xludf.DUMMYFUNCTION("IF(A176="""","""",TEXTJOIN(CHAR(10),TRUE,FILTER('Chi tiết từng link'!$B$2:$B$2505,'Chi tiết từng link'!$D$2:$D$2505=A176)))"),"https://techcombank.com/thong-tin/blog/lam-the-tin-dung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6" s="5" t="str">
        <f t="shared" si="1"/>
        <v>Vượt giới hạn 3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20" t="str">
        <f>IFERROR(__xludf.DUMMYFUNCTION("""COMPUTED_VALUE"""),"https://techcombank.com/thong-tin/blog/mua-iphone-17")</f>
        <v>https://techcombank.com/thong-tin/blog/mua-iphone-17</v>
      </c>
      <c r="B177" s="25">
        <f>IFERROR(__xludf.DUMMYFUNCTION("""COMPUTED_VALUE"""),5.0)</f>
        <v>5</v>
      </c>
      <c r="C177" s="5" t="str">
        <f>IFERROR(__xludf.DUMMYFUNCTION("IF(A177="""","""",TEXTJOIN(CHAR(10),TRUE,FILTER('Chi tiết từng link'!$B$2:$B$2505,'Chi tiết từng link'!$D$2:$D$2505=A177)))"),"https://techcombank.com/thong-tin/blog/lam-the-tin-dung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77" s="5" t="str">
        <f t="shared" si="1"/>
        <v>Vượt giới hạn 3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20" t="str">
        <f>IFERROR(__xludf.DUMMYFUNCTION("""COMPUTED_VALUE"""),"https://techcombank.com/thong-tin/blog/nen-de-tien-trong-the-hay-gui-tiet-kiem")</f>
        <v>https://techcombank.com/thong-tin/blog/nen-de-tien-trong-the-hay-gui-tiet-kiem</v>
      </c>
      <c r="B178" s="25">
        <f>IFERROR(__xludf.DUMMYFUNCTION("""COMPUTED_VALUE"""),5.0)</f>
        <v>5</v>
      </c>
      <c r="C178" s="5" t="str">
        <f>IFERROR(__xludf.DUMMYFUNCTION("IF(A178="""","""",TEXTJOIN(CHAR(10),TRUE,FILTER('Chi tiết từng link'!$B$2:$B$2505,'Chi tiết từng link'!$D$2:$D$2505=A178)))"),"https://techcombank.com/thong-tin/blog/chung-chi-tien-gui-la-gi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8" s="5" t="str">
        <f t="shared" si="1"/>
        <v>Vượt giới hạn 3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20" t="str">
        <f>IFERROR(__xludf.DUMMYFUNCTION("""COMPUTED_VALUE"""),"https://techcombank.com/thong-tin/blog/nen-gui-tiet-kiem-thong-thuong-hay-tich-luy")</f>
        <v>https://techcombank.com/thong-tin/blog/nen-gui-tiet-kiem-thong-thuong-hay-tich-luy</v>
      </c>
      <c r="B179" s="25">
        <f>IFERROR(__xludf.DUMMYFUNCTION("""COMPUTED_VALUE"""),5.0)</f>
        <v>5</v>
      </c>
      <c r="C179" s="5" t="str">
        <f>IFERROR(__xludf.DUMMYFUNCTION("IF(A179="""","""",TEXTJOIN(CHAR(10),TRUE,FILTER('Chi tiết từng link'!$B$2:$B$2505,'Chi tiết từng link'!$D$2:$D$2505=A179)))"),"https://techcombank.com/thong-tin/blog/chung-chi-tien-gui-la-gi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79" s="5" t="str">
        <f t="shared" si="1"/>
        <v>Vượt giới hạn 3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20" t="str">
        <f>IFERROR(__xludf.DUMMYFUNCTION("""COMPUTED_VALUE"""),"https://techcombank.com/thong-tin/blog/ngoai-hoi-la-gi")</f>
        <v>https://techcombank.com/thong-tin/blog/ngoai-hoi-la-gi</v>
      </c>
      <c r="B180" s="25">
        <f>IFERROR(__xludf.DUMMYFUNCTION("""COMPUTED_VALUE"""),5.0)</f>
        <v>5</v>
      </c>
      <c r="C180" s="5" t="str">
        <f>IFERROR(__xludf.DUMMYFUNCTION("IF(A180="""","""",TEXTJOIN(CHAR(10),TRUE,FILTER('Chi tiết từng link'!$B$2:$B$2505,'Chi tiết từng link'!$D$2:$D$2505=A180)))"),"https://techcombank.com/thong-tin/blog/thue-thu-nhap-doanh-nghiep
https://techcombank.com/thong-tin/blog/cach-tinh-thue-thu-nhap-doanh-nghiep
https://techcombank.com/thong-tin/blog/1-te-bang-bao-nhieu-tien-viet-nam
https://techcombank.com/thong-tin/blog/d"&amp;"oi-tien-do-o-dau
https://techcombank.com/thong-tin/blog/rui-ro-khi-gui-tiet-kiem-online")</f>
        <v>https://techcombank.com/thong-tin/blog/thue-thu-nhap-doanh-nghiep
https://techcombank.com/thong-tin/blog/cach-tinh-thue-thu-nhap-doanh-nghiep
https://techcombank.com/thong-tin/blog/1-te-bang-bao-nhieu-tien-viet-nam
https://techcombank.com/thong-tin/blog/doi-tien-do-o-dau
https://techcombank.com/thong-tin/blog/rui-ro-khi-gui-tiet-kiem-online</v>
      </c>
      <c r="D180" s="5" t="str">
        <f t="shared" si="1"/>
        <v>Vượt giới hạn 3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20" t="str">
        <f>IFERROR(__xludf.DUMMYFUNCTION("""COMPUTED_VALUE"""),"https://techcombank.com/thong-tin/blog/no-chu-y-la-gi")</f>
        <v>https://techcombank.com/thong-tin/blog/no-chu-y-la-gi</v>
      </c>
      <c r="B181" s="25">
        <f>IFERROR(__xludf.DUMMYFUNCTION("""COMPUTED_VALUE"""),5.0)</f>
        <v>5</v>
      </c>
      <c r="C181" s="5" t="str">
        <f>IFERROR(__xludf.DUMMYFUNCTION("IF(A181="""","""",TEXTJOIN(CHAR(10),TRUE,FILTER('Chi tiết từng link'!$B$2:$B$2505,'Chi tiết từng link'!$D$2:$D$2505=A181)))"),"https://techcombank.com/thong-tin/blog/cic-la-gi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1" s="5" t="str">
        <f t="shared" si="1"/>
        <v>Vượt giới hạn 3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20" t="str">
        <f>IFERROR(__xludf.DUMMYFUNCTION("""COMPUTED_VALUE"""),"https://techcombank.com/thong-tin/blog/no-xau")</f>
        <v>https://techcombank.com/thong-tin/blog/no-xau</v>
      </c>
      <c r="B182" s="25">
        <f>IFERROR(__xludf.DUMMYFUNCTION("""COMPUTED_VALUE"""),5.0)</f>
        <v>5</v>
      </c>
      <c r="C182" s="5" t="str">
        <f>IFERROR(__xludf.DUMMYFUNCTION("IF(A182="""","""",TEXTJOIN(CHAR(10),TRUE,FILTER('Chi tiết từng link'!$B$2:$B$2505,'Chi tiết từng link'!$D$2:$D$2505=A182)))"),"https://techcombank.com/thong-tin/blog/cic-la-gi
https://techcombank.com/thong-tin/blog/xep-hang-tin-dung
https://techcombank.com/thong-tin/blog/kiem-tra-no-xau
https://techcombank.com/thong-tin/blog/no-xau-la-gi
https://techcombank.com/thong-tin/blog/vay"&amp;"-tin-chap-khong-tra-duoc-co-sao-khong")</f>
        <v>https://techcombank.com/thong-tin/blog/cic-la-gi
https://techcombank.com/thong-tin/blog/xep-hang-tin-dung
https://techcombank.com/thong-tin/blog/kiem-tra-no-xau
https://techcombank.com/thong-tin/blog/no-xau-la-gi
https://techcombank.com/thong-tin/blog/vay-tin-chap-khong-tra-duoc-co-sao-khong</v>
      </c>
      <c r="D182" s="5" t="str">
        <f t="shared" si="1"/>
        <v>Vượt giới hạn 3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20" t="str">
        <f>IFERROR(__xludf.DUMMYFUNCTION("""COMPUTED_VALUE"""),"https://techcombank.com/thong-tin/blog/no-xau-la-gi")</f>
        <v>https://techcombank.com/thong-tin/blog/no-xau-la-gi</v>
      </c>
      <c r="B183" s="25">
        <f>IFERROR(__xludf.DUMMYFUNCTION("""COMPUTED_VALUE"""),5.0)</f>
        <v>5</v>
      </c>
      <c r="C183" s="5" t="str">
        <f>IFERROR(__xludf.DUMMYFUNCTION("IF(A183="""","""",TEXTJOIN(CHAR(10),TRUE,FILTER('Chi tiết từng link'!$B$2:$B$2505,'Chi tiết từng link'!$D$2:$D$2505=A183)))"),"https://techcombank.com/thong-tin/blog/cach-quet-nfc-cccd-tren-iphone
https://techcombank.com/thong-tin/blog/cic-la-gi
https://techcombank.com/thong-tin/blog/xep-hang-tin-dung
https://techcombank.com/thong-tin/blog/kiem-tra-no-xau
https://techcombank.com/"&amp;"thong-tin/blog/vay-tin-chap-khong-tra-duoc-co-sao-khong")</f>
        <v>https://techcombank.com/thong-tin/blog/cach-quet-nfc-cccd-tren-iphone
https://techcombank.com/thong-tin/blog/cic-la-gi
https://techcombank.com/thong-tin/blog/xep-hang-tin-dung
https://techcombank.com/thong-tin/blog/kiem-tra-no-xau
https://techcombank.com/thong-tin/blog/vay-tin-chap-khong-tra-duoc-co-sao-khong</v>
      </c>
      <c r="D183" s="5" t="str">
        <f t="shared" si="1"/>
        <v>Vượt giới hạn 3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20" t="str">
        <f>IFERROR(__xludf.DUMMYFUNCTION("""COMPUTED_VALUE"""),"https://techcombank.com/thong-tin/blog/phan-mem-xuat-hoa-don-dien-tu")</f>
        <v>https://techcombank.com/thong-tin/blog/phan-mem-xuat-hoa-don-dien-tu</v>
      </c>
      <c r="B184" s="25">
        <f>IFERROR(__xludf.DUMMYFUNCTION("""COMPUTED_VALUE"""),5.0)</f>
        <v>5</v>
      </c>
      <c r="C184" s="5" t="str">
        <f>IFERROR(__xludf.DUMMYFUNCTION("IF(A184="""","""",TEXTJOIN(CHAR(10),TRUE,FILTER('Chi tiết từng link'!$B$2:$B$2505,'Chi tiết từng link'!$D$2:$D$2505=A184)))"),"https://techcombank.com/thong-tin/blog/thue-vat-la-gi
https://techcombank.com/thong-tin/blog/cach-tinh-tien-dien-sinh-hoat
https://techcombank.com/thong-tin/blog/ho-kinh-doanh-dong-thue-nhu-nao
https://techcombank.com/thong-tin/blog/mo-tai-khoan-ho-kinh-d"&amp;"oanh
https://techcombank.com/thong-tin/blog/cach-tinh-thue-ho-kinh-doanh-nho-le")</f>
        <v>https://techcombank.com/thong-tin/blog/thue-vat-la-gi
https://techcombank.com/thong-tin/blog/cach-tinh-tien-dien-sinh-hoat
https://techcombank.com/thong-tin/blog/ho-kinh-doanh-dong-thue-nhu-nao
https://techcombank.com/thong-tin/blog/mo-tai-khoan-ho-kinh-doanh
https://techcombank.com/thong-tin/blog/cach-tinh-thue-ho-kinh-doanh-nho-le</v>
      </c>
      <c r="D184" s="5" t="str">
        <f t="shared" si="1"/>
        <v>Vượt giới hạn 3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20" t="str">
        <f>IFERROR(__xludf.DUMMYFUNCTION("""COMPUTED_VALUE"""),"https://techcombank.com/thong-tin/blog/quyet-toan-thue-doanh-nghiep")</f>
        <v>https://techcombank.com/thong-tin/blog/quyet-toan-thue-doanh-nghiep</v>
      </c>
      <c r="B185" s="25">
        <f>IFERROR(__xludf.DUMMYFUNCTION("""COMPUTED_VALUE"""),5.0)</f>
        <v>5</v>
      </c>
      <c r="C185" s="5" t="str">
        <f>IFERROR(__xludf.DUMMYFUNCTION("IF(A185="""","""",TEXTJOIN(CHAR(10),TRUE,FILTER('Chi tiết từng link'!$B$2:$B$2505,'Chi tiết từng link'!$D$2:$D$2505=A185)))"),"https://techcombank.com/thong-tin/blog/cach-nop-thue-dien-tu
https://techcombank.com/thong-tin/blog/thue-thu-nhap-doanh-nghiep
https://techcombank.com/thong-tin/blog/tra-cuu-no-thue-doanh-nghiep
https://techcombank.com/thong-tin/blog/thue-doanh-nghiep
htt"&amp;"ps://techcombank.com/thong-tin/blog/ho-kinh-doanh-dong-thue-nhu-nao")</f>
        <v>https://techcombank.com/thong-tin/blog/cach-nop-thue-dien-tu
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185" s="5" t="str">
        <f t="shared" si="1"/>
        <v>Vượt giới hạn 3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20" t="str">
        <f>IFERROR(__xludf.DUMMYFUNCTION("""COMPUTED_VALUE"""),"https://techcombank.com/thong-tin/blog/rui-ro-khi-gui-tiet-kiem-online")</f>
        <v>https://techcombank.com/thong-tin/blog/rui-ro-khi-gui-tiet-kiem-online</v>
      </c>
      <c r="B186" s="25">
        <f>IFERROR(__xludf.DUMMYFUNCTION("""COMPUTED_VALUE"""),5.0)</f>
        <v>5</v>
      </c>
      <c r="C186" s="5" t="str">
        <f>IFERROR(__xludf.DUMMYFUNCTION("IF(A186="""","""",TEXTJOIN(CHAR(10),TRUE,FILTER('Chi tiết từng link'!$B$2:$B$2505,'Chi tiết từng link'!$D$2:$D$2505=A186)))"),"https://techcombank.com/thong-tin/blog/chung-chi-tien-gui-la-gi
https://techcombank.com/thong-tin/blog/lai-suat-tiet-kiem
https://techcombank.com/thong-tin/blog/cach-tinh-lai-suat-tien-gui-tiet-kiem
https://techcombank.com/thong-tin/blog/so-tiet-kiem-ngan"&amp;"-hang
https://techcombank.com/cong-cu-tien-ich/cong-cu-tinh-toan/bang-tinh-lai-suat-tiet-kiem")</f>
        <v>https://techcombank.com/thong-tin/blog/chung-chi-tien-gui-la-gi
https://techcombank.com/thong-tin/blog/lai-suat-tiet-kiem
https://techcombank.com/thong-tin/blog/cach-tinh-lai-suat-tien-gui-tiet-kiem
https://techcombank.com/thong-tin/blog/so-tiet-kiem-ngan-hang
https://techcombank.com/cong-cu-tien-ich/cong-cu-tinh-toan/bang-tinh-lai-suat-tiet-kiem</v>
      </c>
      <c r="D186" s="5" t="str">
        <f t="shared" si="1"/>
        <v>Vượt giới hạn 3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20" t="str">
        <f>IFERROR(__xludf.DUMMYFUNCTION("""COMPUTED_VALUE"""),"https://techcombank.com/thong-tin/blog/rut-tien-bao-hiem-nhan-tho-khi-het-han")</f>
        <v>https://techcombank.com/thong-tin/blog/rut-tien-bao-hiem-nhan-tho-khi-het-han</v>
      </c>
      <c r="B187" s="25">
        <f>IFERROR(__xludf.DUMMYFUNCTION("""COMPUTED_VALUE"""),5.0)</f>
        <v>5</v>
      </c>
      <c r="C187" s="5" t="str">
        <f>IFERROR(__xludf.DUMMYFUNCTION("IF(A187="""","""",TEXTJOIN(CHAR(10),TRUE,FILTER('Chi tiết từng link'!$B$2:$B$2505,'Chi tiết từng link'!$D$2:$D$2505=A187)))"),"https://techcombank.com/thong-tin/blog/rut-tien-bang-ma-qr-la-gi-cach-thuc-hien-nhu-the-nao
https://techcombank.com/thong-tin/blog/rut-tien-mat-tu-the-tin-dung
https://techcombank.com/thong-tin/blog/rut-tien-tiet-kiem-truoc-thoi-han
https://techcombank.co"&amp;"m/cong-cu-tien-ich/cong-cu-tinh-toan/bang-tinh-lai-suat-tiet-kiem
https://techcombank.com/thong-tin/blog/phuong-phap-dau-tu-chung-chi-quy")</f>
        <v>https://techcombank.com/thong-tin/blog/rut-tien-bang-ma-qr-la-gi-cach-thuc-hien-nhu-the-nao
https://techcombank.com/thong-tin/blog/rut-tien-mat-tu-the-tin-dung
https://techcombank.com/thong-tin/blog/rut-tien-tiet-kiem-truoc-thoi-han
https://techcombank.com/cong-cu-tien-ich/cong-cu-tinh-toan/bang-tinh-lai-suat-tiet-kiem
https://techcombank.com/thong-tin/blog/phuong-phap-dau-tu-chung-chi-quy</v>
      </c>
      <c r="D187" s="5" t="str">
        <f t="shared" si="1"/>
        <v>Vượt giới hạn 3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20" t="str">
        <f>IFERROR(__xludf.DUMMYFUNCTION("""COMPUTED_VALUE"""),"https://techcombank.com/thong-tin/blog/sang-ngang-the-tin-dung")</f>
        <v>https://techcombank.com/thong-tin/blog/sang-ngang-the-tin-dung</v>
      </c>
      <c r="B188" s="25">
        <f>IFERROR(__xludf.DUMMYFUNCTION("""COMPUTED_VALUE"""),5.0)</f>
        <v>5</v>
      </c>
      <c r="C188" s="5" t="str">
        <f>IFERROR(__xludf.DUMMYFUNCTION("IF(A188="""","""",TEXTJOIN(CHAR(10),TRUE,FILTER('Chi tiết từng link'!$B$2:$B$2505,'Chi tiết từng link'!$D$2:$D$2505=A188)))"),"https://techcombank.com/thong-tin/blog/lam-the-tin-dung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8" s="5" t="str">
        <f t="shared" si="1"/>
        <v>Vượt giới hạn 3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20" t="str">
        <f>IFERROR(__xludf.DUMMYFUNCTION("""COMPUTED_VALUE"""),"https://techcombank.com/thong-tin/blog/so-cvv-la-gi")</f>
        <v>https://techcombank.com/thong-tin/blog/so-cvv-la-gi</v>
      </c>
      <c r="B189" s="25">
        <f>IFERROR(__xludf.DUMMYFUNCTION("""COMPUTED_VALUE"""),5.0)</f>
        <v>5</v>
      </c>
      <c r="C189" s="5" t="str">
        <f>IFERROR(__xludf.DUMMYFUNCTION("IF(A189="""","""",TEXTJOIN(CHAR(10),TRUE,FILTER('Chi tiết từng link'!$B$2:$B$2505,'Chi tiết từng link'!$D$2:$D$2505=A189)))"),"https://techcombank.com/thong-tin/blog/lam-the-tin-dung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89" s="5" t="str">
        <f t="shared" si="1"/>
        <v>Vượt giới hạn 3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20" t="str">
        <f>IFERROR(__xludf.DUMMYFUNCTION("""COMPUTED_VALUE"""),"https://techcombank.com/thong-tin/blog/so-luong-the-tin-dung-noi-dia-dang-luu-hanh-da-tang-42-so-voi-cung-ky-nam-2022")</f>
        <v>https://techcombank.com/thong-tin/blog/so-luong-the-tin-dung-noi-dia-dang-luu-hanh-da-tang-42-so-voi-cung-ky-nam-2022</v>
      </c>
      <c r="B190" s="25">
        <f>IFERROR(__xludf.DUMMYFUNCTION("""COMPUTED_VALUE"""),5.0)</f>
        <v>5</v>
      </c>
      <c r="C190" s="5" t="str">
        <f>IFERROR(__xludf.DUMMYFUNCTION("IF(A190="""","""",TEXTJOIN(CHAR(10),TRUE,FILTER('Chi tiết từng link'!$B$2:$B$2505,'Chi tiết từng link'!$D$2:$D$2505=A190)))"),"https://techcombank.com/thong-tin/blog/lam-the-tin-dung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0" s="5" t="str">
        <f t="shared" si="1"/>
        <v>Vượt giới hạn 3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20" t="str">
        <f>IFERROR(__xludf.DUMMYFUNCTION("""COMPUTED_VALUE"""),"https://techcombank.com/thong-tin/blog/so-the-tin-dung")</f>
        <v>https://techcombank.com/thong-tin/blog/so-the-tin-dung</v>
      </c>
      <c r="B191" s="25">
        <f>IFERROR(__xludf.DUMMYFUNCTION("""COMPUTED_VALUE"""),5.0)</f>
        <v>5</v>
      </c>
      <c r="C191" s="5" t="str">
        <f>IFERROR(__xludf.DUMMYFUNCTION("IF(A191="""","""",TEXTJOIN(CHAR(10),TRUE,FILTER('Chi tiết từng link'!$B$2:$B$2505,'Chi tiết từng link'!$D$2:$D$2505=A191)))"),"https://techcombank.com/thong-tin/blog/lam-the-tin-dung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1" s="5" t="str">
        <f t="shared" si="1"/>
        <v>Vượt giới hạn 3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20" t="str">
        <f>IFERROR(__xludf.DUMMYFUNCTION("""COMPUTED_VALUE"""),"https://techcombank.com/thong-tin/blog/tat-toan-chung-chi-tien-gui")</f>
        <v>https://techcombank.com/thong-tin/blog/tat-toan-chung-chi-tien-gui</v>
      </c>
      <c r="B192" s="25">
        <f>IFERROR(__xludf.DUMMYFUNCTION("""COMPUTED_VALUE"""),5.0)</f>
        <v>5</v>
      </c>
      <c r="C192" s="5" t="str">
        <f>IFERROR(__xludf.DUMMYFUNCTION("IF(A192="""","""",TEXTJOIN(CHAR(10),TRUE,FILTER('Chi tiết từng link'!$B$2:$B$2505,'Chi tiết từng link'!$D$2:$D$2505=A192)))"),"https://techcombank.com/thong-tin/blog/chung-chi-tien-gui-la-gi
https://techcombank.com/thong-tin/blog/lai-suat-chung-chi-tien-gui-cac-ngan-hang
https://techcombank.com/thong-tin/blog/ho-so-thu-tuc-xoa-the-chap
https://techcombank.com/thong-tin/blog/rut-t"&amp;"ien-tiet-kiem-truoc-thoi-han
https://techcombank.com/thong-tin/blog/phuong-phap-dau-tu-chung-chi-quy")</f>
        <v>https://techcombank.com/thong-tin/blog/chung-chi-tien-gui-la-gi
https://techcombank.com/thong-tin/blog/lai-suat-chung-chi-tien-gui-cac-ngan-hang
https://techcombank.com/thong-tin/blog/ho-so-thu-tuc-xoa-the-chap
https://techcombank.com/thong-tin/blog/rut-tien-tiet-kiem-truoc-thoi-han
https://techcombank.com/thong-tin/blog/phuong-phap-dau-tu-chung-chi-quy</v>
      </c>
      <c r="D192" s="5" t="str">
        <f t="shared" si="1"/>
        <v>Vượt giới hạn 3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20" t="str">
        <f>IFERROR(__xludf.DUMMYFUNCTION("""COMPUTED_VALUE"""),"https://techcombank.com/thong-tin/blog/thanh-toan-bang-the-quoc-te")</f>
        <v>https://techcombank.com/thong-tin/blog/thanh-toan-bang-the-quoc-te</v>
      </c>
      <c r="B193" s="25">
        <f>IFERROR(__xludf.DUMMYFUNCTION("""COMPUTED_VALUE"""),5.0)</f>
        <v>5</v>
      </c>
      <c r="C193" s="5" t="str">
        <f>IFERROR(__xludf.DUMMYFUNCTION("IF(A193="""","""",TEXTJOIN(CHAR(10),TRUE,FILTER('Chi tiết từng link'!$B$2:$B$2505,'Chi tiết từng link'!$D$2:$D$2505=A193)))"),"https://techcombank.com/thong-tin/blog/cach-sao-ke-tai-khoan-ngan-hang
https://techcombank.com/thong-tin/blog/tien-thai-lan
https://techcombank.com/thong-tin/blog/cach-nhan-tien-tu-nuoc-ngoai-ve-viet-nam
https://techcombank.com/thong-tin/blog/traveloka-vo"&amp;"ucher
https://techcombank.com/thong-tin/blog/cach-tiet-kiem-tien")</f>
        <v>https://techcombank.com/thong-tin/blog/cach-sao-ke-tai-khoan-ngan-hang
https://techcombank.com/thong-tin/blog/tien-thai-lan
https://techcombank.com/thong-tin/blog/cach-nhan-tien-tu-nuoc-ngoai-ve-viet-nam
https://techcombank.com/thong-tin/blog/traveloka-voucher
https://techcombank.com/thong-tin/blog/cach-tiet-kiem-tien</v>
      </c>
      <c r="D193" s="5" t="str">
        <f t="shared" si="1"/>
        <v>Vượt giới hạn 3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20" t="str">
        <f>IFERROR(__xludf.DUMMYFUNCTION("""COMPUTED_VALUE"""),"https://techcombank.com/thong-tin/blog/thanh-toan-khi-du-lich-han-quoc")</f>
        <v>https://techcombank.com/thong-tin/blog/thanh-toan-khi-du-lich-han-quoc</v>
      </c>
      <c r="B194" s="25">
        <f>IFERROR(__xludf.DUMMYFUNCTION("""COMPUTED_VALUE"""),5.0)</f>
        <v>5</v>
      </c>
      <c r="C194" s="5" t="str">
        <f>IFERROR(__xludf.DUMMYFUNCTION("IF(A194="""","""",TEXTJOIN(CHAR(10),TRUE,FILTER('Chi tiết từng link'!$B$2:$B$2505,'Chi tiết từng link'!$D$2:$D$2505=A194)))"),"https://techcombank.com/thong-tin/blog/cach-sao-ke-tai-khoan-ngan-hang
https://techcombank.com/thong-tin/blog/1-won-bang-bao-nhieu-tien-viet
https://techcombank.com/thong-tin/blog/1000-won-bang-bao-nhieu-tien-viet
https://techcombank.com/thong-tin/blog/tr"&amp;"aveloka-voucher
https://techcombank.com/thong-tin/blog/cach-tiet-kiem-tien")</f>
        <v>https://techcombank.com/thong-tin/blog/cach-sao-ke-tai-khoan-ngan-hang
https://techcombank.com/thong-tin/blog/1-won-bang-bao-nhieu-tien-viet
https://techcombank.com/thong-tin/blog/1000-won-bang-bao-nhieu-tien-viet
https://techcombank.com/thong-tin/blog/traveloka-voucher
https://techcombank.com/thong-tin/blog/cach-tiet-kiem-tien</v>
      </c>
      <c r="D194" s="5" t="str">
        <f t="shared" si="1"/>
        <v>Vượt giới hạn 3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20" t="str">
        <f>IFERROR(__xludf.DUMMYFUNCTION("""COMPUTED_VALUE"""),"https://techcombank.com/thong-tin/blog/thanh-toan-online-bang-the-tin-dung")</f>
        <v>https://techcombank.com/thong-tin/blog/thanh-toan-online-bang-the-tin-dung</v>
      </c>
      <c r="B195" s="25">
        <f>IFERROR(__xludf.DUMMYFUNCTION("""COMPUTED_VALUE"""),5.0)</f>
        <v>5</v>
      </c>
      <c r="C195" s="5" t="str">
        <f>IFERROR(__xludf.DUMMYFUNCTION("IF(A195="""","""",TEXTJOIN(CHAR(10),TRUE,FILTER('Chi tiết từng link'!$B$2:$B$2505,'Chi tiết từng link'!$D$2:$D$2505=A195)))"),"https://techcombank.com/thong-tin/blog/lam-the-tin-dung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5" s="5" t="str">
        <f t="shared" si="1"/>
        <v>Vượt giới hạn 3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20" t="str">
        <f>IFERROR(__xludf.DUMMYFUNCTION("""COMPUTED_VALUE"""),"https://techcombank.com/thong-tin/blog/the-debit-cho-con")</f>
        <v>https://techcombank.com/thong-tin/blog/the-debit-cho-con</v>
      </c>
      <c r="B196" s="25">
        <f>IFERROR(__xludf.DUMMYFUNCTION("""COMPUTED_VALUE"""),5.0)</f>
        <v>5</v>
      </c>
      <c r="C196" s="5" t="str">
        <f>IFERROR(__xludf.DUMMYFUNCTION("IF(A196="""","""",TEXTJOIN(CHAR(10),TRUE,FILTER('Chi tiết từng link'!$B$2:$B$2505,'Chi tiết từng link'!$D$2:$D$2505=A196)))"),"https://techcombank.com/thong-tin/blog/bao-nhieu-tuoi-duoc-mo-tai-khoan-ngan-hang
https://techcombank.com/thong-tin/blog/mo-tai-khoan-ngan-hang-duoi-18-tuoi
https://techcombank.com/thong-tin/blog/cach-sao-ke-tai-khoan-ngan-hang
https://techcombank.com/tho"&amp;"ng-tin/blog/lam-the-tin-dung
https://techcombank.com/thong-tin/blog/cach-tiet-kiem-tien")</f>
        <v>https://techcombank.com/thong-tin/blog/bao-nhieu-tuoi-duoc-mo-tai-khoan-ngan-hang
https://techcombank.com/thong-tin/blog/mo-tai-khoan-ngan-hang-duoi-18-tuoi
https://techcombank.com/thong-tin/blog/cach-sao-ke-tai-khoan-ngan-hang
https://techcombank.com/thong-tin/blog/lam-the-tin-dung
https://techcombank.com/thong-tin/blog/cach-tiet-kiem-tien</v>
      </c>
      <c r="D196" s="5" t="str">
        <f t="shared" si="1"/>
        <v>Vượt giới hạn 3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20" t="str">
        <f>IFERROR(__xludf.DUMMYFUNCTION("""COMPUTED_VALUE"""),"https://techcombank.com/thong-tin/blog/the-tin-dung-ao")</f>
        <v>https://techcombank.com/thong-tin/blog/the-tin-dung-ao</v>
      </c>
      <c r="B197" s="25">
        <f>IFERROR(__xludf.DUMMYFUNCTION("""COMPUTED_VALUE"""),5.0)</f>
        <v>5</v>
      </c>
      <c r="C197" s="5" t="str">
        <f>IFERROR(__xludf.DUMMYFUNCTION("IF(A197="""","""",TEXTJOIN(CHAR(10),TRUE,FILTER('Chi tiết từng link'!$B$2:$B$2505,'Chi tiết từng link'!$D$2:$D$2505=A197)))"),"https://techcombank.com/thong-tin/blog/lam-the-tin-dung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7" s="5" t="str">
        <f t="shared" si="1"/>
        <v>Vượt giới hạn 3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20" t="str">
        <f>IFERROR(__xludf.DUMMYFUNCTION("""COMPUTED_VALUE"""),"https://techcombank.com/thong-tin/blog/the-tin-dung-co-ma-pin-khong")</f>
        <v>https://techcombank.com/thong-tin/blog/the-tin-dung-co-ma-pin-khong</v>
      </c>
      <c r="B198" s="25">
        <f>IFERROR(__xludf.DUMMYFUNCTION("""COMPUTED_VALUE"""),5.0)</f>
        <v>5</v>
      </c>
      <c r="C198" s="5" t="str">
        <f>IFERROR(__xludf.DUMMYFUNCTION("IF(A198="""","""",TEXTJOIN(CHAR(10),TRUE,FILTER('Chi tiết từng link'!$B$2:$B$2505,'Chi tiết từng link'!$D$2:$D$2505=A198)))"),"https://techcombank.com/thong-tin/blog/lam-the-tin-dung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8" s="5" t="str">
        <f t="shared" si="1"/>
        <v>Vượt giới hạn 3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20" t="str">
        <f>IFERROR(__xludf.DUMMYFUNCTION("""COMPUTED_VALUE"""),"https://techcombank.com/thong-tin/blog/the-tin-dung-den")</f>
        <v>https://techcombank.com/thong-tin/blog/the-tin-dung-den</v>
      </c>
      <c r="B199" s="25">
        <f>IFERROR(__xludf.DUMMYFUNCTION("""COMPUTED_VALUE"""),5.0)</f>
        <v>5</v>
      </c>
      <c r="C199" s="5" t="str">
        <f>IFERROR(__xludf.DUMMYFUNCTION("IF(A199="""","""",TEXTJOIN(CHAR(10),TRUE,FILTER('Chi tiết từng link'!$B$2:$B$2505,'Chi tiết từng link'!$D$2:$D$2505=A199)))"),"https://techcombank.com/thong-tin/blog/lam-the-tin-dung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199" s="5" t="str">
        <f t="shared" si="1"/>
        <v>Vượt giới hạn 3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20" t="str">
        <f>IFERROR(__xludf.DUMMYFUNCTION("""COMPUTED_VALUE"""),"https://techcombank.com/thong-tin/blog/the-tin-dung-het-han")</f>
        <v>https://techcombank.com/thong-tin/blog/the-tin-dung-het-han</v>
      </c>
      <c r="B200" s="25">
        <f>IFERROR(__xludf.DUMMYFUNCTION("""COMPUTED_VALUE"""),5.0)</f>
        <v>5</v>
      </c>
      <c r="C200" s="5" t="str">
        <f>IFERROR(__xludf.DUMMYFUNCTION("IF(A200="""","""",TEXTJOIN(CHAR(10),TRUE,FILTER('Chi tiết từng link'!$B$2:$B$2505,'Chi tiết từng link'!$D$2:$D$2505=A200)))"),"https://techcombank.com/thong-tin/blog/lam-the-tin-dung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0" s="5" t="str">
        <f t="shared" si="1"/>
        <v>Vượt giới hạn 3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20" t="str">
        <f>IFERROR(__xludf.DUMMYFUNCTION("""COMPUTED_VALUE"""),"https://techcombank.com/thong-tin/blog/the-tin-dung-mien-phi-thuong-nien")</f>
        <v>https://techcombank.com/thong-tin/blog/the-tin-dung-mien-phi-thuong-nien</v>
      </c>
      <c r="B201" s="25">
        <f>IFERROR(__xludf.DUMMYFUNCTION("""COMPUTED_VALUE"""),5.0)</f>
        <v>5</v>
      </c>
      <c r="C201" s="5" t="str">
        <f>IFERROR(__xludf.DUMMYFUNCTION("IF(A201="""","""",TEXTJOIN(CHAR(10),TRUE,FILTER('Chi tiết từng link'!$B$2:$B$2505,'Chi tiết từng link'!$D$2:$D$2505=A201)))"),"https://techcombank.com/thong-tin/blog/lam-the-tin-dung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1" s="5" t="str">
        <f t="shared" si="1"/>
        <v>Vượt giới hạn 3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20" t="str">
        <f>IFERROR(__xludf.DUMMYFUNCTION("""COMPUTED_VALUE"""),"https://techcombank.com/thong-tin/blog/the-tin-dung-nao-nhieu-uu-dai-nhat")</f>
        <v>https://techcombank.com/thong-tin/blog/the-tin-dung-nao-nhieu-uu-dai-nhat</v>
      </c>
      <c r="B202" s="25">
        <f>IFERROR(__xludf.DUMMYFUNCTION("""COMPUTED_VALUE"""),5.0)</f>
        <v>5</v>
      </c>
      <c r="C202" s="5" t="str">
        <f>IFERROR(__xludf.DUMMYFUNCTION("IF(A202="""","""",TEXTJOIN(CHAR(10),TRUE,FILTER('Chi tiết từng link'!$B$2:$B$2505,'Chi tiết từng link'!$D$2:$D$2505=A202)))"),"https://techcombank.com/thong-tin/blog/lam-the-tin-dung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02" s="5" t="str">
        <f t="shared" si="1"/>
        <v>Vượt giới hạn 3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20" t="str">
        <f>IFERROR(__xludf.DUMMYFUNCTION("""COMPUTED_VALUE"""),"https://techcombank.com/thong-tin/blog/thue-doanh-nghiep")</f>
        <v>https://techcombank.com/thong-tin/blog/thue-doanh-nghiep</v>
      </c>
      <c r="B203" s="25">
        <f>IFERROR(__xludf.DUMMYFUNCTION("""COMPUTED_VALUE"""),5.0)</f>
        <v>5</v>
      </c>
      <c r="C203" s="5" t="str">
        <f>IFERROR(__xludf.DUMMYFUNCTION("IF(A203="""","""",TEXTJOIN(CHAR(10),TRUE,FILTER('Chi tiết từng link'!$B$2:$B$2505,'Chi tiết từng link'!$D$2:$D$2505=A203)))"),"https://techcombank.com/thong-tin/blog/thue-thu-nhap-doanh-nghiep
https://techcombank.com/thong-tin/blog/thue-vat-la-gi
https://techcombank.com/thong-tin/blog/tra-cuu-no-thue-doanh-nghiep
https://techcombank.com/thong-tin/blog/cach-tinh-thue-thu-nhap-doan"&amp;"h-nghiep
https://techcombank.com/thong-tin/blog/ho-kinh-doanh-dong-thue-nhu-nao")</f>
        <v>https://techcombank.com/thong-tin/blog/thue-thu-nhap-doanh-nghiep
https://techcombank.com/thong-tin/blog/thue-vat-la-gi
https://techcombank.com/thong-tin/blog/tra-cuu-no-thue-doanh-nghiep
https://techcombank.com/thong-tin/blog/cach-tinh-thue-thu-nhap-doanh-nghiep
https://techcombank.com/thong-tin/blog/ho-kinh-doanh-dong-thue-nhu-nao</v>
      </c>
      <c r="D203" s="5" t="str">
        <f t="shared" si="1"/>
        <v>Vượt giới hạn 3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20" t="str">
        <f>IFERROR(__xludf.DUMMYFUNCTION("""COMPUTED_VALUE"""),"https://techcombank.com/thong-tin/blog/thue-phi-co-dinh-khi-chuyen-doi-tu-ho-kinh-doanh-len-doanh-nghiep")</f>
        <v>https://techcombank.com/thong-tin/blog/thue-phi-co-dinh-khi-chuyen-doi-tu-ho-kinh-doanh-len-doanh-nghiep</v>
      </c>
      <c r="B204" s="25">
        <f>IFERROR(__xludf.DUMMYFUNCTION("""COMPUTED_VALUE"""),5.0)</f>
        <v>5</v>
      </c>
      <c r="C204" s="5" t="str">
        <f>IFERROR(__xludf.DUMMYFUNCTION("IF(A204="""","""",TEXTJOIN(CHAR(10),TRUE,FILTER('Chi tiết từng link'!$B$2:$B$2505,'Chi tiết từng link'!$D$2:$D$2505=A204)))"),"https://techcombank.com/thong-tin/blog/thue-doanh-nghiep
https://techcombank.com/thong-tin/blog/ho-kinh-doanh-dong-thue-nhu-nao
https://techcombank.com/thong-tin/blog/mo-tai-khoan-ho-kinh-doanh
https://techcombank.com/thong-tin/blog/cach-tinh-thue-ho-kinh"&amp;"-doanh-nho-le
https://techcombank.com/thong-tin/blog/cach-tiet-kiem-tien")</f>
        <v>https://techcombank.com/thong-tin/blog/thue-doanh-nghiep
https://techcombank.com/thong-tin/blog/ho-kinh-doanh-dong-thue-nhu-nao
https://techcombank.com/thong-tin/blog/mo-tai-khoan-ho-kinh-doanh
https://techcombank.com/thong-tin/blog/cach-tinh-thue-ho-kinh-doanh-nho-le
https://techcombank.com/thong-tin/blog/cach-tiet-kiem-tien</v>
      </c>
      <c r="D204" s="5" t="str">
        <f t="shared" si="1"/>
        <v>Vượt giới hạn 3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20" t="str">
        <f>IFERROR(__xludf.DUMMYFUNCTION("""COMPUTED_VALUE"""),"https://techcombank.com/thong-tin/blog/tiet-kiem-khi-di-du-lich")</f>
        <v>https://techcombank.com/thong-tin/blog/tiet-kiem-khi-di-du-lich</v>
      </c>
      <c r="B205" s="25">
        <f>IFERROR(__xludf.DUMMYFUNCTION("""COMPUTED_VALUE"""),5.0)</f>
        <v>5</v>
      </c>
      <c r="C205" s="5" t="str">
        <f>IFERROR(__xludf.DUMMYFUNCTION("IF(A205="""","""",TEXTJOIN(CHAR(10),TRUE,FILTER('Chi tiết từng link'!$B$2:$B$2505,'Chi tiết từng link'!$D$2:$D$2505=A205)))"),"https://techcombank.com/thong-tin/blog/cach-sao-ke-tai-khoan-ngan-hang
https://techcombank.com/khach-hang-ca-nhan/chi-tieu/the/the-tin-dung/techcombank-everyday
https://techcombank.com/thong-tin/blog/the-tin-dung-hoan-tien
https://techcombank.com/thong-ti"&amp;"n/blog/traveloka-voucher
https://techcombank.com/thong-tin/blog/cach-tiet-kiem-tien")</f>
        <v>https://techcombank.com/thong-tin/blog/cach-sao-ke-tai-khoan-ngan-hang
https://techcombank.com/khach-hang-ca-nhan/chi-tieu/the/the-tin-dung/techcombank-everyday
https://techcombank.com/thong-tin/blog/the-tin-dung-hoan-tien
https://techcombank.com/thong-tin/blog/traveloka-voucher
https://techcombank.com/thong-tin/blog/cach-tiet-kiem-tien</v>
      </c>
      <c r="D205" s="5" t="str">
        <f t="shared" si="1"/>
        <v>Vượt giới hạn 3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20" t="str">
        <f>IFERROR(__xludf.DUMMYFUNCTION("""COMPUTED_VALUE"""),"https://techcombank.com/thong-tin/blog/tra-cuu-ma-so-thue-ho-kinh-doanh")</f>
        <v>https://techcombank.com/thong-tin/blog/tra-cuu-ma-so-thue-ho-kinh-doanh</v>
      </c>
      <c r="B206" s="25">
        <f>IFERROR(__xludf.DUMMYFUNCTION("""COMPUTED_VALUE"""),5.0)</f>
        <v>5</v>
      </c>
      <c r="C206" s="5" t="str">
        <f>IFERROR(__xludf.DUMMYFUNCTION("IF(A206="""","""",TEXTJOIN(CHAR(10),TRUE,FILTER('Chi tiết từng link'!$B$2:$B$2505,'Chi tiết từng link'!$D$2:$D$2505=A206)))"),"https://techcombank.com/thong-tin/blog/cach-quet-nfc-cccd-tren-iphone
https://techcombank.com/thong-tin/blog/ho-kinh-doanh-dong-thue-nhu-nao
https://techcombank.com/thong-tin/blog/mo-hinh-kinh-doanh-la-gi
https://techcombank.com/thong-tin/blog/mo-tai-khoa"&amp;"n-ho-kinh-doanh
https://techcombank.com/thong-tin/blog/cach-tinh-thue-ho-kinh-doanh-nho-le")</f>
        <v>https://techcombank.com/thong-tin/blog/cach-quet-nfc-cccd-tren-iphone
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06" s="5" t="str">
        <f t="shared" si="1"/>
        <v>Vượt giới hạn 3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20" t="str">
        <f>IFERROR(__xludf.DUMMYFUNCTION("""COMPUTED_VALUE"""),"https://techcombank.com/thong-tin/blog/tra-cuu-no-thue-hai-quan")</f>
        <v>https://techcombank.com/thong-tin/blog/tra-cuu-no-thue-hai-quan</v>
      </c>
      <c r="B207" s="25">
        <f>IFERROR(__xludf.DUMMYFUNCTION("""COMPUTED_VALUE"""),5.0)</f>
        <v>5</v>
      </c>
      <c r="C207" s="5" t="str">
        <f>IFERROR(__xludf.DUMMYFUNCTION("IF(A207="""","""",TEXTJOIN(CHAR(10),TRUE,FILTER('Chi tiết từng link'!$B$2:$B$2505,'Chi tiết từng link'!$D$2:$D$2505=A207)))"),"https://techcombank.com/thong-tin/blog/nop-thue-dat-qua-ngan-hang
https://techcombank.com/thong-tin/blog/cach-nop-thue-dien-tu
https://techcombank.com/thong-tin/blog/tra-cuu-no-thue-doanh-nghiep
https://techcombank.com/thong-tin/blog/kiem-tra-thue-thu-nha"&amp;"p-ca-nhan
https://techcombank.com/thong-tin/blog/ho-kinh-doanh-dong-thue-nhu-nao")</f>
        <v>https://techcombank.com/thong-tin/blog/nop-thue-dat-qua-ngan-hang
https://techcombank.com/thong-tin/blog/cach-nop-thue-dien-tu
https://techcombank.com/thong-tin/blog/tra-cuu-no-thue-doanh-nghiep
https://techcombank.com/thong-tin/blog/kiem-tra-thue-thu-nhap-ca-nhan
https://techcombank.com/thong-tin/blog/ho-kinh-doanh-dong-thue-nhu-nao</v>
      </c>
      <c r="D207" s="5" t="str">
        <f t="shared" si="1"/>
        <v>Vượt giới hạn 3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20" t="str">
        <f>IFERROR(__xludf.DUMMYFUNCTION("""COMPUTED_VALUE"""),"https://techcombank.com/thong-tin/blog/truy-thu-thue-ho-kinh-doanh")</f>
        <v>https://techcombank.com/thong-tin/blog/truy-thu-thue-ho-kinh-doanh</v>
      </c>
      <c r="B208" s="25">
        <f>IFERROR(__xludf.DUMMYFUNCTION("""COMPUTED_VALUE"""),5.0)</f>
        <v>5</v>
      </c>
      <c r="C208" s="5" t="str">
        <f>IFERROR(__xludf.DUMMYFUNCTION("IF(A208="""","""",TEXTJOIN(CHAR(10),TRUE,FILTER('Chi tiết từng link'!$B$2:$B$2505,'Chi tiết từng link'!$D$2:$D$2505=A208)))"),"https://techcombank.com/thong-tin/blog/nop-thue-dat-qua-ngan-hang
https://techcombank.com/thong-tin/blog/cach-nop-thue-dien-tu
https://techcombank.com/thong-tin/blog/ho-kinh-doanh-dong-thue-nhu-nao
https://techcombank.com/thong-tin/blog/mo-tai-khoan-ho-ki"&amp;"nh-doanh
https://techcombank.com/thong-tin/blog/cach-tinh-thue-ho-kinh-doanh-nho-le")</f>
        <v>https://techcombank.com/thong-tin/blog/nop-thue-dat-qua-ngan-hang
https://techcombank.com/thong-tin/blog/cach-nop-thue-dien-tu
https://techcombank.com/thong-tin/blog/ho-kinh-doanh-dong-thue-nhu-nao
https://techcombank.com/thong-tin/blog/mo-tai-khoan-ho-kinh-doanh
https://techcombank.com/thong-tin/blog/cach-tinh-thue-ho-kinh-doanh-nho-le</v>
      </c>
      <c r="D208" s="5" t="str">
        <f t="shared" si="1"/>
        <v>Vượt giới hạn 3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20" t="str">
        <f>IFERROR(__xludf.DUMMYFUNCTION("""COMPUTED_VALUE"""),"https://techcombank.com/thong-tin/blog/ty-gia-cac-ngan-hang")</f>
        <v>https://techcombank.com/thong-tin/blog/ty-gia-cac-ngan-hang</v>
      </c>
      <c r="B209" s="25">
        <f>IFERROR(__xludf.DUMMYFUNCTION("""COMPUTED_VALUE"""),5.0)</f>
        <v>5</v>
      </c>
      <c r="C209" s="5" t="str">
        <f>IFERROR(__xludf.DUMMYFUNCTION("IF(A209="""","""",TEXTJOIN(CHAR(10),TRUE,FILTER('Chi tiết từng link'!$B$2:$B$2505,'Chi tiết từng link'!$D$2:$D$2505=A209)))"),"https://techcombank.com/thong-tin/blog/ngan-hang-uy-tin
https://techcombank.com/thong-tin/blog/1-te-bang-bao-nhieu-tien-viet-nam
https://techcombank.com/thong-tin/blog/1-won-bang-bao-nhieu-tien-viet
https://techcombank.com/thong-tin/blog/tien-dai-loan
htt"&amp;"ps://techcombank.com/thong-tin/blog/doi-tien-do-o-dau")</f>
        <v>https://techcombank.com/thong-tin/blog/ngan-hang-uy-tin
https://techcombank.com/thong-tin/blog/1-te-bang-bao-nhieu-tien-viet-nam
https://techcombank.com/thong-tin/blog/1-won-bang-bao-nhieu-tien-viet
https://techcombank.com/thong-tin/blog/tien-dai-loan
https://techcombank.com/thong-tin/blog/doi-tien-do-o-dau</v>
      </c>
      <c r="D209" s="5" t="str">
        <f t="shared" si="1"/>
        <v>Vượt giới hạn 3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20" t="str">
        <f>IFERROR(__xludf.DUMMYFUNCTION("""COMPUTED_VALUE"""),"https://techcombank.com/thong-tin/blog/uu-dai-mua-iphone-18")</f>
        <v>https://techcombank.com/thong-tin/blog/uu-dai-mua-iphone-18</v>
      </c>
      <c r="B210" s="25">
        <f>IFERROR(__xludf.DUMMYFUNCTION("""COMPUTED_VALUE"""),5.0)</f>
        <v>5</v>
      </c>
      <c r="C210" s="5" t="str">
        <f>IFERROR(__xludf.DUMMYFUNCTION("IF(A210="""","""",TEXTJOIN(CHAR(10),TRUE,FILTER('Chi tiết từng link'!$B$2:$B$2505,'Chi tiết từng link'!$D$2:$D$2505=A210)))"),"https://techcombank.com/thong-tin/blog/lam-the-tin-dung
https://techcombank.com/khach-hang-ca-nhan/chi-tieu/the/the-tin-dung/techcombank-everyday
https://techcombank.com/thong-tin/blog/the-tin-dung-hoan-tien
https://techcombank.com/thong-tin/blog/cach-huy"&amp;"-the-tin-dung
https://techcombank.com/thong-tin/blog/cach-thanh-toan-the-tin-dung")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https://techcombank.com/thong-tin/blog/cach-huy-the-tin-dung
https://techcombank.com/thong-tin/blog/cach-thanh-toan-the-tin-dung</v>
      </c>
      <c r="D210" s="5" t="str">
        <f t="shared" si="1"/>
        <v>Vượt giới hạn 3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20" t="str">
        <f>IFERROR(__xludf.DUMMYFUNCTION("""COMPUTED_VALUE"""),"https://techcombank.com/thong-tin/blog/vay-mua-xe-tra-gop-ngan-hang-nao-tot-nhat")</f>
        <v>https://techcombank.com/thong-tin/blog/vay-mua-xe-tra-gop-ngan-hang-nao-tot-nhat</v>
      </c>
      <c r="B211" s="25">
        <f>IFERROR(__xludf.DUMMYFUNCTION("""COMPUTED_VALUE"""),5.0)</f>
        <v>5</v>
      </c>
      <c r="C211" s="5" t="str">
        <f>IFERROR(__xludf.DUMMYFUNCTION("IF(A211="""","""",TEXTJOIN(CHAR(10),TRUE,FILTER('Chi tiết từng link'!$B$2:$B$2505,'Chi tiết từng link'!$D$2:$D$2505=A211)))"),"https://techcombank.com/thong-tin/blog/lai-suat-vay-mua-o-to
https://techcombank.com/thong-tin/blog/ngan-hang-uy-tin
https://techcombank.com/thong-tin/blog/vay-ngan-hang-1-ty-moi-thang-tra-bao-nhieu
https://techcombank.com/thong-tin/blog/cach-tinh-lai-vay"&amp;"-ngan-hang
https://techcombank.com/cong-cu-tien-ich/cong-cu-tinh-toan/bang-tinh-lai-suat-vay")</f>
        <v>https://techcombank.com/thong-tin/blog/lai-suat-vay-mua-o-to
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1" s="5" t="str">
        <f t="shared" si="1"/>
        <v>Vượt giới hạn 3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20" t="str">
        <f>IFERROR(__xludf.DUMMYFUNCTION("""COMPUTED_VALUE"""),"https://techcombank.com/thong-tin/blog/vay-ngan-hang-chi-can-cccd")</f>
        <v>https://techcombank.com/thong-tin/blog/vay-ngan-hang-chi-can-cccd</v>
      </c>
      <c r="B212" s="25">
        <f>IFERROR(__xludf.DUMMYFUNCTION("""COMPUTED_VALUE"""),5.0)</f>
        <v>5</v>
      </c>
      <c r="C212" s="5" t="str">
        <f>IFERROR(__xludf.DUMMYFUNCTION("IF(A212="""","""",TEXTJOIN(CHAR(10),TRUE,FILTER('Chi tiết từng link'!$B$2:$B$2505,'Chi tiết từng link'!$D$2:$D$2505=A212)))"),"https://techcombank.com/thong-tin/blog/cach-quet-nfc-cccd-tren-iphone
https://techcombank.com/thong-tin/blog/cach-tinh-lai-vay-ngan-hang
https://techcombank.com/cong-cu-tien-ich/cong-cu-tinh-toan/bang-tinh-lai-suat-vay
https://techcombank.com/thong-tin/bl"&amp;"og/app-vay-tien-nhanh
https://techcombank.com/thong-tin/blog/nen-vay-tin-chap-o-dau")</f>
        <v>https://techcombank.com/thong-tin/blog/cach-quet-nfc-cccd-tren-iphone
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12" s="5" t="str">
        <f t="shared" si="1"/>
        <v>Vượt giới hạn 3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20" t="str">
        <f>IFERROR(__xludf.DUMMYFUNCTION("""COMPUTED_VALUE"""),"https://techcombank.com/thong-tin/blog/vay-thau-chi-bang-so-tiet-kiem")</f>
        <v>https://techcombank.com/thong-tin/blog/vay-thau-chi-bang-so-tiet-kiem</v>
      </c>
      <c r="B213" s="25">
        <f>IFERROR(__xludf.DUMMYFUNCTION("""COMPUTED_VALUE"""),5.0)</f>
        <v>5</v>
      </c>
      <c r="C213" s="5" t="str">
        <f>IFERROR(__xludf.DUMMYFUNCTION("IF(A213="""","""",TEXTJOIN(CHAR(10),TRUE,FILTER('Chi tiết từng link'!$B$2:$B$2505,'Chi tiết từng link'!$D$2:$D$2505=A213)))"),"https://techcombank.com/thong-tin/blog/cach-tinh-lai-suat-tien-gui-tiet-kiem
https://techcombank.com/thong-tin/blog/rut-tien-tiet-kiem-truoc-thoi-han
https://techcombank.com/thong-tin/blog/so-tiet-kiem-ngan-hang
https://techcombank.com/cong-cu-tien-ich/co"&amp;"ng-cu-tinh-toan/bang-tinh-lai-suat-tiet-kiem
https://techcombank.com/thong-tin/blog/vay-thau-chi-la-gi")</f>
        <v>https://techcombank.com/thong-tin/blog/cach-tinh-lai-suat-tien-gui-tiet-kiem
https://techcombank.com/thong-tin/blog/rut-tien-tiet-kiem-truoc-thoi-han
https://techcombank.com/thong-tin/blog/so-tiet-kiem-ngan-hang
https://techcombank.com/cong-cu-tien-ich/cong-cu-tinh-toan/bang-tinh-lai-suat-tiet-kiem
https://techcombank.com/thong-tin/blog/vay-thau-chi-la-gi</v>
      </c>
      <c r="D213" s="5" t="str">
        <f t="shared" si="1"/>
        <v>Vượt giới hạn 3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20" t="str">
        <f>IFERROR(__xludf.DUMMYFUNCTION("""COMPUTED_VALUE"""),"https://techcombank.com/thong-tin/blog/vay-tin-chap-ho-kinh-doanh")</f>
        <v>https://techcombank.com/thong-tin/blog/vay-tin-chap-ho-kinh-doanh</v>
      </c>
      <c r="B214" s="25">
        <f>IFERROR(__xludf.DUMMYFUNCTION("""COMPUTED_VALUE"""),5.0)</f>
        <v>5</v>
      </c>
      <c r="C214" s="5" t="str">
        <f>IFERROR(__xludf.DUMMYFUNCTION("IF(A214="""","""",TEXTJOIN(CHAR(10),TRUE,FILTER('Chi tiết từng link'!$B$2:$B$2505,'Chi tiết từng link'!$D$2:$D$2505=A214)))"),"https://techcombank.com/thong-tin/blog/ho-kinh-doanh-dong-thue-nhu-nao
https://techcombank.com/thong-tin/blog/mo-tai-khoan-ho-kinh-doanh
https://techcombank.com/thong-tin/blog/cach-tinh-thue-ho-kinh-doanh-nho-le
https://techcombank.com/thong-tin/blog/nen-"&amp;"vay-tin-chap-o-dau
https://techcombank.com/thong-tin/blog/vay-tin-chap-khong-tra-duoc-co-sao-khong")</f>
        <v>https://techcombank.com/thong-tin/blog/ho-kinh-doanh-dong-thue-nhu-nao
https://techcombank.com/thong-tin/blog/mo-tai-khoan-ho-kinh-doanh
https://techcombank.com/thong-tin/blog/cach-tinh-thue-ho-kinh-doanh-nho-le
https://techcombank.com/thong-tin/blog/nen-vay-tin-chap-o-dau
https://techcombank.com/thong-tin/blog/vay-tin-chap-khong-tra-duoc-co-sao-khong</v>
      </c>
      <c r="D214" s="5" t="str">
        <f t="shared" si="1"/>
        <v>Vượt giới hạn 3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20" t="str">
        <f>IFERROR(__xludf.DUMMYFUNCTION("""COMPUTED_VALUE"""),"https://techcombank.com/thong-tin/blog/1-cmnd-dang-ky-duoc-may-tai-khoan-ngan-hang")</f>
        <v>https://techcombank.com/thong-tin/blog/1-cmnd-dang-ky-duoc-may-tai-khoan-ngan-hang</v>
      </c>
      <c r="B215" s="25">
        <f>IFERROR(__xludf.DUMMYFUNCTION("""COMPUTED_VALUE"""),4.0)</f>
        <v>4</v>
      </c>
      <c r="C215" s="5" t="str">
        <f>IFERROR(__xludf.DUMMYFUNCTION("IF(A215="""","""",TEXTJOIN(CHAR(10),TRUE,FILTER('Chi tiết từng link'!$B$2:$B$2505,'Chi tiết từng link'!$D$2:$D$2505=A215)))"),"https://techcombank.com/thong-tin/blog/cach-mo-tai-khoan
https://techcombank.com/thong-tin/blog/nap-tien-vao-tai-khoan-ngan-hang
https://techcombank.com/thong-tin/blog/rut-tien-bang-ma-qr-la-gi-cach-thuc-hien-nhu-the-nao
https://techcombank.com/thong-tin/"&amp;"blog/cach-quet-nfc-cccd-tren-iphone")</f>
        <v>https://techcombank.com/thong-tin/blog/cach-mo-tai-khoan
https://techcombank.com/thong-tin/blog/nap-tien-vao-tai-khoan-ngan-hang
https://techcombank.com/thong-tin/blog/rut-tien-bang-ma-qr-la-gi-cach-thuc-hien-nhu-the-nao
https://techcombank.com/thong-tin/blog/cach-quet-nfc-cccd-tren-iphone</v>
      </c>
      <c r="D215" s="5" t="str">
        <f t="shared" si="1"/>
        <v>Vượt giới hạn 3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20" t="str">
        <f>IFERROR(__xludf.DUMMYFUNCTION("""COMPUTED_VALUE"""),"https://techcombank.com/thong-tin/blog/1000-won-bang-bao-nhieu-tien-viet")</f>
        <v>https://techcombank.com/thong-tin/blog/1000-won-bang-bao-nhieu-tien-viet</v>
      </c>
      <c r="B216" s="25">
        <f>IFERROR(__xludf.DUMMYFUNCTION("""COMPUTED_VALUE"""),4.0)</f>
        <v>4</v>
      </c>
      <c r="C216" s="5" t="str">
        <f>IFERROR(__xludf.DUMMYFUNCTION("IF(A216="""","""",TEXTJOIN(CHAR(10),TRUE,FILTER('Chi tiết từng link'!$B$2:$B$2505,'Chi tiết từng link'!$D$2:$D$2505=A216)))"),"https://techcombank.com/thong-tin/blog/chuyen-khoan-thanh-cong-nhung-khong-nhan-duoc-tien
https://techcombank.com/thong-tin/blog/1-te-bang-bao-nhieu-tien-viet-nam
https://techcombank.com/thong-tin/blog/1-won-bang-bao-nhieu-tien-viet
https://techcombank.co"&amp;"m/thong-tin/blog/doi-tien-do-o-dau")</f>
        <v>https://techcombank.com/thong-tin/blog/chuyen-khoan-thanh-cong-nhung-khong-nhan-duoc-tien
https://techcombank.com/thong-tin/blog/1-te-bang-bao-nhieu-tien-viet-nam
https://techcombank.com/thong-tin/blog/1-won-bang-bao-nhieu-tien-viet
https://techcombank.com/thong-tin/blog/doi-tien-do-o-dau</v>
      </c>
      <c r="D216" s="5" t="str">
        <f t="shared" si="1"/>
        <v>Vượt giới hạn 3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20" t="str">
        <f>IFERROR(__xludf.DUMMYFUNCTION("""COMPUTED_VALUE"""),"https://techcombank.com/thong-tin/blog/bao-hiem-vat-chat-xe-o-to")</f>
        <v>https://techcombank.com/thong-tin/blog/bao-hiem-vat-chat-xe-o-to</v>
      </c>
      <c r="B217" s="25">
        <f>IFERROR(__xludf.DUMMYFUNCTION("""COMPUTED_VALUE"""),4.0)</f>
        <v>4</v>
      </c>
      <c r="C217" s="5" t="str">
        <f>IFERROR(__xludf.DUMMYFUNCTION("IF(A217="""","""",TEXTJOIN(CHAR(10),TRUE,FILTER('Chi tiết từng link'!$B$2:$B$2505,'Chi tiết từng link'!$D$2:$D$2505=A217)))"),"https://techcombank.com/thong-tin/blog/ngan-hang-uy-tin
https://techcombank.com/thong-tin/blog/vay-ngan-hang-1-ty-moi-thang-tra-bao-nhieu
https://techcombank.com/thong-tin/blog/cach-tinh-lai-vay-ngan-hang
https://techcombank.com/cong-cu-tien-ich/cong-cu-t"&amp;"inh-toan/bang-tinh-lai-suat-vay")</f>
        <v>https://techcombank.com/thong-tin/blog/ngan-hang-uy-tin
https://techcombank.com/thong-tin/blog/vay-ngan-hang-1-ty-moi-thang-tra-bao-nhieu
https://techcombank.com/thong-tin/blog/cach-tinh-lai-vay-ngan-hang
https://techcombank.com/cong-cu-tien-ich/cong-cu-tinh-toan/bang-tinh-lai-suat-vay</v>
      </c>
      <c r="D217" s="5" t="str">
        <f t="shared" si="1"/>
        <v>Vượt giới hạn 3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20" t="str">
        <f>IFERROR(__xludf.DUMMYFUNCTION("""COMPUTED_VALUE"""),"https://techcombank.com/thong-tin/blog/cac-hinh-thuc-cho-vay-tieu-dung")</f>
        <v>https://techcombank.com/thong-tin/blog/cac-hinh-thuc-cho-vay-tieu-dung</v>
      </c>
      <c r="B218" s="25">
        <f>IFERROR(__xludf.DUMMYFUNCTION("""COMPUTED_VALUE"""),4.0)</f>
        <v>4</v>
      </c>
      <c r="C218" s="5" t="str">
        <f>IFERROR(__xludf.DUMMYFUNCTION("IF(A218="""","""",TEXTJOIN(CHAR(10),TRUE,FILTER('Chi tiết từng link'!$B$2:$B$2505,'Chi tiết từng link'!$D$2:$D$2505=A218)))"),"https://techcombank.com/thong-tin/blog/lai-suat-vay-the-chap-so-do
https://techcombank.com/thong-tin/blog/ho-so-thu-tuc-xoa-the-chap
https://techcombank.com/thong-tin/blog/nen-vay-tin-chap-o-dau
https://techcombank.com/thong-tin/blog/vay-tin-chap-khong-tr"&amp;"a-duoc-co-sao-khong")</f>
        <v>https://techcombank.com/thong-tin/blog/lai-suat-vay-the-chap-so-do
https://techcombank.com/thong-tin/blog/ho-so-thu-tuc-xoa-the-chap
https://techcombank.com/thong-tin/blog/nen-vay-tin-chap-o-dau
https://techcombank.com/thong-tin/blog/vay-tin-chap-khong-tra-duoc-co-sao-khong</v>
      </c>
      <c r="D218" s="5" t="str">
        <f t="shared" si="1"/>
        <v>Vượt giới hạn 3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20" t="str">
        <f>IFERROR(__xludf.DUMMYFUNCTION("""COMPUTED_VALUE"""),"https://techcombank.com/thong-tin/blog/cac-sai-lam-pho-bien-khi-chuyen-doi-ho-kinh-doanh-len-sme")</f>
        <v>https://techcombank.com/thong-tin/blog/cac-sai-lam-pho-bien-khi-chuyen-doi-ho-kinh-doanh-len-sme</v>
      </c>
      <c r="B219" s="25">
        <f>IFERROR(__xludf.DUMMYFUNCTION("""COMPUTED_VALUE"""),4.0)</f>
        <v>4</v>
      </c>
      <c r="C219" s="5" t="str">
        <f>IFERROR(__xludf.DUMMYFUNCTION("IF(A219="""","""",TEXTJOIN(CHAR(10),TRUE,FILTER('Chi tiết từng link'!$B$2:$B$2505,'Chi tiết từng link'!$D$2:$D$2505=A219)))"),"https://techcombank.com/thong-tin/blog/ho-kinh-doanh-dong-thue-nhu-nao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19" s="5" t="str">
        <f t="shared" si="1"/>
        <v>Vượt giới hạn 3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20" t="str">
        <f>IFERROR(__xludf.DUMMYFUNCTION("""COMPUTED_VALUE"""),"https://techcombank.com/thong-tin/blog/cach-chon-so-tai-khoan-dep")</f>
        <v>https://techcombank.com/thong-tin/blog/cach-chon-so-tai-khoan-dep</v>
      </c>
      <c r="B220" s="25">
        <f>IFERROR(__xludf.DUMMYFUNCTION("""COMPUTED_VALUE"""),4.0)</f>
        <v>4</v>
      </c>
      <c r="C220" s="5" t="str">
        <f>IFERROR(__xludf.DUMMYFUNCTION("IF(A220="""","""",TEXTJOIN(CHAR(10),TRUE,FILTER('Chi tiết từng link'!$B$2:$B$2505,'Chi tiết từng link'!$D$2:$D$2505=A220)))"),"https://techcombank.com/thong-tin/blog/cach-kiem-tra-tai-khoan-ngan-hang
https://techcombank.com/thong-tin/blog/cach-mo-tai-khoan
https://techcombank.com/thong-tin/blog/bao-nhieu-tuoi-duoc-mo-tai-khoan-ngan-hang
https://techcombank.com/thong-tin/blog/day-"&amp;"so-phat-tai-phat-loc")</f>
        <v>https://techcombank.com/thong-tin/blog/cach-kiem-tra-tai-khoan-ngan-hang
https://techcombank.com/thong-tin/blog/cach-mo-tai-khoan
https://techcombank.com/thong-tin/blog/bao-nhieu-tuoi-duoc-mo-tai-khoan-ngan-hang
https://techcombank.com/thong-tin/blog/day-so-phat-tai-phat-loc</v>
      </c>
      <c r="D220" s="5" t="str">
        <f t="shared" si="1"/>
        <v>Vượt giới hạn 3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20" t="str">
        <f>IFERROR(__xludf.DUMMYFUNCTION("""COMPUTED_VALUE"""),"https://techcombank.com/thong-tin/blog/cach-dang-ky-ma-so-thue-ho-kinh-doanh-online")</f>
        <v>https://techcombank.com/thong-tin/blog/cach-dang-ky-ma-so-thue-ho-kinh-doanh-online</v>
      </c>
      <c r="B221" s="25">
        <f>IFERROR(__xludf.DUMMYFUNCTION("""COMPUTED_VALUE"""),4.0)</f>
        <v>4</v>
      </c>
      <c r="C221" s="5" t="str">
        <f>IFERROR(__xludf.DUMMYFUNCTION("IF(A221="""","""",TEXTJOIN(CHAR(10),TRUE,FILTER('Chi tiết từng link'!$B$2:$B$2505,'Chi tiết từng link'!$D$2:$D$2505=A221)))"),"https://techcombank.com/thong-tin/blog/ho-kinh-doanh-dong-thue-nhu-nao
https://techcombank.com/thong-tin/blog/mo-hinh-kinh-doanh-la-gi
https://techcombank.com/thong-tin/blog/mo-tai-khoan-ho-kinh-doanh
https://techcombank.com/thong-tin/blog/cach-tinh-thue-"&amp;"ho-kinh-doanh-nho-le")</f>
        <v>https://techcombank.com/thong-tin/blog/ho-kinh-doanh-dong-thue-nhu-nao
https://techcombank.com/thong-tin/blog/mo-hinh-kinh-doanh-la-gi
https://techcombank.com/thong-tin/blog/mo-tai-khoan-ho-kinh-doanh
https://techcombank.com/thong-tin/blog/cach-tinh-thue-ho-kinh-doanh-nho-le</v>
      </c>
      <c r="D221" s="5" t="str">
        <f t="shared" si="1"/>
        <v>Vượt giới hạn 3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20" t="str">
        <f>IFERROR(__xludf.DUMMYFUNCTION("""COMPUTED_VALUE"""),"https://techcombank.com/thong-tin/blog/cach-huy-thanh-toan-tien-dien")</f>
        <v>https://techcombank.com/thong-tin/blog/cach-huy-thanh-toan-tien-dien</v>
      </c>
      <c r="B222" s="25">
        <f>IFERROR(__xludf.DUMMYFUNCTION("""COMPUTED_VALUE"""),4.0)</f>
        <v>4</v>
      </c>
      <c r="C222" s="5" t="str">
        <f>IFERROR(__xludf.DUMMYFUNCTION("IF(A222="""","""",TEXTJOIN(CHAR(10),TRUE,FILTER('Chi tiết từng link'!$B$2:$B$2505,'Chi tiết từng link'!$D$2:$D$2505=A222)))"),"https://techcombank.com/thong-tin/blog/thue-vat-la-gi
https://techcombank.com/thong-tin/blog/cach-tinh-tien-dien-sinh-hoat
https://techcombank.com/thong-tin/blog/ten-dang-nhap-tai-khoan-ngan-hang-la-gi
https://techcombank.com/thong-tin/blog/traveloka-vouc"&amp;"her")</f>
        <v>https://techcombank.com/thong-tin/blog/thue-vat-la-gi
https://techcombank.com/thong-tin/blog/cach-tinh-tien-dien-sinh-hoat
https://techcombank.com/thong-tin/blog/ten-dang-nhap-tai-khoan-ngan-hang-la-gi
https://techcombank.com/thong-tin/blog/traveloka-voucher</v>
      </c>
      <c r="D222" s="5" t="str">
        <f t="shared" si="1"/>
        <v>Vượt giới hạn 3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20" t="str">
        <f>IFERROR(__xludf.DUMMYFUNCTION("""COMPUTED_VALUE"""),"https://techcombank.com/thong-tin/blog/cach-huy-the-tin-dung")</f>
        <v>https://techcombank.com/thong-tin/blog/cach-huy-the-tin-dung</v>
      </c>
      <c r="B223" s="25">
        <f>IFERROR(__xludf.DUMMYFUNCTION("""COMPUTED_VALUE"""),4.0)</f>
        <v>4</v>
      </c>
      <c r="C223" s="5" t="str">
        <f>IFERROR(__xludf.DUMMYFUNCTION("IF(A223="""","""",TEXTJOIN(CHAR(10),TRUE,FILTER('Chi tiết từng link'!$B$2:$B$2505,'Chi tiết từng link'!$D$2:$D$2505=A223)))"),"https://techcombank.com/thong-tin/blog/lam-the-tin-dung
https://techcombank.com/khach-hang-ca-nhan/chi-tieu/the/the-tin-dung/techcombank-everyday
https://techcombank.com/thong-tin/blog/the-tin-dung-hoan-tien
https://techcombank.com/thong-tin/blog/cach-tha"&amp;"nh-toan-the-tin-dung")</f>
        <v>https://techcombank.com/thong-tin/blog/lam-the-tin-dung
https://techcombank.com/khach-hang-ca-nhan/chi-tieu/the/the-tin-dung/techcombank-everyday
https://techcombank.com/thong-tin/blog/the-tin-dung-hoan-tien
https://techcombank.com/thong-tin/blog/cach-thanh-toan-the-tin-dung</v>
      </c>
      <c r="D223" s="5" t="str">
        <f t="shared" si="1"/>
        <v>Vượt giới hạn 3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20" t="str">
        <f>IFERROR(__xludf.DUMMYFUNCTION("""COMPUTED_VALUE"""),"https://techcombank.com/thong-tin/blog/cach-kiem-tra-tai-khoan-ngan-hang-cua-cong-ty")</f>
        <v>https://techcombank.com/thong-tin/blog/cach-kiem-tra-tai-khoan-ngan-hang-cua-cong-ty</v>
      </c>
      <c r="B224" s="25">
        <f>IFERROR(__xludf.DUMMYFUNCTION("""COMPUTED_VALUE"""),4.0)</f>
        <v>4</v>
      </c>
      <c r="C224" s="5" t="str">
        <f>IFERROR(__xludf.DUMMYFUNCTION("IF(A224="""","""",TEXTJOIN(CHAR(10),TRUE,FILTER('Chi tiết từng link'!$B$2:$B$2505,'Chi tiết từng link'!$D$2:$D$2505=A224)))"),"https://techcombank.com/thong-tin/blog/cach-kiem-tra-tai-khoan-ngan-hang
https://techcombank.com/thong-tin/blog/cach-mo-tai-khoan
https://techcombank.com/thong-tin/blog/ten-dang-nhap-tai-khoan-ngan-hang-la-gi
https://techcombank.com/thong-tin/blog/ho-kinh"&amp;"-doanh-dong-thue-nhu-nao")</f>
        <v>https://techcombank.com/thong-tin/blog/cach-kiem-tra-tai-khoan-ngan-hang
https://techcombank.com/thong-tin/blog/cach-mo-tai-khoan
https://techcombank.com/thong-tin/blog/ten-dang-nhap-tai-khoan-ngan-hang-la-gi
https://techcombank.com/thong-tin/blog/ho-kinh-doanh-dong-thue-nhu-nao</v>
      </c>
      <c r="D224" s="5" t="str">
        <f t="shared" si="1"/>
        <v>Vượt giới hạn 3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20" t="str">
        <f>IFERROR(__xludf.DUMMYFUNCTION("""COMPUTED_VALUE"""),"https://techcombank.com/thong-tin/blog/cach-rut-tien-atm")</f>
        <v>https://techcombank.com/thong-tin/blog/cach-rut-tien-atm</v>
      </c>
      <c r="B225" s="25">
        <f>IFERROR(__xludf.DUMMYFUNCTION("""COMPUTED_VALUE"""),4.0)</f>
        <v>4</v>
      </c>
      <c r="C225" s="5" t="str">
        <f>IFERROR(__xludf.DUMMYFUNCTION("IF(A225="""","""",TEXTJOIN(CHAR(10),TRUE,FILTER('Chi tiết từng link'!$B$2:$B$2505,'Chi tiết từng link'!$D$2:$D$2505=A225)))"),"https://techcombank.com/thong-tin/blog/nap-tien-vao-tai-khoan-ngan-hang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25" s="5" t="str">
        <f t="shared" si="1"/>
        <v>Vượt giới hạn 3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20" t="str">
        <f>IFERROR(__xludf.DUMMYFUNCTION("""COMPUTED_VALUE"""),"https://techcombank.com/thong-tin/blog/cach-tiet-kiem-tien-hieu-qua-cho-gia-dinh")</f>
        <v>https://techcombank.com/thong-tin/blog/cach-tiet-kiem-tien-hieu-qua-cho-gia-dinh</v>
      </c>
      <c r="B226" s="25">
        <f>IFERROR(__xludf.DUMMYFUNCTION("""COMPUTED_VALUE"""),4.0)</f>
        <v>4</v>
      </c>
      <c r="C226" s="5" t="str">
        <f>IFERROR(__xludf.DUMMYFUNCTION("IF(A226="""","""",TEXTJOIN(CHAR(10),TRUE,FILTER('Chi tiết từng link'!$B$2:$B$2505,'Chi tiết từng link'!$D$2:$D$2505=A226)))"),"https://techcombank.com/thong-tin/blog/mo-tai-khoan-ngan-hang-duoi-18-tuoi
https://techcombank.com/thong-tin/blog/cach-sao-ke-tai-khoan-ngan-hang
https://techcombank.com/thong-tin/blog/eco-card
https://techcombank.com/thong-tin/blog/cach-tiet-kiem-tien")</f>
        <v>https://techcombank.com/thong-tin/blog/mo-tai-khoan-ngan-hang-duoi-18-tuoi
https://techcombank.com/thong-tin/blog/cach-sao-ke-tai-khoan-ngan-hang
https://techcombank.com/thong-tin/blog/eco-card
https://techcombank.com/thong-tin/blog/cach-tiet-kiem-tien</v>
      </c>
      <c r="D226" s="5" t="str">
        <f t="shared" si="1"/>
        <v>Vượt giới hạn 3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20" t="str">
        <f>IFERROR(__xludf.DUMMYFUNCTION("""COMPUTED_VALUE"""),"https://techcombank.com/thong-tin/blog/cach-tinh-loi-nhuan-chung-chi-tien-gui")</f>
        <v>https://techcombank.com/thong-tin/blog/cach-tinh-loi-nhuan-chung-chi-tien-gui</v>
      </c>
      <c r="B227" s="25">
        <f>IFERROR(__xludf.DUMMYFUNCTION("""COMPUTED_VALUE"""),4.0)</f>
        <v>4</v>
      </c>
      <c r="C227" s="5" t="str">
        <f>IFERROR(__xludf.DUMMYFUNCTION("IF(A227="""","""",TEXTJOIN(CHAR(10),TRUE,FILTER('Chi tiết từng link'!$B$2:$B$2505,'Chi tiết từng link'!$D$2:$D$2505=A227)))"),"https://techcombank.com/thong-tin/blog/thue-thu-nhap-doanh-nghiep
https://techcombank.com/thong-tin/blog/cach-tinh-thue-thu-nhap-doanh-nghiep
https://techcombank.com/thong-tin/blog/chung-chi-tien-gui-la-gi
https://techcombank.com/thong-tin/blog/lai-suat-c"&amp;"hung-chi-tien-gui-cac-ngan-hang")</f>
        <v>https://techcombank.com/thong-tin/blog/thue-thu-nhap-doanh-nghiep
https://techcombank.com/thong-tin/blog/cach-tinh-thue-thu-nhap-doanh-nghiep
https://techcombank.com/thong-tin/blog/chung-chi-tien-gui-la-gi
https://techcombank.com/thong-tin/blog/lai-suat-chung-chi-tien-gui-cac-ngan-hang</v>
      </c>
      <c r="D227" s="5" t="str">
        <f t="shared" si="1"/>
        <v>Vượt giới hạn 3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20" t="str">
        <f>IFERROR(__xludf.DUMMYFUNCTION("""COMPUTED_VALUE"""),"https://techcombank.com/thong-tin/blog/cach-tinh-thue-thu-nhap-doanh-nghiep")</f>
        <v>https://techcombank.com/thong-tin/blog/cach-tinh-thue-thu-nhap-doanh-nghiep</v>
      </c>
      <c r="B228" s="25">
        <f>IFERROR(__xludf.DUMMYFUNCTION("""COMPUTED_VALUE"""),4.0)</f>
        <v>4</v>
      </c>
      <c r="C228" s="5" t="str">
        <f>IFERROR(__xludf.DUMMYFUNCTION("IF(A228="""","""",TEXTJOIN(CHAR(10),TRUE,FILTER('Chi tiết từng link'!$B$2:$B$2505,'Chi tiết từng link'!$D$2:$D$2505=A228)))"),"https://techcombank.com/thong-tin/blog/thue-thu-nhap-doanh-nghiep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28" s="5" t="str">
        <f t="shared" si="1"/>
        <v>Vượt giới hạn 3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20" t="str">
        <f>IFERROR(__xludf.DUMMYFUNCTION("""COMPUTED_VALUE"""),"https://techcombank.com/thong-tin/blog/chixmax")</f>
        <v>https://techcombank.com/thong-tin/blog/chixmax</v>
      </c>
      <c r="B229" s="25">
        <f>IFERROR(__xludf.DUMMYFUNCTION("""COMPUTED_VALUE"""),4.0)</f>
        <v>4</v>
      </c>
      <c r="C229" s="5" t="str">
        <f>IFERROR(__xludf.DUMMYFUNCTION("IF(A229="""","""",TEXTJOIN(CHAR(10),TRUE,FILTER('Chi tiết từng link'!$B$2:$B$2505,'Chi tiết từng link'!$D$2:$D$2505=A229)))"),"https://techcombank.com/thong-tin/blog/tien-nhat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29" s="5" t="str">
        <f t="shared" si="1"/>
        <v>Vượt giới hạn 3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20" t="str">
        <f>IFERROR(__xludf.DUMMYFUNCTION("""COMPUTED_VALUE"""),"https://techcombank.com/thong-tin/blog/cho-vay-tieu-dung-la-gi")</f>
        <v>https://techcombank.com/thong-tin/blog/cho-vay-tieu-dung-la-gi</v>
      </c>
      <c r="B230" s="25">
        <f>IFERROR(__xludf.DUMMYFUNCTION("""COMPUTED_VALUE"""),4.0)</f>
        <v>4</v>
      </c>
      <c r="C230" s="5" t="str">
        <f>IFERROR(__xludf.DUMMYFUNCTION("IF(A230="""","""",TEXTJOIN(CHAR(10),TRUE,FILTER('Chi tiết từng link'!$B$2:$B$2505,'Chi tiết từng link'!$D$2:$D$2505=A230)))"),"https://techcombank.com/thong-tin/blog/cach-sao-ke-tai-khoan-ngan-hang
https://techcombank.com/thong-tin/blog/xep-hang-tin-dung
https://techcombank.com/thong-tin/blog/cach-tiet-kiem-tien
https://techcombank.com/thong-tin/blog/nen-vay-tin-chap-o-dau")</f>
        <v>https://techcombank.com/thong-tin/blog/cach-sao-ke-tai-khoan-ngan-hang
https://techcombank.com/thong-tin/blog/xep-hang-tin-dung
https://techcombank.com/thong-tin/blog/cach-tiet-kiem-tien
https://techcombank.com/thong-tin/blog/nen-vay-tin-chap-o-dau</v>
      </c>
      <c r="D230" s="5" t="str">
        <f t="shared" si="1"/>
        <v>Vượt giới hạn 3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20" t="str">
        <f>IFERROR(__xludf.DUMMYFUNCTION("""COMPUTED_VALUE"""),"https://techcombank.com/thong-tin/blog/chuan-bi-cho-doanh-nghiep-khoi-nghiep-truoc-nhung-thay-doi-ve-thue")</f>
        <v>https://techcombank.com/thong-tin/blog/chuan-bi-cho-doanh-nghiep-khoi-nghiep-truoc-nhung-thay-doi-ve-thue</v>
      </c>
      <c r="B231" s="25">
        <f>IFERROR(__xludf.DUMMYFUNCTION("""COMPUTED_VALUE"""),4.0)</f>
        <v>4</v>
      </c>
      <c r="C231" s="5" t="str">
        <f>IFERROR(__xludf.DUMMYFUNCTION("IF(A231="""","""",TEXTJOIN(CHAR(10),TRUE,FILTER('Chi tiết từng link'!$B$2:$B$2505,'Chi tiết từng link'!$D$2:$D$2505=A231)))"),"https://techcombank.com/thong-tin/blog/thue-doanh-nghiep
https://techcombank.com/thong-tin/blog/cach-tinh-thue-thu-nhap-doanh-nghiep
https://techcombank.com/thong-tin/blog/ho-kinh-doanh-dong-thue-nhu-nao
https://techcombank.com/thong-tin/blog/mo-hinh-kinh"&amp;"-doanh-la-gi")</f>
        <v>https://techcombank.com/thong-tin/blog/thue-doanh-nghiep
https://techcombank.com/thong-tin/blog/cach-tinh-thue-thu-nhap-doanh-nghiep
https://techcombank.com/thong-tin/blog/ho-kinh-doanh-dong-thue-nhu-nao
https://techcombank.com/thong-tin/blog/mo-hinh-kinh-doanh-la-gi</v>
      </c>
      <c r="D231" s="5" t="str">
        <f t="shared" si="1"/>
        <v>Vượt giới hạn 3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20" t="str">
        <f>IFERROR(__xludf.DUMMYFUNCTION("""COMPUTED_VALUE"""),"https://techcombank.com/thong-tin/blog/chuyen-doi-so-ho-kinh-doanh")</f>
        <v>https://techcombank.com/thong-tin/blog/chuyen-doi-so-ho-kinh-doanh</v>
      </c>
      <c r="B232" s="25">
        <f>IFERROR(__xludf.DUMMYFUNCTION("""COMPUTED_VALUE"""),4.0)</f>
        <v>4</v>
      </c>
      <c r="C232" s="5" t="str">
        <f>IFERROR(__xludf.DUMMYFUNCTION("IF(A232="""","""",TEXTJOIN(CHAR(10),TRUE,FILTER('Chi tiết từng link'!$B$2:$B$2505,'Chi tiết từng link'!$D$2:$D$2505=A232)))"),"https://techcombank.com/thong-tin/blog/chung-chi-tien-gui-la-gi
https://techcombank.com/thong-tin/blog/ho-kinh-doanh-dong-thue-nhu-nao
https://techcombank.com/thong-tin/blog/mo-tai-khoan-ho-kinh-doanh
https://techcombank.com/thong-tin/blog/cach-tinh-thue-"&amp;"ho-kinh-doanh-nho-le")</f>
        <v>https://techcombank.com/thong-tin/blog/chung-chi-tien-gui-la-gi
https://techcombank.com/thong-tin/blog/ho-kinh-doanh-dong-thue-nhu-nao
https://techcombank.com/thong-tin/blog/mo-tai-khoan-ho-kinh-doanh
https://techcombank.com/thong-tin/blog/cach-tinh-thue-ho-kinh-doanh-nho-le</v>
      </c>
      <c r="D232" s="5" t="str">
        <f t="shared" si="1"/>
        <v>Vượt giới hạn 3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20" t="str">
        <f>IFERROR(__xludf.DUMMYFUNCTION("""COMPUTED_VALUE"""),"https://techcombank.com/thong-tin/blog/chuyen-nhuong-chung-chi-tien-gui")</f>
        <v>https://techcombank.com/thong-tin/blog/chuyen-nhuong-chung-chi-tien-gui</v>
      </c>
      <c r="B233" s="25">
        <f>IFERROR(__xludf.DUMMYFUNCTION("""COMPUTED_VALUE"""),4.0)</f>
        <v>4</v>
      </c>
      <c r="C233" s="5" t="str">
        <f>IFERROR(__xludf.DUMMYFUNCTION("IF(A233="""","""",TEXTJOIN(CHAR(10),TRUE,FILTER('Chi tiết từng link'!$B$2:$B$2505,'Chi tiết từng link'!$D$2:$D$2505=A233)))"),"https://techcombank.com/thong-tin/blog/chung-chi-tien-gui-la-gi
https://techcombank.com/thong-tin/blog/lai-suat-chung-chi-tien-gui-cac-ngan-hang
https://techcombank.com/thong-tin/blog/ho-kinh-doanh-dong-thue-nhu-nao
https://techcombank.com/thong-tin/blog/"&amp;"rut-tien-tiet-kiem-truoc-thoi-han")</f>
        <v>https://techcombank.com/thong-tin/blog/chung-chi-tien-gui-la-gi
https://techcombank.com/thong-tin/blog/lai-suat-chung-chi-tien-gui-cac-ngan-hang
https://techcombank.com/thong-tin/blog/ho-kinh-doanh-dong-thue-nhu-nao
https://techcombank.com/thong-tin/blog/rut-tien-tiet-kiem-truoc-thoi-han</v>
      </c>
      <c r="D233" s="5" t="str">
        <f t="shared" si="1"/>
        <v>Vượt giới hạn 3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20" t="str">
        <f>IFERROR(__xludf.DUMMYFUNCTION("""COMPUTED_VALUE"""),"https://techcombank.com/thong-tin/blog/chuyen-tien-dinh-cu")</f>
        <v>https://techcombank.com/thong-tin/blog/chuyen-tien-dinh-cu</v>
      </c>
      <c r="B234" s="25">
        <f>IFERROR(__xludf.DUMMYFUNCTION("""COMPUTED_VALUE"""),4.0)</f>
        <v>4</v>
      </c>
      <c r="C234" s="5" t="str">
        <f>IFERROR(__xludf.DUMMYFUNCTION("IF(A234="""","""",TEXTJOIN(CHAR(10),TRUE,FILTER('Chi tiết từng link'!$B$2:$B$2505,'Chi tiết từng link'!$D$2:$D$2505=A234)))"),"https://techcombank.com/thong-tin/blog/chuyen-khoan-thanh-cong-nhung-khong-nhan-duoc-tien
https://techcombank.com/thong-tin/blog/1-te-bang-bao-nhieu-tien-viet-nam
https://techcombank.com/thong-tin/blog/cach-nhan-tien-tu-nuoc-ngoai-ve-viet-nam
https://tech"&amp;"combank.com/thong-tin/blog/doi-tien-do-o-dau")</f>
        <v>https://techcombank.com/thong-tin/blog/chuyen-khoan-thanh-cong-nhung-khong-nhan-duoc-tien
https://techcombank.com/thong-tin/blog/1-te-bang-bao-nhieu-tien-viet-nam
https://techcombank.com/thong-tin/blog/cach-nhan-tien-tu-nuoc-ngoai-ve-viet-nam
https://techcombank.com/thong-tin/blog/doi-tien-do-o-dau</v>
      </c>
      <c r="D234" s="5" t="str">
        <f t="shared" si="1"/>
        <v>Vượt giới hạn 3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20" t="str">
        <f>IFERROR(__xludf.DUMMYFUNCTION("""COMPUTED_VALUE"""),"https://techcombank.com/thong-tin/blog/chuyen-tien-tu-han-sang-viet-nam")</f>
        <v>https://techcombank.com/thong-tin/blog/chuyen-tien-tu-han-sang-viet-nam</v>
      </c>
      <c r="B235" s="25">
        <f>IFERROR(__xludf.DUMMYFUNCTION("""COMPUTED_VALUE"""),4.0)</f>
        <v>4</v>
      </c>
      <c r="C235" s="5" t="str">
        <f>IFERROR(__xludf.DUMMYFUNCTION("IF(A235="""","""",TEXTJOIN(CHAR(10),TRUE,FILTER('Chi tiết từng link'!$B$2:$B$2505,'Chi tiết từng link'!$D$2:$D$2505=A235)))"),"https://techcombank.com/thong-tin/blog/chuyen-khoan-thanh-cong-nhung-khong-nhan-duoc-tien
https://techcombank.com/thong-tin/blog/1-won-bang-bao-nhieu-tien-viet
https://techcombank.com/thong-tin/blog/1000-won-bang-bao-nhieu-tien-viet
https://techcombank.co"&amp;"m/thong-tin/blog/doi-tien-do-o-dau")</f>
        <v>https://techcombank.com/thong-tin/blog/chuyen-khoan-thanh-cong-nhung-khong-nhan-duoc-tien
https://techcombank.com/thong-tin/blog/1-won-bang-bao-nhieu-tien-viet
https://techcombank.com/thong-tin/blog/1000-won-bang-bao-nhieu-tien-viet
https://techcombank.com/thong-tin/blog/doi-tien-do-o-dau</v>
      </c>
      <c r="D235" s="5" t="str">
        <f t="shared" si="1"/>
        <v>Vượt giới hạn 3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20" t="str">
        <f>IFERROR(__xludf.DUMMYFUNCTION("""COMPUTED_VALUE"""),"https://techcombank.com/thong-tin/blog/co-100-trieu-co-mua-nen-mua-tra-gop")</f>
        <v>https://techcombank.com/thong-tin/blog/co-100-trieu-co-mua-nen-mua-tra-gop</v>
      </c>
      <c r="B236" s="25">
        <f>IFERROR(__xludf.DUMMYFUNCTION("""COMPUTED_VALUE"""),4.0)</f>
        <v>4</v>
      </c>
      <c r="C236" s="5" t="str">
        <f>IFERROR(__xludf.DUMMYFUNCTION("IF(A236="""","""",TEXTJOIN(CHAR(10),TRUE,FILTER('Chi tiết từng link'!$B$2:$B$2505,'Chi tiết từng link'!$D$2:$D$2505=A236)))"),"https://techcombank.com/thong-tin/blog/xep-hang-tin-dung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36" s="5" t="str">
        <f t="shared" si="1"/>
        <v>Vượt giới hạn 3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20" t="str">
        <f>IFERROR(__xludf.DUMMYFUNCTION("""COMPUTED_VALUE"""),"https://techcombank.com/thong-tin/blog/co-nen-mua-o-to-tra-gop")</f>
        <v>https://techcombank.com/thong-tin/blog/co-nen-mua-o-to-tra-gop</v>
      </c>
      <c r="B237" s="25">
        <f>IFERROR(__xludf.DUMMYFUNCTION("""COMPUTED_VALUE"""),4.0)</f>
        <v>4</v>
      </c>
      <c r="C237" s="5" t="str">
        <f>IFERROR(__xludf.DUMMYFUNCTION("IF(A237="""","""",TEXTJOIN(CHAR(10),TRUE,FILTER('Chi tiết từng link'!$B$2:$B$2505,'Chi tiết từng link'!$D$2:$D$2505=A237)))"),"https://techcombank.com/thong-tin/blog/lai-suat-vay-mua-o-to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37" s="5" t="str">
        <f t="shared" si="1"/>
        <v>Vượt giới hạn 3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20" t="str">
        <f>IFERROR(__xludf.DUMMYFUNCTION("""COMPUTED_VALUE"""),"https://techcombank.com/thong-tin/blog/dau-co-va-dau-tu")</f>
        <v>https://techcombank.com/thong-tin/blog/dau-co-va-dau-tu</v>
      </c>
      <c r="B238" s="25">
        <f>IFERROR(__xludf.DUMMYFUNCTION("""COMPUTED_VALUE"""),4.0)</f>
        <v>4</v>
      </c>
      <c r="C238" s="5" t="str">
        <f>IFERROR(__xludf.DUMMYFUNCTION("IF(A238="""","""",TEXTJOIN(CHAR(10),TRUE,FILTER('Chi tiết từng link'!$B$2:$B$2505,'Chi tiết từng link'!$D$2:$D$2505=A238)))"),"https://techcombank.com/thong-tin/blog/thue-thu-nhap-doanh-nghiep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38" s="5" t="str">
        <f t="shared" si="1"/>
        <v>Vượt giới hạn 3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20" t="str">
        <f>IFERROR(__xludf.DUMMYFUNCTION("""COMPUTED_VALUE"""),"https://techcombank.com/thong-tin/blog/dau-tu-dai-han")</f>
        <v>https://techcombank.com/thong-tin/blog/dau-tu-dai-han</v>
      </c>
      <c r="B239" s="25">
        <f>IFERROR(__xludf.DUMMYFUNCTION("""COMPUTED_VALUE"""),4.0)</f>
        <v>4</v>
      </c>
      <c r="C239" s="5" t="str">
        <f>IFERROR(__xludf.DUMMYFUNCTION("IF(A239="""","""",TEXTJOIN(CHAR(10),TRUE,FILTER('Chi tiết từng link'!$B$2:$B$2505,'Chi tiết từng link'!$D$2:$D$2505=A239)))"),"https://techcombank.com/thong-tin/blog/eco-card
https://techcombank.com/thong-tin/blog/chung-chi-tien-gui-la-gi
https://techcombank.com/thong-tin/blog/cach-tinh-lai-suat-tien-gui-tiet-kiem
https://techcombank.com/thong-tin/blog/phuong-phap-dau-tu-chung-ch"&amp;"i-quy")</f>
        <v>https://techcombank.com/thong-tin/blog/eco-card
https://techcombank.com/thong-tin/blog/chung-chi-tien-gui-la-gi
https://techcombank.com/thong-tin/blog/cach-tinh-lai-suat-tien-gui-tiet-kiem
https://techcombank.com/thong-tin/blog/phuong-phap-dau-tu-chung-chi-quy</v>
      </c>
      <c r="D239" s="5" t="str">
        <f t="shared" si="1"/>
        <v>Vượt giới hạn 3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20" t="str">
        <f>IFERROR(__xludf.DUMMYFUNCTION("""COMPUTED_VALUE"""),"https://techcombank.com/thong-tin/blog/du-no-la-gi")</f>
        <v>https://techcombank.com/thong-tin/blog/du-no-la-gi</v>
      </c>
      <c r="B240" s="25">
        <f>IFERROR(__xludf.DUMMYFUNCTION("""COMPUTED_VALUE"""),4.0)</f>
        <v>4</v>
      </c>
      <c r="C240" s="5" t="str">
        <f>IFERROR(__xludf.DUMMYFUNCTION("IF(A240="""","""",TEXTJOIN(CHAR(10),TRUE,FILTER('Chi tiết từng link'!$B$2:$B$2505,'Chi tiết từng link'!$D$2:$D$2505=A240)))"),"https://techcombank.com/thong-tin/blog/cach-thanh-toan-the-tin-dung
https://techcombank.com/thong-tin/blog/cach-tinh-lai-vay-ngan-hang
https://techcombank.com/thong-tin/blog/no-xau-la-gi
https://techcombank.com/thong-tin/blog/vay-tin-chap-khong-tra-duoc-c"&amp;"o-sao-khong")</f>
        <v>https://techcombank.com/thong-tin/blog/cach-thanh-toan-the-tin-dung
https://techcombank.com/thong-tin/blog/cach-tinh-lai-vay-ngan-hang
https://techcombank.com/thong-tin/blog/no-xau-la-gi
https://techcombank.com/thong-tin/blog/vay-tin-chap-khong-tra-duoc-co-sao-khong</v>
      </c>
      <c r="D240" s="5" t="str">
        <f t="shared" si="1"/>
        <v>Vượt giới hạn 3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20" t="str">
        <f>IFERROR(__xludf.DUMMYFUNCTION("""COMPUTED_VALUE"""),"https://techcombank.com/thong-tin/blog/gia-chung-chi-quy-la-gi")</f>
        <v>https://techcombank.com/thong-tin/blog/gia-chung-chi-quy-la-gi</v>
      </c>
      <c r="B241" s="25">
        <f>IFERROR(__xludf.DUMMYFUNCTION("""COMPUTED_VALUE"""),4.0)</f>
        <v>4</v>
      </c>
      <c r="C241" s="5" t="str">
        <f>IFERROR(__xludf.DUMMYFUNCTION("IF(A241="""","""",TEXTJOIN(CHAR(10),TRUE,FILTER('Chi tiết từng link'!$B$2:$B$2505,'Chi tiết từng link'!$D$2:$D$2505=A241)))"),"https://techcombank.com/thong-tin/blog/thue-thu-nhap-doanh-nghiep
https://techcombank.com/thong-tin/blog/cach-tinh-thue-thu-nhap-doanh-nghiep
https://techcombank.com/thong-tin/blog/rui-ro-khi-gui-tiet-kiem-online
https://techcombank.com/thong-tin/blog/phu"&amp;"ong-phap-dau-tu-chung-chi-quy")</f>
        <v>https://techcombank.com/thong-tin/blog/thue-thu-nhap-doanh-nghiep
https://techcombank.com/thong-tin/blog/cach-tinh-thue-thu-nhap-doanh-nghiep
https://techcombank.com/thong-tin/blog/rui-ro-khi-gui-tiet-kiem-online
https://techcombank.com/thong-tin/blog/phuong-phap-dau-tu-chung-chi-quy</v>
      </c>
      <c r="D241" s="5" t="str">
        <f t="shared" si="1"/>
        <v>Vượt giới hạn 3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20" t="str">
        <f>IFERROR(__xludf.DUMMYFUNCTION("""COMPUTED_VALUE"""),"https://techcombank.com/thong-tin/blog/giai-dap-ve-thue-doanh-nghiep")</f>
        <v>https://techcombank.com/thong-tin/blog/giai-dap-ve-thue-doanh-nghiep</v>
      </c>
      <c r="B242" s="25">
        <f>IFERROR(__xludf.DUMMYFUNCTION("""COMPUTED_VALUE"""),4.0)</f>
        <v>4</v>
      </c>
      <c r="C242" s="5" t="str">
        <f>IFERROR(__xludf.DUMMYFUNCTION("IF(A242="""","""",TEXTJOIN(CHAR(10),TRUE,FILTER('Chi tiết từng link'!$B$2:$B$2505,'Chi tiết từng link'!$D$2:$D$2505=A242)))"),"https://techcombank.com/thong-tin/blog/thue-thu-nhap-doanh-nghiep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2" s="5" t="str">
        <f t="shared" si="1"/>
        <v>Vượt giới hạn 3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20" t="str">
        <f>IFERROR(__xludf.DUMMYFUNCTION("""COMPUTED_VALUE"""),"https://techcombank.com/thong-tin/blog/hoc-sinh-sinh-vien-nen-lam-the-ngan-hang-nao")</f>
        <v>https://techcombank.com/thong-tin/blog/hoc-sinh-sinh-vien-nen-lam-the-ngan-hang-nao</v>
      </c>
      <c r="B243" s="25">
        <f>IFERROR(__xludf.DUMMYFUNCTION("""COMPUTED_VALUE"""),4.0)</f>
        <v>4</v>
      </c>
      <c r="C243" s="5" t="str">
        <f>IFERROR(__xludf.DUMMYFUNCTION("IF(A243="""","""",TEXTJOIN(CHAR(10),TRUE,FILTER('Chi tiết từng link'!$B$2:$B$2505,'Chi tiết từng link'!$D$2:$D$2505=A243)))"),"https://techcombank.com/thong-tin/blog/ngan-hang-uy-tin
https://techcombank.com/thong-tin/blog/bao-nhieu-tuoi-duoc-mo-tai-khoan-ngan-hang
https://techcombank.com/thong-tin/blog/mo-tai-khoan-ngan-hang-duoi-18-tuoi
https://techcombank.com/thong-tin/blog/lam"&amp;"-the-tin-dung")</f>
        <v>https://techcombank.com/thong-tin/blog/ngan-hang-uy-tin
https://techcombank.com/thong-tin/blog/bao-nhieu-tuoi-duoc-mo-tai-khoan-ngan-hang
https://techcombank.com/thong-tin/blog/mo-tai-khoan-ngan-hang-duoi-18-tuoi
https://techcombank.com/thong-tin/blog/lam-the-tin-dung</v>
      </c>
      <c r="D243" s="5" t="str">
        <f t="shared" si="1"/>
        <v>Vượt giới hạn 3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20" t="str">
        <f>IFERROR(__xludf.DUMMYFUNCTION("""COMPUTED_VALUE"""),"https://techcombank.com/thong-tin/blog/khai-bao-tai-khoan-ngan-hang-voi-co-quan-thue")</f>
        <v>https://techcombank.com/thong-tin/blog/khai-bao-tai-khoan-ngan-hang-voi-co-quan-thue</v>
      </c>
      <c r="B244" s="25">
        <f>IFERROR(__xludf.DUMMYFUNCTION("""COMPUTED_VALUE"""),4.0)</f>
        <v>4</v>
      </c>
      <c r="C244" s="5" t="str">
        <f>IFERROR(__xludf.DUMMYFUNCTION("IF(A244="""","""",TEXTJOIN(CHAR(10),TRUE,FILTER('Chi tiết từng link'!$B$2:$B$2505,'Chi tiết từng link'!$D$2:$D$2505=A244)))"),"https://techcombank.com/thong-tin/blog/cach-mo-tai-khoan
https://techcombank.com/thong-tin/blog/ho-kinh-doanh-dong-thue-nhu-nao
https://techcombank.com/thong-tin/blog/mo-tai-khoan-ho-kinh-doanh
https://techcombank.com/thong-tin/blog/cach-tinh-thue-ho-kinh"&amp;"-doanh-nho-le")</f>
        <v>https://techcombank.com/thong-tin/blog/cach-mo-tai-khoan
https://techcombank.com/thong-tin/blog/ho-kinh-doanh-dong-thue-nhu-nao
https://techcombank.com/thong-tin/blog/mo-tai-khoan-ho-kinh-doanh
https://techcombank.com/thong-tin/blog/cach-tinh-thue-ho-kinh-doanh-nho-le</v>
      </c>
      <c r="D244" s="5" t="str">
        <f t="shared" si="1"/>
        <v>Vượt giới hạn 3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20" t="str">
        <f>IFERROR(__xludf.DUMMYFUNCTION("""COMPUTED_VALUE"""),"https://techcombank.com/thong-tin/blog/kiem-tra-ma-so-thue-doanh-nghiep")</f>
        <v>https://techcombank.com/thong-tin/blog/kiem-tra-ma-so-thue-doanh-nghiep</v>
      </c>
      <c r="B245" s="25">
        <f>IFERROR(__xludf.DUMMYFUNCTION("""COMPUTED_VALUE"""),4.0)</f>
        <v>4</v>
      </c>
      <c r="C245" s="5" t="str">
        <f>IFERROR(__xludf.DUMMYFUNCTION("IF(A245="""","""",TEXTJOIN(CHAR(10),TRUE,FILTER('Chi tiết từng link'!$B$2:$B$2505,'Chi tiết từng link'!$D$2:$D$2505=A245)))"),"https://techcombank.com/thong-tin/blog/thue-thu-nhap-doanh-nghiep
https://techcombank.com/thong-tin/blog/tra-cuu-no-thue-doanh-nghiep
https://techcombank.com/thong-tin/blog/thue-doanh-nghiep
https://techcombank.com/thong-tin/blog/ho-kinh-doanh-dong-thue-n"&amp;"hu-nao")</f>
        <v>https://techcombank.com/thong-tin/blog/thue-thu-nhap-doanh-nghiep
https://techcombank.com/thong-tin/blog/tra-cuu-no-thue-doanh-nghiep
https://techcombank.com/thong-tin/blog/thue-doanh-nghiep
https://techcombank.com/thong-tin/blog/ho-kinh-doanh-dong-thue-nhu-nao</v>
      </c>
      <c r="D245" s="5" t="str">
        <f t="shared" si="1"/>
        <v>Vượt giới hạn 3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20" t="str">
        <f>IFERROR(__xludf.DUMMYFUNCTION("""COMPUTED_VALUE"""),"https://techcombank.com/thong-tin/blog/lai-suat-cho-vay-doanh-nghiep")</f>
        <v>https://techcombank.com/thong-tin/blog/lai-suat-cho-vay-doanh-nghiep</v>
      </c>
      <c r="B246" s="25">
        <f>IFERROR(__xludf.DUMMYFUNCTION("""COMPUTED_VALUE"""),4.0)</f>
        <v>4</v>
      </c>
      <c r="C246" s="5" t="str">
        <f>IFERROR(__xludf.DUMMYFUNCTION("IF(A246="""","""",TEXTJOIN(CHAR(10),TRUE,FILTER('Chi tiết từng link'!$B$2:$B$2505,'Chi tiết từng link'!$D$2:$D$2505=A246)))"),"https://techcombank.com/thong-tin/blog/cach-tinh-lai-vay-ngan-hang
https://techcombank.com/thong-tin/blog/lai-suat-tiet-kiem
https://techcombank.com/cong-cu-tien-ich/cong-cu-tinh-toan/bang-tinh-lai-suat-vay
https://techcombank.com/thong-tin/blog/lai-suat-"&amp;"vay-ngan-hang")</f>
        <v>https://techcombank.com/thong-tin/blog/cach-tinh-lai-vay-ngan-hang
https://techcombank.com/thong-tin/blog/lai-suat-tiet-kiem
https://techcombank.com/cong-cu-tien-ich/cong-cu-tinh-toan/bang-tinh-lai-suat-vay
https://techcombank.com/thong-tin/blog/lai-suat-vay-ngan-hang</v>
      </c>
      <c r="D246" s="5" t="str">
        <f t="shared" si="1"/>
        <v>Vượt giới hạn 3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20" t="str">
        <f>IFERROR(__xludf.DUMMYFUNCTION("""COMPUTED_VALUE"""),"https://techcombank.com/thong-tin/blog/lai-suat-qua-han")</f>
        <v>https://techcombank.com/thong-tin/blog/lai-suat-qua-han</v>
      </c>
      <c r="B247" s="25">
        <f>IFERROR(__xludf.DUMMYFUNCTION("""COMPUTED_VALUE"""),4.0)</f>
        <v>4</v>
      </c>
      <c r="C247" s="5" t="str">
        <f>IFERROR(__xludf.DUMMYFUNCTION("IF(A247="""","""",TEXTJOIN(CHAR(10),TRUE,FILTER('Chi tiết từng link'!$B$2:$B$2505,'Chi tiết từng link'!$D$2:$D$2505=A247)))"),"https://techcombank.com/thong-tin/blog/cach-thanh-toan-the-tin-dung
https://techcombank.com/thong-tin/blog/lai-suat-vay-ngan-hang
https://techcombank.com/thong-tin/blog/no-xau-la-gi
https://techcombank.com/thong-tin/blog/vay-tin-chap-khong-tra-duoc-co-sao"&amp;"-khong")</f>
        <v>https://techcombank.com/thong-tin/blog/cach-thanh-toan-the-tin-dung
https://techcombank.com/thong-tin/blog/lai-suat-vay-ngan-hang
https://techcombank.com/thong-tin/blog/no-xau-la-gi
https://techcombank.com/thong-tin/blog/vay-tin-chap-khong-tra-duoc-co-sao-khong</v>
      </c>
      <c r="D247" s="5" t="str">
        <f t="shared" si="1"/>
        <v>Vượt giới hạn 3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20" t="str">
        <f>IFERROR(__xludf.DUMMYFUNCTION("""COMPUTED_VALUE"""),"https://techcombank.com/thong-tin/blog/lam-the-atm-bao-lau-co")</f>
        <v>https://techcombank.com/thong-tin/blog/lam-the-atm-bao-lau-co</v>
      </c>
      <c r="B248" s="25">
        <f>IFERROR(__xludf.DUMMYFUNCTION("""COMPUTED_VALUE"""),4.0)</f>
        <v>4</v>
      </c>
      <c r="C248" s="5" t="str">
        <f>IFERROR(__xludf.DUMMYFUNCTION("IF(A248="""","""",TEXTJOIN(CHAR(10),TRUE,FILTER('Chi tiết từng link'!$B$2:$B$2505,'Chi tiết từng link'!$D$2:$D$2505=A248)))"),"https://techcombank.com/thong-tin/blog/bao-nhieu-tuoi-duoc-mo-tai-khoan-ngan-hang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8" s="5" t="str">
        <f t="shared" si="1"/>
        <v>Vượt giới hạn 3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20" t="str">
        <f>IFERROR(__xludf.DUMMYFUNCTION("""COMPUTED_VALUE"""),"https://techcombank.com/thong-tin/blog/lam-the-atm-co-mat-phi-khong")</f>
        <v>https://techcombank.com/thong-tin/blog/lam-the-atm-co-mat-phi-khong</v>
      </c>
      <c r="B249" s="25">
        <f>IFERROR(__xludf.DUMMYFUNCTION("""COMPUTED_VALUE"""),4.0)</f>
        <v>4</v>
      </c>
      <c r="C249" s="5" t="str">
        <f>IFERROR(__xludf.DUMMYFUNCTION("IF(A249="""","""",TEXTJOIN(CHAR(10),TRUE,FILTER('Chi tiết từng link'!$B$2:$B$2505,'Chi tiết từng link'!$D$2:$D$2505=A249)))"),"https://techcombank.com/thong-tin/blog/bao-nhieu-tuoi-duoc-mo-tai-khoan-ngan-hang
https://techcombank.com/thong-tin/blog/nap-tien-vao-tai-khoan-ngan-hang
https://techcombank.com/thong-tin/blog/rut-tien-bang-ma-qr-la-gi-cach-thuc-hien-nhu-the-nao
https://t"&amp;"echcombank.com/thong-tin/blog/lam-the-tin-dung")</f>
        <v>https://techcombank.com/thong-tin/blog/bao-nhieu-tuoi-duoc-mo-tai-khoan-ngan-hang
https://techcombank.com/thong-tin/blog/nap-tien-vao-tai-khoan-ngan-hang
https://techcombank.com/thong-tin/blog/rut-tien-bang-ma-qr-la-gi-cach-thuc-hien-nhu-the-nao
https://techcombank.com/thong-tin/blog/lam-the-tin-dung</v>
      </c>
      <c r="D249" s="5" t="str">
        <f t="shared" si="1"/>
        <v>Vượt giới hạn 3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20" t="str">
        <f>IFERROR(__xludf.DUMMYFUNCTION("""COMPUTED_VALUE"""),"https://techcombank.com/thong-tin/blog/lo-so-tai-khoan-ngan-hang-co-sao-khong")</f>
        <v>https://techcombank.com/thong-tin/blog/lo-so-tai-khoan-ngan-hang-co-sao-khong</v>
      </c>
      <c r="B250" s="25">
        <f>IFERROR(__xludf.DUMMYFUNCTION("""COMPUTED_VALUE"""),4.0)</f>
        <v>4</v>
      </c>
      <c r="C250" s="5" t="str">
        <f>IFERROR(__xludf.DUMMYFUNCTION("IF(A250="""","""",TEXTJOIN(CHAR(10),TRUE,FILTER('Chi tiết từng link'!$B$2:$B$2505,'Chi tiết từng link'!$D$2:$D$2505=A250)))"),"https://techcombank.com/thong-tin/blog/cach-kiem-tra-tai-khoan-ngan-hang
https://techcombank.com/thong-tin/blog/cach-mo-tai-khoan
https://techcombank.com/thong-tin/blog/ten-dang-nhap-tai-khoan-ngan-hang-la-gi
https://techcombank.com/thong-tin/blog/rui-ro-"&amp;"khi-gui-tiet-kiem-online")</f>
        <v>https://techcombank.com/thong-tin/blog/cach-kiem-tra-tai-khoan-ngan-hang
https://techcombank.com/thong-tin/blog/cach-mo-tai-khoan
https://techcombank.com/thong-tin/blog/ten-dang-nhap-tai-khoan-ngan-hang-la-gi
https://techcombank.com/thong-tin/blog/rui-ro-khi-gui-tiet-kiem-online</v>
      </c>
      <c r="D250" s="5" t="str">
        <f t="shared" si="1"/>
        <v>Vượt giới hạn 3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20" t="str">
        <f>IFERROR(__xludf.DUMMYFUNCTION("""COMPUTED_VALUE"""),"https://techcombank.com/thong-tin/blog/luu-y-khi-chuyen-doi-tu-ho-kinh-doanh-len-doanh-nghiep")</f>
        <v>https://techcombank.com/thong-tin/blog/luu-y-khi-chuyen-doi-tu-ho-kinh-doanh-len-doanh-nghiep</v>
      </c>
      <c r="B251" s="25">
        <f>IFERROR(__xludf.DUMMYFUNCTION("""COMPUTED_VALUE"""),4.0)</f>
        <v>4</v>
      </c>
      <c r="C251" s="5" t="str">
        <f>IFERROR(__xludf.DUMMYFUNCTION("IF(A251="""","""",TEXTJOIN(CHAR(10),TRUE,FILTER('Chi tiết từng link'!$B$2:$B$2505,'Chi tiết từng link'!$D$2:$D$2505=A251)))"),"https://techcombank.com/thong-tin/blog/eco-card
https://techcombank.com/thong-tin/blog/ho-kinh-doanh-dong-thue-nhu-nao
https://techcombank.com/thong-tin/blog/mo-tai-khoan-ho-kinh-doanh
https://techcombank.com/thong-tin/blog/cach-tinh-thue-ho-kinh-doanh-nh"&amp;"o-le")</f>
        <v>https://techcombank.com/thong-tin/blog/eco-card
https://techcombank.com/thong-tin/blog/ho-kinh-doanh-dong-thue-nhu-nao
https://techcombank.com/thong-tin/blog/mo-tai-khoan-ho-kinh-doanh
https://techcombank.com/thong-tin/blog/cach-tinh-thue-ho-kinh-doanh-nho-le</v>
      </c>
      <c r="D251" s="5" t="str">
        <f t="shared" si="1"/>
        <v>Vượt giới hạn 3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20" t="str">
        <f>IFERROR(__xludf.DUMMYFUNCTION("""COMPUTED_VALUE"""),"https://techcombank.com/thong-tin/blog/mo-tai-khoan-ho-kinh-doanh")</f>
        <v>https://techcombank.com/thong-tin/blog/mo-tai-khoan-ho-kinh-doanh</v>
      </c>
      <c r="B252" s="25">
        <f>IFERROR(__xludf.DUMMYFUNCTION("""COMPUTED_VALUE"""),4.0)</f>
        <v>4</v>
      </c>
      <c r="C252" s="5" t="str">
        <f>IFERROR(__xludf.DUMMYFUNCTION("IF(A252="""","""",TEXTJOIN(CHAR(10),TRUE,FILTER('Chi tiết từng link'!$B$2:$B$2505,'Chi tiết từng link'!$D$2:$D$2505=A252)))"),"https://techcombank.com/thong-tin/blog/cach-mo-tai-khoan
https://techcombank.com/thong-tin/blog/ho-kinh-doanh-dong-thue-nhu-nao
https://techcombank.com/thong-tin/blog/mo-hinh-kinh-doanh-la-gi
https://techcombank.com/thong-tin/blog/cach-tinh-thue-ho-kinh-d"&amp;"oanh-nho-le")</f>
        <v>https://techcombank.com/thong-tin/blog/cach-mo-tai-khoan
https://techcombank.com/thong-tin/blog/ho-kinh-doanh-dong-thue-nhu-nao
https://techcombank.com/thong-tin/blog/mo-hinh-kinh-doanh-la-gi
https://techcombank.com/thong-tin/blog/cach-tinh-thue-ho-kinh-doanh-nho-le</v>
      </c>
      <c r="D252" s="5" t="str">
        <f t="shared" si="1"/>
        <v>Vượt giới hạn 3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20" t="str">
        <f>IFERROR(__xludf.DUMMYFUNCTION("""COMPUTED_VALUE"""),"https://techcombank.com/thong-tin/blog/mua-nha-tra-gop-dua-truoc-100-trieu")</f>
        <v>https://techcombank.com/thong-tin/blog/mua-nha-tra-gop-dua-truoc-100-trieu</v>
      </c>
      <c r="B253" s="25">
        <f>IFERROR(__xludf.DUMMYFUNCTION("""COMPUTED_VALUE"""),4.0)</f>
        <v>4</v>
      </c>
      <c r="C253" s="5" t="str">
        <f>IFERROR(__xludf.DUMMYFUNCTION("IF(A253="""","""",TEXTJOIN(CHAR(10),TRUE,FILTER('Chi tiết từng link'!$B$2:$B$2505,'Chi tiết từng link'!$D$2:$D$2505=A253)))"),"https://techcombank.com/thong-tin/blog/xep-hang-tin-dung
https://techcombank.com/thong-tin/blog/vay-ngan-hang-1-ty-moi-thang-tra-bao-nhieu
https://techcombank.com/thong-tin/blog/cach-tinh-lai-vay-ngan-hang
https://techcombank.com/cong-cu-tien-ich/cong-cu-"&amp;"tinh-toan/bang-tinh-lai-suat-vay")</f>
        <v>https://techcombank.com/thong-tin/blog/xep-hang-tin-dung
https://techcombank.com/thong-tin/blog/vay-ngan-hang-1-ty-moi-thang-tra-bao-nhieu
https://techcombank.com/thong-tin/blog/cach-tinh-lai-vay-ngan-hang
https://techcombank.com/cong-cu-tien-ich/cong-cu-tinh-toan/bang-tinh-lai-suat-vay</v>
      </c>
      <c r="D253" s="5" t="str">
        <f t="shared" si="1"/>
        <v>Vượt giới hạn 3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20" t="str">
        <f>IFERROR(__xludf.DUMMYFUNCTION("""COMPUTED_VALUE"""),"https://techcombank.com/thong-tin/blog/nen-vay-the-chap-ngan-hang-nao")</f>
        <v>https://techcombank.com/thong-tin/blog/nen-vay-the-chap-ngan-hang-nao</v>
      </c>
      <c r="B254" s="25">
        <f>IFERROR(__xludf.DUMMYFUNCTION("""COMPUTED_VALUE"""),4.0)</f>
        <v>4</v>
      </c>
      <c r="C254" s="5" t="str">
        <f>IFERROR(__xludf.DUMMYFUNCTION("IF(A254="""","""",TEXTJOIN(CHAR(10),TRUE,FILTER('Chi tiết từng link'!$B$2:$B$2505,'Chi tiết từng link'!$D$2:$D$2505=A254)))"),"https://techcombank.com/thong-tin/blog/ngan-hang-uy-tin
https://techcombank.com/thong-tin/blog/vay-ngan-hang-1-ty-moi-thang-tra-bao-nhieu
https://techcombank.com/thong-tin/blog/lai-suat-vay-the-chap-so-do
https://techcombank.com/thong-tin/blog/ho-so-thu-t"&amp;"uc-xoa-the-chap")</f>
        <v>https://techcombank.com/thong-tin/blog/ngan-hang-uy-tin
https://techcombank.com/thong-tin/blog/vay-ngan-hang-1-ty-moi-thang-tra-bao-nhieu
https://techcombank.com/thong-tin/blog/lai-suat-vay-the-chap-so-do
https://techcombank.com/thong-tin/blog/ho-so-thu-tuc-xoa-the-chap</v>
      </c>
      <c r="D254" s="5" t="str">
        <f t="shared" si="1"/>
        <v>Vượt giới hạn 3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20" t="str">
        <f>IFERROR(__xludf.DUMMYFUNCTION("""COMPUTED_VALUE"""),"https://techcombank.com/thong-tin/blog/ngoai-te-la-gi")</f>
        <v>https://techcombank.com/thong-tin/blog/ngoai-te-la-gi</v>
      </c>
      <c r="B255" s="25">
        <f>IFERROR(__xludf.DUMMYFUNCTION("""COMPUTED_VALUE"""),4.0)</f>
        <v>4</v>
      </c>
      <c r="C255" s="5" t="str">
        <f>IFERROR(__xludf.DUMMYFUNCTION("IF(A255="""","""",TEXTJOIN(CHAR(10),TRUE,FILTER('Chi tiết từng link'!$B$2:$B$2505,'Chi tiết từng link'!$D$2:$D$2505=A255)))"),"https://techcombank.com/thong-tin/blog/1-te-bang-bao-nhieu-tien-viet-nam
https://techcombank.com/thong-tin/blog/tien-dai-loan
https://techcombank.com/thong-tin/blog/cach-nhan-tien-tu-nuoc-ngoai-ve-viet-nam
https://techcombank.com/thong-tin/blog/doi-tien-d"&amp;"o-o-dau")</f>
        <v>https://techcombank.com/thong-tin/blog/1-te-bang-bao-nhieu-tien-viet-nam
https://techcombank.com/thong-tin/blog/tien-dai-loan
https://techcombank.com/thong-tin/blog/cach-nhan-tien-tu-nuoc-ngoai-ve-viet-nam
https://techcombank.com/thong-tin/blog/doi-tien-do-o-dau</v>
      </c>
      <c r="D255" s="5" t="str">
        <f t="shared" si="1"/>
        <v>Vượt giới hạn 3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20" t="str">
        <f>IFERROR(__xludf.DUMMYFUNCTION("""COMPUTED_VALUE"""),"https://techcombank.com/thong-tin/blog/phat-cham-dang-ky-thue-ho-kinh-doanh")</f>
        <v>https://techcombank.com/thong-tin/blog/phat-cham-dang-ky-thue-ho-kinh-doanh</v>
      </c>
      <c r="B256" s="25">
        <f>IFERROR(__xludf.DUMMYFUNCTION("""COMPUTED_VALUE"""),4.0)</f>
        <v>4</v>
      </c>
      <c r="C256" s="5" t="str">
        <f>IFERROR(__xludf.DUMMYFUNCTION("IF(A256="""","""",TEXTJOIN(CHAR(10),TRUE,FILTER('Chi tiết từng link'!$B$2:$B$2505,'Chi tiết từng link'!$D$2:$D$2505=A256)))"),"https://techcombank.com/thong-tin/blog/ho-kinh-doanh-dong-thue-nhu-nao
https://techcombank.com/thong-tin/blog/mo-tai-khoan-ho-kinh-doanh
https://techcombank.com/thong-tin/blog/cach-tinh-thue-ho-kinh-doanh-nho-le
https://techcombank.com/thong-tin/blog/rui-"&amp;"ro-khi-gui-tiet-kiem-online")</f>
        <v>https://techcombank.com/thong-tin/blog/ho-kinh-doanh-dong-thue-nhu-nao
https://techcombank.com/thong-tin/blog/mo-tai-khoan-ho-kinh-doanh
https://techcombank.com/thong-tin/blog/cach-tinh-thue-ho-kinh-doanh-nho-le
https://techcombank.com/thong-tin/blog/rui-ro-khi-gui-tiet-kiem-online</v>
      </c>
      <c r="D256" s="5" t="str">
        <f t="shared" si="1"/>
        <v>Vượt giới hạn 3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20" t="str">
        <f>IFERROR(__xludf.DUMMYFUNCTION("""COMPUTED_VALUE"""),"https://techcombank.com/thong-tin/blog/quy-trinh-cho-vay-tieu-dung")</f>
        <v>https://techcombank.com/thong-tin/blog/quy-trinh-cho-vay-tieu-dung</v>
      </c>
      <c r="B257" s="25">
        <f>IFERROR(__xludf.DUMMYFUNCTION("""COMPUTED_VALUE"""),4.0)</f>
        <v>4</v>
      </c>
      <c r="C257" s="5" t="str">
        <f>IFERROR(__xludf.DUMMYFUNCTION("IF(A257="""","""",TEXTJOIN(CHAR(10),TRUE,FILTER('Chi tiết từng link'!$B$2:$B$2505,'Chi tiết từng link'!$D$2:$D$2505=A257)))"),"https://techcombank.com/thong-tin/blog/cach-tinh-lai-vay-ngan-hang
https://techcombank.com/cong-cu-tien-ich/cong-cu-tinh-toan/bang-tinh-lai-suat-vay
https://techcombank.com/thong-tin/blog/app-vay-tien-nhanh
https://techcombank.com/thong-tin/blog/nen-vay-t"&amp;"in-chap-o-dau")</f>
        <v>https://techcombank.com/thong-tin/blog/cach-tinh-lai-vay-ngan-hang
https://techcombank.com/cong-cu-tien-ich/cong-cu-tinh-toan/bang-tinh-lai-suat-vay
https://techcombank.com/thong-tin/blog/app-vay-tien-nhanh
https://techcombank.com/thong-tin/blog/nen-vay-tin-chap-o-dau</v>
      </c>
      <c r="D257" s="5" t="str">
        <f t="shared" si="1"/>
        <v>Vượt giới hạn 3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20" t="str">
        <f>IFERROR(__xludf.DUMMYFUNCTION("""COMPUTED_VALUE"""),"https://techcombank.com/thong-tin/blog/rut-tien-bang-ma-qr-khac-ngan-hang-duoc-khong")</f>
        <v>https://techcombank.com/thong-tin/blog/rut-tien-bang-ma-qr-khac-ngan-hang-duoc-khong</v>
      </c>
      <c r="B258" s="25">
        <f>IFERROR(__xludf.DUMMYFUNCTION("""COMPUTED_VALUE"""),4.0)</f>
        <v>4</v>
      </c>
      <c r="C258" s="5" t="str">
        <f>IFERROR(__xludf.DUMMYFUNCTION("IF(A258="""","""",TEXTJOIN(CHAR(10),TRUE,FILTER('Chi tiết từng link'!$B$2:$B$2505,'Chi tiết từng link'!$D$2:$D$2505=A258)))"),"https://techcombank.com/thong-tin/blog/nap-tien-vao-tai-khoan-ngan-hang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https://techcombank.com"&amp;"/thong-tin/blog/gui-ma-qr-ngan-hang")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https://techcombank.com/thong-tin/blog/gui-ma-qr-ngan-hang</v>
      </c>
      <c r="D258" s="5" t="str">
        <f t="shared" si="1"/>
        <v>Vượt giới hạn 3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20" t="str">
        <f>IFERROR(__xludf.DUMMYFUNCTION("""COMPUTED_VALUE"""),"https://techcombank.com/thong-tin/blog/sao-ke-luong")</f>
        <v>https://techcombank.com/thong-tin/blog/sao-ke-luong</v>
      </c>
      <c r="B259" s="25">
        <f>IFERROR(__xludf.DUMMYFUNCTION("""COMPUTED_VALUE"""),4.0)</f>
        <v>4</v>
      </c>
      <c r="C259" s="5" t="str">
        <f>IFERROR(__xludf.DUMMYFUNCTION("IF(A259="""","""",TEXTJOIN(CHAR(10),TRUE,FILTER('Chi tiết từng link'!$B$2:$B$2505,'Chi tiết từng link'!$D$2:$D$2505=A259)))"),"https://techcombank.com/thong-tin/blog/cach-tinh-thue-thu-nhap-ca-nhan-2025
https://techcombank.com/thong-tin/blog/cach-sao-ke-tai-khoan-ngan-hang
https://techcombank.com/thong-tin/blog/thue-thu-nhap-ca-nhan
https://techcombank.com/thong-tin/blog/cach-tha"&amp;"nh-toan-the-tin-dung")</f>
        <v>https://techcombank.com/thong-tin/blog/cach-tinh-thue-thu-nhap-ca-nhan-2025
https://techcombank.com/thong-tin/blog/cach-sao-ke-tai-khoan-ngan-hang
https://techcombank.com/thong-tin/blog/thue-thu-nhap-ca-nhan
https://techcombank.com/thong-tin/blog/cach-thanh-toan-the-tin-dung</v>
      </c>
      <c r="D259" s="5" t="str">
        <f t="shared" si="1"/>
        <v>Vượt giới hạn 3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20" t="str">
        <f>IFERROR(__xludf.DUMMYFUNCTION("""COMPUTED_VALUE"""),"https://techcombank.com/thong-tin/blog/thanh-toan-khi-du-lich-nhat-ban")</f>
        <v>https://techcombank.com/thong-tin/blog/thanh-toan-khi-du-lich-nhat-ban</v>
      </c>
      <c r="B260" s="25">
        <f>IFERROR(__xludf.DUMMYFUNCTION("""COMPUTED_VALUE"""),4.0)</f>
        <v>4</v>
      </c>
      <c r="C260" s="5" t="str">
        <f>IFERROR(__xludf.DUMMYFUNCTION("IF(A260="""","""",TEXTJOIN(CHAR(10),TRUE,FILTER('Chi tiết từng link'!$B$2:$B$2505,'Chi tiết từng link'!$D$2:$D$2505=A260)))"),"https://techcombank.com/thong-tin/blog/tien-nhat
https://techcombank.com/thong-tin/blog/1-yen-bang-bao-nhieu-tien-viet-nam
https://techcombank.com/thong-tin/blog/1-man-bang-bao-nhieu-tien-viet
https://techcombank.com/thong-tin/blog/traveloka-voucher")</f>
        <v>https://techcombank.com/thong-tin/blog/tien-nhat
https://techcombank.com/thong-tin/blog/1-yen-bang-bao-nhieu-tien-viet-nam
https://techcombank.com/thong-tin/blog/1-man-bang-bao-nhieu-tien-viet
https://techcombank.com/thong-tin/blog/traveloka-voucher</v>
      </c>
      <c r="D260" s="5" t="str">
        <f t="shared" si="1"/>
        <v>Vượt giới hạn 3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20" t="str">
        <f>IFERROR(__xludf.DUMMYFUNCTION("""COMPUTED_VALUE"""),"https://techcombank.com/thong-tin/blog/thanh-toan-khong-dung-tien-mat")</f>
        <v>https://techcombank.com/thong-tin/blog/thanh-toan-khong-dung-tien-mat</v>
      </c>
      <c r="B261" s="25">
        <f>IFERROR(__xludf.DUMMYFUNCTION("""COMPUTED_VALUE"""),4.0)</f>
        <v>4</v>
      </c>
      <c r="C261" s="5" t="str">
        <f>IFERROR(__xludf.DUMMYFUNCTION("IF(A261="""","""",TEXTJOIN(CHAR(10),TRUE,FILTER('Chi tiết từng link'!$B$2:$B$2505,'Chi tiết từng link'!$D$2:$D$2505=A261)))"),"https://techcombank.com/thong-tin/blog/rut-tien-mat-tu-the-tin-dung
https://techcombank.com/thong-tin/blog/ho-kinh-doanh-dong-thue-nhu-nao
https://techcombank.com/thong-tin/blog/mo-tai-khoan-ho-kinh-doanh
https://techcombank.com/thong-tin/blog/cach-tinh-t"&amp;"hue-ho-kinh-doanh-nho-le")</f>
        <v>https://techcombank.com/thong-tin/blog/rut-tien-mat-tu-the-tin-dung
https://techcombank.com/thong-tin/blog/ho-kinh-doanh-dong-thue-nhu-nao
https://techcombank.com/thong-tin/blog/mo-tai-khoan-ho-kinh-doanh
https://techcombank.com/thong-tin/blog/cach-tinh-thue-ho-kinh-doanh-nho-le</v>
      </c>
      <c r="D261" s="5" t="str">
        <f t="shared" si="1"/>
        <v>Vượt giới hạn 3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20" t="str">
        <f>IFERROR(__xludf.DUMMYFUNCTION("""COMPUTED_VALUE"""),"https://techcombank.com/thong-tin/blog/the-atm-khong-rut-duoc-tien")</f>
        <v>https://techcombank.com/thong-tin/blog/the-atm-khong-rut-duoc-tien</v>
      </c>
      <c r="B262" s="25">
        <f>IFERROR(__xludf.DUMMYFUNCTION("""COMPUTED_VALUE"""),4.0)</f>
        <v>4</v>
      </c>
      <c r="C262" s="5" t="str">
        <f>IFERROR(__xludf.DUMMYFUNCTION("IF(A262="""","""",TEXTJOIN(CHAR(10),TRUE,FILTER('Chi tiết từng link'!$B$2:$B$2505,'Chi tiết từng link'!$D$2:$D$2505=A262)))"),"https://techcombank.com/thong-tin/blog/nap-tien-vao-tai-khoan-ngan-hang
https://techcombank.com/thong-tin/blog/rut-tien-bang-ma-qr-la-gi-cach-thuc-hien-nhu-the-nao
https://techcombank.com/thong-tin/blog/rut-tien-mat-tu-the-tin-dung
https://techcombank.com"&amp;"/thong-tin/blog/rui-ro-khi-gui-tiet-kiem-online")</f>
        <v>https://techcombank.com/thong-tin/blog/nap-tien-vao-tai-khoan-ngan-hang
https://techcombank.com/thong-tin/blog/rut-tien-bang-ma-qr-la-gi-cach-thuc-hien-nhu-the-nao
https://techcombank.com/thong-tin/blog/rut-tien-mat-tu-the-tin-dung
https://techcombank.com/thong-tin/blog/rui-ro-khi-gui-tiet-kiem-online</v>
      </c>
      <c r="D262" s="5" t="str">
        <f t="shared" si="1"/>
        <v>Vượt giới hạn 3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20" t="str">
        <f>IFERROR(__xludf.DUMMYFUNCTION("""COMPUTED_VALUE"""),"https://techcombank.com/thong-tin/blog/the-tin-dung-hoan-tien")</f>
        <v>https://techcombank.com/thong-tin/blog/the-tin-dung-hoan-tien</v>
      </c>
      <c r="B263" s="25">
        <f>IFERROR(__xludf.DUMMYFUNCTION("""COMPUTED_VALUE"""),4.0)</f>
        <v>4</v>
      </c>
      <c r="C263" s="5" t="str">
        <f>IFERROR(__xludf.DUMMYFUNCTION("IF(A263="""","""",TEXTJOIN(CHAR(10),TRUE,FILTER('Chi tiết từng link'!$B$2:$B$2505,'Chi tiết từng link'!$D$2:$D$2505=A263)))"),"https://techcombank.com/thong-tin/blog/lam-the-tin-dung
https://techcombank.com/khach-hang-ca-nhan/chi-tieu/the/the-tin-dung/techcombank-everyday
https://techcombank.com/thong-tin/blog/cach-huy-the-tin-dung
https://techcombank.com/thong-tin/blog/cach-than"&amp;"h-toan-the-tin-dung")</f>
        <v>https://techcombank.com/thong-tin/blog/lam-the-tin-dung
https://techcombank.com/khach-hang-ca-nhan/chi-tieu/the/the-tin-dung/techcombank-everyday
https://techcombank.com/thong-tin/blog/cach-huy-the-tin-dung
https://techcombank.com/thong-tin/blog/cach-thanh-toan-the-tin-dung</v>
      </c>
      <c r="D263" s="5" t="str">
        <f t="shared" si="1"/>
        <v>Vượt giới hạn 3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20" t="str">
        <f>IFERROR(__xludf.DUMMYFUNCTION("""COMPUTED_VALUE"""),"https://techcombank.com/thong-tin/blog/thu-tuc-mua-xe-tra-gop")</f>
        <v>https://techcombank.com/thong-tin/blog/thu-tuc-mua-xe-tra-gop</v>
      </c>
      <c r="B264" s="25">
        <f>IFERROR(__xludf.DUMMYFUNCTION("""COMPUTED_VALUE"""),4.0)</f>
        <v>4</v>
      </c>
      <c r="C264" s="5" t="str">
        <f>IFERROR(__xludf.DUMMYFUNCTION("IF(A264="""","""",TEXTJOIN(CHAR(10),TRUE,FILTER('Chi tiết từng link'!$B$2:$B$2505,'Chi tiết từng link'!$D$2:$D$2505=A264)))"),"https://techcombank.com/thong-tin/blog/lai-suat-vay-mua-o-to
https://techcombank.com/thong-tin/blog/vay-ngan-hang-1-ty-moi-thang-tra-bao-nhieu
https://techcombank.com/thong-tin/blog/cach-tinh-lai-vay-ngan-hang
https://techcombank.com/cong-cu-tien-ich/cong"&amp;"-cu-tinh-toan/bang-tinh-lai-suat-vay")</f>
        <v>https://techcombank.com/thong-tin/blog/lai-suat-vay-mua-o-to
https://techcombank.com/thong-tin/blog/vay-ngan-hang-1-ty-moi-thang-tra-bao-nhieu
https://techcombank.com/thong-tin/blog/cach-tinh-lai-vay-ngan-hang
https://techcombank.com/cong-cu-tien-ich/cong-cu-tinh-toan/bang-tinh-lai-suat-vay</v>
      </c>
      <c r="D264" s="5" t="str">
        <f t="shared" si="1"/>
        <v>Vượt giới hạn 3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20" t="str">
        <f>IFERROR(__xludf.DUMMYFUNCTION("""COMPUTED_VALUE"""),"https://techcombank.com/thong-tin/blog/thue-thu-nhap-ca-nhan")</f>
        <v>https://techcombank.com/thong-tin/blog/thue-thu-nhap-ca-nhan</v>
      </c>
      <c r="B265" s="25">
        <f>IFERROR(__xludf.DUMMYFUNCTION("""COMPUTED_VALUE"""),4.0)</f>
        <v>4</v>
      </c>
      <c r="C265" s="5" t="str">
        <f>IFERROR(__xludf.DUMMYFUNCTION("IF(A265="""","""",TEXTJOIN(CHAR(10),TRUE,FILTER('Chi tiết từng link'!$B$2:$B$2505,'Chi tiết từng link'!$D$2:$D$2505=A265)))"),"https://techcombank.com/thong-tin/blog/cach-nop-thue-dien-tu
https://techcombank.com/thong-tin/blog/cach-mo-tai-khoan
https://techcombank.com/thong-tin/blog/kiem-tra-thue-thu-nhap-ca-nhan
https://techcombank.com/thong-tin/blog/ho-kinh-doanh-dong-thue-nhu-"&amp;"nao")</f>
        <v>https://techcombank.com/thong-tin/blog/cach-nop-thue-dien-tu
https://techcombank.com/thong-tin/blog/cach-mo-tai-khoan
https://techcombank.com/thong-tin/blog/kiem-tra-thue-thu-nhap-ca-nhan
https://techcombank.com/thong-tin/blog/ho-kinh-doanh-dong-thue-nhu-nao</v>
      </c>
      <c r="D265" s="5" t="str">
        <f t="shared" si="1"/>
        <v>Vượt giới hạn 3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20" t="str">
        <f>IFERROR(__xludf.DUMMYFUNCTION("""COMPUTED_VALUE"""),"https://techcombank.com/thong-tin/blog/thue-thu-nhap-doanh-nghiep")</f>
        <v>https://techcombank.com/thong-tin/blog/thue-thu-nhap-doanh-nghiep</v>
      </c>
      <c r="B266" s="25">
        <f>IFERROR(__xludf.DUMMYFUNCTION("""COMPUTED_VALUE"""),4.0)</f>
        <v>4</v>
      </c>
      <c r="C266" s="5" t="str">
        <f>IFERROR(__xludf.DUMMYFUNCTION("IF(A266="""","""",TEXTJOIN(CHAR(10),TRUE,FILTER('Chi tiết từng link'!$B$2:$B$2505,'Chi tiết từng link'!$D$2:$D$2505=A266)))"),"https://techcombank.com/thong-tin/blog/nop-thue-dat-qua-ngan-hang
https://techcombank.com/thong-tin/blog/cach-nop-thue-dien-tu
https://techcombank.com/thong-tin/blog/cach-tinh-thue-thu-nhap-doanh-nghiep
https://techcombank.com/thong-tin/blog/ho-kinh-doanh"&amp;"-dong-thue-nhu-nao")</f>
        <v>https://techcombank.com/thong-tin/blog/nop-thue-dat-qua-ngan-hang
https://techcombank.com/thong-tin/blog/cach-nop-thue-dien-tu
https://techcombank.com/thong-tin/blog/cach-tinh-thue-thu-nhap-doanh-nghiep
https://techcombank.com/thong-tin/blog/ho-kinh-doanh-dong-thue-nhu-nao</v>
      </c>
      <c r="D266" s="5" t="str">
        <f t="shared" si="1"/>
        <v>Vượt giới hạn 3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20" t="str">
        <f>IFERROR(__xludf.DUMMYFUNCTION("""COMPUTED_VALUE"""),"https://techcombank.com/thong-tin/blog/tien-nhat")</f>
        <v>https://techcombank.com/thong-tin/blog/tien-nhat</v>
      </c>
      <c r="B267" s="25">
        <f>IFERROR(__xludf.DUMMYFUNCTION("""COMPUTED_VALUE"""),4.0)</f>
        <v>4</v>
      </c>
      <c r="C267" s="5" t="str">
        <f>IFERROR(__xludf.DUMMYFUNCTION("IF(A267="""","""",TEXTJOIN(CHAR(10),TRUE,FILTER('Chi tiết từng link'!$B$2:$B$2505,'Chi tiết từng link'!$D$2:$D$2505=A267)))"),"https://techcombank.com/thong-tin/blog/chuyen-khoan-thanh-cong-nhung-khong-nhan-duoc-tien
https://techcombank.com/thong-tin/blog/1-yen-bang-bao-nhieu-tien-viet-nam
https://techcombank.com/thong-tin/blog/1-man-bang-bao-nhieu-tien-viet
https://techcombank.c"&amp;"om/thong-tin/blog/doi-tien-do-o-dau")</f>
        <v>https://techcombank.com/thong-tin/blog/chuyen-khoan-thanh-cong-nhung-khong-nhan-duoc-tien
https://techcombank.com/thong-tin/blog/1-yen-bang-bao-nhieu-tien-viet-nam
https://techcombank.com/thong-tin/blog/1-man-bang-bao-nhieu-tien-viet
https://techcombank.com/thong-tin/blog/doi-tien-do-o-dau</v>
      </c>
      <c r="D267" s="5" t="str">
        <f t="shared" si="1"/>
        <v>Vượt giới hạn 3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20" t="str">
        <f>IFERROR(__xludf.DUMMYFUNCTION("""COMPUTED_VALUE"""),"https://techcombank.com/thong-tin/blog/tra-luong-tien-mat")</f>
        <v>https://techcombank.com/thong-tin/blog/tra-luong-tien-mat</v>
      </c>
      <c r="B268" s="25">
        <f>IFERROR(__xludf.DUMMYFUNCTION("""COMPUTED_VALUE"""),4.0)</f>
        <v>4</v>
      </c>
      <c r="C268" s="5" t="str">
        <f>IFERROR(__xludf.DUMMYFUNCTION("IF(A268="""","""",TEXTJOIN(CHAR(10),TRUE,FILTER('Chi tiết từng link'!$B$2:$B$2505,'Chi tiết từng link'!$D$2:$D$2505=A268)))"),"https://techcombank.com/thong-tin/blog/cong-ty-su-dung-tai-khoan-ca-nhan
https://techcombank.com/thong-tin/blog/cach-tinh-thue-thu-nhap-ca-nhan-2025
https://techcombank.com/thong-tin/blog/rut-tien-mat-tu-the-tin-dung
https://techcombank.com/thong-tin/blog"&amp;"/rui-ro-khi-gui-tiet-kiem-online")</f>
        <v>https://techcombank.com/thong-tin/blog/cong-ty-su-dung-tai-khoan-ca-nhan
https://techcombank.com/thong-tin/blog/cach-tinh-thue-thu-nhap-ca-nhan-2025
https://techcombank.com/thong-tin/blog/rut-tien-mat-tu-the-tin-dung
https://techcombank.com/thong-tin/blog/rui-ro-khi-gui-tiet-kiem-online</v>
      </c>
      <c r="D268" s="5" t="str">
        <f t="shared" si="1"/>
        <v>Vượt giới hạn 3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20" t="str">
        <f>IFERROR(__xludf.DUMMYFUNCTION("""COMPUTED_VALUE"""),"https://techcombank.com/thong-tin/blog/tra-no-vay-thau-chi-nhu-the-nao")</f>
        <v>https://techcombank.com/thong-tin/blog/tra-no-vay-thau-chi-nhu-the-nao</v>
      </c>
      <c r="B269" s="25">
        <f>IFERROR(__xludf.DUMMYFUNCTION("""COMPUTED_VALUE"""),4.0)</f>
        <v>4</v>
      </c>
      <c r="C269" s="5" t="str">
        <f>IFERROR(__xludf.DUMMYFUNCTION("IF(A269="""","""",TEXTJOIN(CHAR(10),TRUE,FILTER('Chi tiết từng link'!$B$2:$B$2505,'Chi tiết từng link'!$D$2:$D$2505=A269)))"),"https://techcombank.com/thong-tin/blog/cach-tinh-lai-suat-tien-gui-tiet-kiem
https://techcombank.com/thong-tin/blog/rui-ro-khi-gui-tiet-kiem-online
https://techcombank.com/cong-cu-tien-ich/cong-cu-tinh-toan/bang-tinh-lai-suat-tiet-kiem
https://techcombank"&amp;".com/thong-tin/blog/vay-thau-chi-la-gi")</f>
        <v>https://techcombank.com/thong-tin/blog/cach-tinh-lai-suat-tien-gui-tiet-kiem
https://techcombank.com/thong-tin/blog/rui-ro-khi-gui-tiet-kiem-online
https://techcombank.com/cong-cu-tien-ich/cong-cu-tinh-toan/bang-tinh-lai-suat-tiet-kiem
https://techcombank.com/thong-tin/blog/vay-thau-chi-la-gi</v>
      </c>
      <c r="D269" s="5" t="str">
        <f t="shared" si="1"/>
        <v>Vượt giới hạn 3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20" t="str">
        <f>IFERROR(__xludf.DUMMYFUNCTION("""COMPUTED_VALUE"""),"https://techcombank.com/thong-tin/blog/vay-100-trieu")</f>
        <v>https://techcombank.com/thong-tin/blog/vay-100-trieu</v>
      </c>
      <c r="B270" s="25">
        <f>IFERROR(__xludf.DUMMYFUNCTION("""COMPUTED_VALUE"""),4.0)</f>
        <v>4</v>
      </c>
      <c r="C270" s="5" t="str">
        <f>IFERROR(__xludf.DUMMYFUNCTION("IF(A270="""","""",TEXTJOIN(CHAR(10),TRUE,FILTER('Chi tiết từng link'!$B$2:$B$2505,'Chi tiết từng link'!$D$2:$D$2505=A270)))"),"https://techcombank.com/thong-tin/blog/vay-ngan-hang-1-ty-moi-thang-tra-bao-nhieu
https://techcombank.com/thong-tin/blog/cach-tinh-lai-vay-ngan-hang
https://techcombank.com/thong-tin/blog/cach-tiet-kiem-tien
https://techcombank.com/cong-cu-tien-ich/cong-c"&amp;"u-tinh-toan/bang-tinh-lai-suat-vay")</f>
        <v>https://techcombank.com/thong-tin/blog/vay-ngan-hang-1-ty-moi-thang-tra-bao-nhieu
https://techcombank.com/thong-tin/blog/cach-tinh-lai-vay-ngan-hang
https://techcombank.com/thong-tin/blog/cach-tiet-kiem-tien
https://techcombank.com/cong-cu-tien-ich/cong-cu-tinh-toan/bang-tinh-lai-suat-vay</v>
      </c>
      <c r="D270" s="5" t="str">
        <f t="shared" si="1"/>
        <v>Vượt giới hạn 3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20" t="str">
        <f>IFERROR(__xludf.DUMMYFUNCTION("""COMPUTED_VALUE"""),"https://techcombank.com/thong-tin/blog/vay-30-trieu")</f>
        <v>https://techcombank.com/thong-tin/blog/vay-30-trieu</v>
      </c>
      <c r="B271" s="25">
        <f>IFERROR(__xludf.DUMMYFUNCTION("""COMPUTED_VALUE"""),4.0)</f>
        <v>4</v>
      </c>
      <c r="C271" s="5" t="str">
        <f>IFERROR(__xludf.DUMMYFUNCTION("IF(A271="""","""",TEXTJOIN(CHAR(10),TRUE,FILTER('Chi tiết từng link'!$B$2:$B$2505,'Chi tiết từng link'!$D$2:$D$2505=A271)))"),"https://techcombank.com/thong-tin/blog/vay-ngan-hang-1-ty-moi-thang-tra-bao-nhieu
https://techcombank.com/thong-tin/blog/cach-tinh-lai-vay-ngan-hang
https://techcombank.com/cong-cu-tien-ich/cong-cu-tinh-toan/bang-tinh-lai-suat-vay
https://techcombank.com/"&amp;"thong-tin/blog/app-vay-tien-nhanh")</f>
        <v>https://techcombank.com/thong-tin/blog/vay-ngan-hang-1-ty-moi-thang-tra-bao-nhieu
https://techcombank.com/thong-tin/blog/cach-tinh-lai-vay-ngan-hang
https://techcombank.com/cong-cu-tien-ich/cong-cu-tinh-toan/bang-tinh-lai-suat-vay
https://techcombank.com/thong-tin/blog/app-vay-tien-nhanh</v>
      </c>
      <c r="D271" s="5" t="str">
        <f t="shared" si="1"/>
        <v>Vượt giới hạn 3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20" t="str">
        <f>IFERROR(__xludf.DUMMYFUNCTION("""COMPUTED_VALUE"""),"https://techcombank.com/thong-tin/blog/vay-han-muc-la-gi")</f>
        <v>https://techcombank.com/thong-tin/blog/vay-han-muc-la-gi</v>
      </c>
      <c r="B272" s="25">
        <f>IFERROR(__xludf.DUMMYFUNCTION("""COMPUTED_VALUE"""),4.0)</f>
        <v>4</v>
      </c>
      <c r="C272" s="5" t="str">
        <f>IFERROR(__xludf.DUMMYFUNCTION("IF(A272="""","""",TEXTJOIN(CHAR(10),TRUE,FILTER('Chi tiết từng link'!$B$2:$B$2505,'Chi tiết từng link'!$D$2:$D$2505=A272)))"),"https://techcombank.com/thong-tin/blog/xep-hang-tin-dung
https://techcombank.com/thong-tin/blog/cach-tinh-lai-vay-ngan-hang
https://techcombank.com/cong-cu-tien-ich/cong-cu-tinh-toan/bang-tinh-lai-suat-vay
https://techcombank.com/thong-tin/blog/vay-thau-c"&amp;"hi-la-gi")</f>
        <v>https://techcombank.com/thong-tin/blog/xep-hang-tin-dung
https://techcombank.com/thong-tin/blog/cach-tinh-lai-vay-ngan-hang
https://techcombank.com/cong-cu-tien-ich/cong-cu-tinh-toan/bang-tinh-lai-suat-vay
https://techcombank.com/thong-tin/blog/vay-thau-chi-la-gi</v>
      </c>
      <c r="D272" s="5" t="str">
        <f t="shared" si="1"/>
        <v>Vượt giới hạn 3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20" t="str">
        <f>IFERROR(__xludf.DUMMYFUNCTION("""COMPUTED_VALUE"""),"https://techcombank.com/thong-tin/blog/vay-mua-nha-tra-gop")</f>
        <v>https://techcombank.com/thong-tin/blog/vay-mua-nha-tra-gop</v>
      </c>
      <c r="B273" s="25">
        <f>IFERROR(__xludf.DUMMYFUNCTION("""COMPUTED_VALUE"""),4.0)</f>
        <v>4</v>
      </c>
      <c r="C273" s="5" t="str">
        <f>IFERROR(__xludf.DUMMYFUNCTION("IF(A273="""","""",TEXTJOIN(CHAR(10),TRUE,FILTER('Chi tiết từng link'!$B$2:$B$2505,'Chi tiết từng link'!$D$2:$D$2505=A273)))"),"https://techcombank.com/thong-tin/blog/vay-ngan-hang-1-ty-moi-thang-tra-bao-nhieu
https://techcombank.com/thong-tin/blog/cach-tinh-lai-vay-ngan-hang
https://techcombank.com/thong-tin/blog/lai-suat-tiet-kiem
https://techcombank.com/cong-cu-tien-ich/cong-cu"&amp;"-tinh-toan/bang-tinh-lai-suat-vay")</f>
        <v>https://techcombank.com/thong-tin/blog/vay-ngan-hang-1-ty-moi-thang-tra-bao-nhieu
https://techcombank.com/thong-tin/blog/cach-tinh-lai-vay-ngan-hang
https://techcombank.com/thong-tin/blog/lai-suat-tiet-kiem
https://techcombank.com/cong-cu-tien-ich/cong-cu-tinh-toan/bang-tinh-lai-suat-vay</v>
      </c>
      <c r="D273" s="5" t="str">
        <f t="shared" si="1"/>
        <v>Vượt giới hạn 3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20" t="str">
        <f>IFERROR(__xludf.DUMMYFUNCTION("""COMPUTED_VALUE"""),"https://techcombank.com/thong-tin/blog/vay-the-chap-khong-chung-minh-thu-nhap")</f>
        <v>https://techcombank.com/thong-tin/blog/vay-the-chap-khong-chung-minh-thu-nhap</v>
      </c>
      <c r="B274" s="25">
        <f>IFERROR(__xludf.DUMMYFUNCTION("""COMPUTED_VALUE"""),4.0)</f>
        <v>4</v>
      </c>
      <c r="C274" s="5" t="str">
        <f>IFERROR(__xludf.DUMMYFUNCTION("IF(A274="""","""",TEXTJOIN(CHAR(10),TRUE,FILTER('Chi tiết từng link'!$B$2:$B$2505,'Chi tiết từng link'!$D$2:$D$2505=A274)))"),"https://techcombank.com/thong-tin/blog/cach-sao-ke-tai-khoan-ngan-hang
https://techcombank.com/thong-tin/blog/vay-ngan-hang-1-ty-moi-thang-tra-bao-nhieu
https://techcombank.com/thong-tin/blog/lai-suat-vay-the-chap-so-do
https://techcombank.com/thong-tin/b"&amp;"log/ho-so-thu-tuc-xoa-the-chap")</f>
        <v>https://techcombank.com/thong-tin/blog/cach-sao-ke-tai-khoan-ngan-hang
https://techcombank.com/thong-tin/blog/vay-ngan-hang-1-ty-moi-thang-tra-bao-nhieu
https://techcombank.com/thong-tin/blog/lai-suat-vay-the-chap-so-do
https://techcombank.com/thong-tin/blog/ho-so-thu-tuc-xoa-the-chap</v>
      </c>
      <c r="D274" s="5" t="str">
        <f t="shared" si="1"/>
        <v>Vượt giới hạn 3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20" t="str">
        <f>IFERROR(__xludf.DUMMYFUNCTION("""COMPUTED_VALUE"""),"https://techcombank.com/thong-tin/blog/vay-the-chap-so-bao-hiem-xa-hoi")</f>
        <v>https://techcombank.com/thong-tin/blog/vay-the-chap-so-bao-hiem-xa-hoi</v>
      </c>
      <c r="B275" s="25">
        <f>IFERROR(__xludf.DUMMYFUNCTION("""COMPUTED_VALUE"""),4.0)</f>
        <v>4</v>
      </c>
      <c r="C275" s="5" t="str">
        <f>IFERROR(__xludf.DUMMYFUNCTION("IF(A275="""","""",TEXTJOIN(CHAR(10),TRUE,FILTER('Chi tiết từng link'!$B$2:$B$2505,'Chi tiết từng link'!$D$2:$D$2505=A275)))"),"https://techcombank.com/thong-tin/blog/vay-ngan-hang-1-ty-moi-thang-tra-bao-nhieu
https://techcombank.com/thong-tin/blog/lai-suat-vay-the-chap-so-do
https://techcombank.com/thong-tin/blog/ho-so-thu-tuc-xoa-the-chap
https://techcombank.com/thong-tin/blog/r"&amp;"ui-ro-khi-gui-tiet-kiem-online")</f>
        <v>https://techcombank.com/thong-tin/blog/vay-ngan-hang-1-ty-moi-thang-tra-bao-nhieu
https://techcombank.com/thong-tin/blog/lai-suat-vay-the-chap-so-do
https://techcombank.com/thong-tin/blog/ho-so-thu-tuc-xoa-the-chap
https://techcombank.com/thong-tin/blog/rui-ro-khi-gui-tiet-kiem-online</v>
      </c>
      <c r="D275" s="5" t="str">
        <f t="shared" si="1"/>
        <v>Vượt giới hạn 3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20" t="str">
        <f>IFERROR(__xludf.DUMMYFUNCTION("""COMPUTED_VALUE"""),"https://techcombank.com/thong-tin/blog/vay-the-chap-xe-o-to-cu")</f>
        <v>https://techcombank.com/thong-tin/blog/vay-the-chap-xe-o-to-cu</v>
      </c>
      <c r="B276" s="25">
        <f>IFERROR(__xludf.DUMMYFUNCTION("""COMPUTED_VALUE"""),4.0)</f>
        <v>4</v>
      </c>
      <c r="C276" s="5" t="str">
        <f>IFERROR(__xludf.DUMMYFUNCTION("IF(A276="""","""",TEXTJOIN(CHAR(10),TRUE,FILTER('Chi tiết từng link'!$B$2:$B$2505,'Chi tiết từng link'!$D$2:$D$2505=A276)))"),"https://techcombank.com/thong-tin/blog/lai-suat-vay-mua-o-to
https://techcombank.com/thong-tin/blog/vay-ngan-hang-1-ty-moi-thang-tra-bao-nhieu
https://techcombank.com/thong-tin/blog/lai-suat-vay-the-chap-so-do
https://techcombank.com/thong-tin/blog/ho-so-"&amp;"thu-tuc-xoa-the-chap")</f>
        <v>https://techcombank.com/thong-tin/blog/lai-suat-vay-mua-o-to
https://techcombank.com/thong-tin/blog/vay-ngan-hang-1-ty-moi-thang-tra-bao-nhieu
https://techcombank.com/thong-tin/blog/lai-suat-vay-the-chap-so-do
https://techcombank.com/thong-tin/blog/ho-so-thu-tuc-xoa-the-chap</v>
      </c>
      <c r="D276" s="5" t="str">
        <f t="shared" si="1"/>
        <v>Vượt giới hạn 3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20" t="str">
        <f>IFERROR(__xludf.DUMMYFUNCTION("""COMPUTED_VALUE"""),"https://techcombank.com/thong-tin/blog/vay-tin-chap-theo-luong")</f>
        <v>https://techcombank.com/thong-tin/blog/vay-tin-chap-theo-luong</v>
      </c>
      <c r="B277" s="25">
        <f>IFERROR(__xludf.DUMMYFUNCTION("""COMPUTED_VALUE"""),4.0)</f>
        <v>4</v>
      </c>
      <c r="C277" s="5" t="str">
        <f>IFERROR(__xludf.DUMMYFUNCTION("IF(A277="""","""",TEXTJOIN(CHAR(10),TRUE,FILTER('Chi tiết từng link'!$B$2:$B$2505,'Chi tiết từng link'!$D$2:$D$2505=A277)))"),"https://techcombank.com/thong-tin/blog/cach-thanh-toan-the-tin-dung
https://techcombank.com/thong-tin/blog/cach-tinh-lai-vay-ngan-hang
https://techcombank.com/thong-tin/blog/cach-tiet-kiem-tien
https://techcombank.com/cong-cu-tien-ich/cong-cu-tinh-toan/ba"&amp;"ng-tinh-lai-suat-vay")</f>
        <v>https://techcombank.com/thong-tin/blog/cach-thanh-toan-the-tin-dung
https://techcombank.com/thong-tin/blog/cach-tinh-lai-vay-ngan-hang
https://techcombank.com/thong-tin/blog/cach-tiet-kiem-tien
https://techcombank.com/cong-cu-tien-ich/cong-cu-tinh-toan/bang-tinh-lai-suat-vay</v>
      </c>
      <c r="D277" s="5" t="str">
        <f t="shared" si="1"/>
        <v>Vượt giới hạn 3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20" t="str">
        <f>IFERROR(__xludf.DUMMYFUNCTION("""COMPUTED_VALUE"""),"https://techcombank.com/thong-tin/blog/xu-huong-ty-gia-usd")</f>
        <v>https://techcombank.com/thong-tin/blog/xu-huong-ty-gia-usd</v>
      </c>
      <c r="B278" s="25">
        <f>IFERROR(__xludf.DUMMYFUNCTION("""COMPUTED_VALUE"""),4.0)</f>
        <v>4</v>
      </c>
      <c r="C278" s="5" t="str">
        <f>IFERROR(__xludf.DUMMYFUNCTION("IF(A278="""","""",TEXTJOIN(CHAR(10),TRUE,FILTER('Chi tiết từng link'!$B$2:$B$2505,'Chi tiết từng link'!$D$2:$D$2505=A278)))"),"https://techcombank.com/thong-tin/blog/1-dong-do-la-my-bang-bao-nhieu-tien-viet-nam
https://techcombank.com/thong-tin/blog/1-trieu-do-bang-bao-nhieu-tien-viet
https://techcombank.com/thong-tin/blog/cach-nhan-tien-tu-nuoc-ngoai-ve-viet-nam
https://techcomb"&amp;"ank.com/thong-tin/blog/doi-tien-do-o-dau")</f>
        <v>https://techcombank.com/thong-tin/blog/1-dong-do-la-my-bang-bao-nhieu-tien-viet-nam
https://techcombank.com/thong-tin/blog/1-trieu-do-bang-bao-nhieu-tien-viet
https://techcombank.com/thong-tin/blog/cach-nhan-tien-tu-nuoc-ngoai-ve-viet-nam
https://techcombank.com/thong-tin/blog/doi-tien-do-o-dau</v>
      </c>
      <c r="D278" s="5" t="str">
        <f t="shared" si="1"/>
        <v>Vượt giới hạn 3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20" t="str">
        <f>IFERROR(__xludf.DUMMYFUNCTION("""COMPUTED_VALUE"""),"https://techcombank.com/thong-tin/blog/1-cent-bang-bao-nhieu-tien-viet")</f>
        <v>https://techcombank.com/thong-tin/blog/1-cent-bang-bao-nhieu-tien-viet</v>
      </c>
      <c r="B279" s="25">
        <f>IFERROR(__xludf.DUMMYFUNCTION("""COMPUTED_VALUE"""),3.0)</f>
        <v>3</v>
      </c>
      <c r="C279" s="5" t="str">
        <f>IFERROR(__xludf.DUMMYFUNCTION("IF(A279="""","""",TEXTJOIN(CHAR(10),TRUE,FILTER('Chi tiết từng link'!$B$2:$B$2505,'Chi tiết từng link'!$D$2:$D$2505=A279)))"),"https://techcombank.com/thong-tin/blog/1-dong-do-la-my-bang-bao-nhieu-tien-viet-nam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279" s="5" t="str">
        <f t="shared" si="1"/>
        <v>OK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20" t="str">
        <f>IFERROR(__xludf.DUMMYFUNCTION("""COMPUTED_VALUE"""),"https://techcombank.com/thong-tin/blog/1-man-bang-bao-nhieu-tien-viet")</f>
        <v>https://techcombank.com/thong-tin/blog/1-man-bang-bao-nhieu-tien-viet</v>
      </c>
      <c r="B280" s="25">
        <f>IFERROR(__xludf.DUMMYFUNCTION("""COMPUTED_VALUE"""),3.0)</f>
        <v>3</v>
      </c>
      <c r="C280" s="5" t="str">
        <f>IFERROR(__xludf.DUMMYFUNCTION("IF(A280="""","""",TEXTJOIN(CHAR(10),TRUE,FILTER('Chi tiết từng link'!$B$2:$B$2505,'Chi tiết từng link'!$D$2:$D$2505=A280)))"),"https://techcombank.com/thong-tin/blog/tien-nhat
https://techcombank.com/thong-tin/blog/1-yen-bang-bao-nhieu-tien-viet-nam
https://techcombank.com/thong-tin/blog/doi-tien-do-o-dau")</f>
        <v>https://techcombank.com/thong-tin/blog/tien-nhat
https://techcombank.com/thong-tin/blog/1-yen-bang-bao-nhieu-tien-viet-nam
https://techcombank.com/thong-tin/blog/doi-tien-do-o-dau</v>
      </c>
      <c r="D280" s="5" t="str">
        <f t="shared" si="1"/>
        <v>OK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20" t="str">
        <f>IFERROR(__xludf.DUMMYFUNCTION("""COMPUTED_VALUE"""),"https://techcombank.com/thong-tin/blog/1-nguoi-co-the-lam-duoc-bao-nhieu-the-atm")</f>
        <v>https://techcombank.com/thong-tin/blog/1-nguoi-co-the-lam-duoc-bao-nhieu-the-atm</v>
      </c>
      <c r="B281" s="25">
        <f>IFERROR(__xludf.DUMMYFUNCTION("""COMPUTED_VALUE"""),3.0)</f>
        <v>3</v>
      </c>
      <c r="C281" s="5" t="str">
        <f>IFERROR(__xludf.DUMMYFUNCTION("IF(A281="""","""",TEXTJOIN(CHAR(10),TRUE,FILTER('Chi tiết từng link'!$B$2:$B$2505,'Chi tiết từng link'!$D$2:$D$2505=A281)))"),"https://techcombank.com/thong-tin/blog/bao-nhieu-tuoi-duoc-mo-tai-khoan-ngan-hang
https://techcombank.com/thong-tin/blog/nap-tien-vao-tai-khoan-ngan-hang
https://techcombank.com/thong-tin/blog/rut-tien-bang-ma-qr-la-gi-cach-thuc-hien-nhu-the-nao")</f>
        <v>https://techcombank.com/thong-tin/blog/bao-nhieu-tuoi-duoc-mo-tai-khoan-ngan-hang
https://techcombank.com/thong-tin/blog/nap-tien-vao-tai-khoan-ngan-hang
https://techcombank.com/thong-tin/blog/rut-tien-bang-ma-qr-la-gi-cach-thuc-hien-nhu-the-nao</v>
      </c>
      <c r="D281" s="5" t="str">
        <f t="shared" si="1"/>
        <v>OK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20" t="str">
        <f>IFERROR(__xludf.DUMMYFUNCTION("""COMPUTED_VALUE"""),"https://techcombank.com/thong-tin/blog/1-trieu-won-bang-bao-nhieu-tien-viet")</f>
        <v>https://techcombank.com/thong-tin/blog/1-trieu-won-bang-bao-nhieu-tien-viet</v>
      </c>
      <c r="B282" s="25">
        <f>IFERROR(__xludf.DUMMYFUNCTION("""COMPUTED_VALUE"""),3.0)</f>
        <v>3</v>
      </c>
      <c r="C282" s="5" t="str">
        <f>IFERROR(__xludf.DUMMYFUNCTION("IF(A282="""","""",TEXTJOIN(CHAR(10),TRUE,FILTER('Chi tiết từng link'!$B$2:$B$2505,'Chi tiết từng link'!$D$2:$D$2505=A282)))"),"https://techcombank.com/thong-tin/blog/1-won-bang-bao-nhieu-tien-viet
https://techcombank.com/thong-tin/blog/1000-won-bang-bao-nhieu-tien-viet
https://techcombank.com/thong-tin/blog/doi-tien-do-o-dau")</f>
        <v>https://techcombank.com/thong-tin/blog/1-won-bang-bao-nhieu-tien-viet
https://techcombank.com/thong-tin/blog/1000-won-bang-bao-nhieu-tien-viet
https://techcombank.com/thong-tin/blog/doi-tien-do-o-dau</v>
      </c>
      <c r="D282" s="5" t="str">
        <f t="shared" si="1"/>
        <v>OK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20" t="str">
        <f>IFERROR(__xludf.DUMMYFUNCTION("""COMPUTED_VALUE"""),"https://techcombank.com/thong-tin/blog/1-yen-bang-bao-nhieu-tien-viet-nam")</f>
        <v>https://techcombank.com/thong-tin/blog/1-yen-bang-bao-nhieu-tien-viet-nam</v>
      </c>
      <c r="B283" s="25">
        <f>IFERROR(__xludf.DUMMYFUNCTION("""COMPUTED_VALUE"""),3.0)</f>
        <v>3</v>
      </c>
      <c r="C283" s="5" t="str">
        <f>IFERROR(__xludf.DUMMYFUNCTION("IF(A283="""","""",TEXTJOIN(CHAR(10),TRUE,FILTER('Chi tiết từng link'!$B$2:$B$2505,'Chi tiết từng link'!$D$2:$D$2505=A283)))"),"https://techcombank.com/thong-tin/blog/tien-nhat
https://techcombank.com/thong-tin/blog/1-man-bang-bao-nhieu-tien-viet
https://techcombank.com/thong-tin/blog/doi-tien-do-o-dau")</f>
        <v>https://techcombank.com/thong-tin/blog/tien-nhat
https://techcombank.com/thong-tin/blog/1-man-bang-bao-nhieu-tien-viet
https://techcombank.com/thong-tin/blog/doi-tien-do-o-dau</v>
      </c>
      <c r="D283" s="5" t="str">
        <f t="shared" si="1"/>
        <v>OK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20" t="str">
        <f>IFERROR(__xludf.DUMMYFUNCTION("""COMPUTED_VALUE"""),"https://techcombank.com/thong-tin/blog/6-chiec-lo-tai-chinh-ca-nhan")</f>
        <v>https://techcombank.com/thong-tin/blog/6-chiec-lo-tai-chinh-ca-nhan</v>
      </c>
      <c r="B284" s="25">
        <f>IFERROR(__xludf.DUMMYFUNCTION("""COMPUTED_VALUE"""),3.0)</f>
        <v>3</v>
      </c>
      <c r="C284" s="5" t="str">
        <f>IFERROR(__xludf.DUMMYFUNCTION("IF(A284="""","""",TEXTJOIN(CHAR(10),TRUE,FILTER('Chi tiết từng link'!$B$2:$B$2505,'Chi tiết từng link'!$D$2:$D$2505=A284)))"),"https://techcombank.com/thong-tin/blog/cach-sao-ke-tai-khoan-ngan-hang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284" s="5" t="str">
        <f t="shared" si="1"/>
        <v>OK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20" t="str">
        <f>IFERROR(__xludf.DUMMYFUNCTION("""COMPUTED_VALUE"""),"https://techcombank.com/thong-tin/blog/app-dong-tien-dien-online")</f>
        <v>https://techcombank.com/thong-tin/blog/app-dong-tien-dien-online</v>
      </c>
      <c r="B285" s="25">
        <f>IFERROR(__xludf.DUMMYFUNCTION("""COMPUTED_VALUE"""),3.0)</f>
        <v>3</v>
      </c>
      <c r="C285" s="5" t="str">
        <f>IFERROR(__xludf.DUMMYFUNCTION("IF(A285="""","""",TEXTJOIN(CHAR(10),TRUE,FILTER('Chi tiết từng link'!$B$2:$B$2505,'Chi tiết từng link'!$D$2:$D$2505=A285)))"),"https://techcombank.com/thong-tin/blog/thue-vat-la-gi
https://techcombank.com/thong-tin/blog/cach-nap-the-viettel
https://techcombank.com/thong-tin/blog/cach-tinh-tien-dien-sinh-hoat")</f>
        <v>https://techcombank.com/thong-tin/blog/thue-vat-la-gi
https://techcombank.com/thong-tin/blog/cach-nap-the-viettel
https://techcombank.com/thong-tin/blog/cach-tinh-tien-dien-sinh-hoat</v>
      </c>
      <c r="D285" s="5" t="str">
        <f t="shared" si="1"/>
        <v>OK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35" t="str">
        <f>IFERROR(__xludf.DUMMYFUNCTION("""COMPUTED_VALUE"""),"https://techcombank.com/thong-tin/blog/app-vay-tien-nhanh")</f>
        <v>https://techcombank.com/thong-tin/blog/app-vay-tien-nhanh</v>
      </c>
      <c r="B286" s="25">
        <f>IFERROR(__xludf.DUMMYFUNCTION("""COMPUTED_VALUE"""),3.0)</f>
        <v>3</v>
      </c>
      <c r="C286" s="5" t="str">
        <f>IFERROR(__xludf.DUMMYFUNCTION("IF(A286="""","""",TEXTJOIN(CHAR(10),TRUE,FILTER('Chi tiết từng link'!$B$2:$B$2505,'Chi tiết từng link'!$D$2:$D$2505=A286)))"),"https://techcombank.com/thong-tin/blog/chuyen-khoan-thanh-cong-nhung-khong-nhan-duoc-tien
https://techcombank.com/thong-tin/blog/cach-quet-nfc-cccd-tren-iphone
https://techcombank.com/thong-tin/blog/nen-vay-tin-chap-o-dau")</f>
        <v>https://techcombank.com/thong-tin/blog/chuyen-khoan-thanh-cong-nhung-khong-nhan-duoc-tien
https://techcombank.com/thong-tin/blog/cach-quet-nfc-cccd-tren-iphone
https://techcombank.com/thong-tin/blog/nen-vay-tin-chap-o-dau</v>
      </c>
      <c r="D286" s="5" t="str">
        <f t="shared" si="1"/>
        <v>OK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35" t="str">
        <f>IFERROR(__xludf.DUMMYFUNCTION("""COMPUTED_VALUE"""),"https://techcombank.com/thong-tin/blog/barcode-la-gi")</f>
        <v>https://techcombank.com/thong-tin/blog/barcode-la-gi</v>
      </c>
      <c r="B287" s="25">
        <f>IFERROR(__xludf.DUMMYFUNCTION("""COMPUTED_VALUE"""),3.0)</f>
        <v>3</v>
      </c>
      <c r="C287" s="5" t="str">
        <f>IFERROR(__xludf.DUMMYFUNCTION("IF(A287="""","""",TEXTJOIN(CHAR(10),TRUE,FILTER('Chi tiết từng link'!$B$2:$B$2505,'Chi tiết từng link'!$D$2:$D$2505=A287)))"),"https://techcombank.com/thong-tin/blog/ho-kinh-doanh-dong-thue-nhu-nao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287" s="5" t="str">
        <f t="shared" si="1"/>
        <v>OK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35" t="str">
        <f>IFERROR(__xludf.DUMMYFUNCTION("""COMPUTED_VALUE"""),"https://techcombank.com/thong-tin/blog/bi-nuot-the-atm-phai-lam-sao")</f>
        <v>https://techcombank.com/thong-tin/blog/bi-nuot-the-atm-phai-lam-sao</v>
      </c>
      <c r="B288" s="25">
        <f>IFERROR(__xludf.DUMMYFUNCTION("""COMPUTED_VALUE"""),3.0)</f>
        <v>3</v>
      </c>
      <c r="C288" s="5" t="str">
        <f>IFERROR(__xludf.DUMMYFUNCTION("IF(A288="""","""",TEXTJOIN(CHAR(10),TRUE,FILTER('Chi tiết từng link'!$B$2:$B$2505,'Chi tiết từng link'!$D$2:$D$2505=A288)))"),"https://techcombank.com/thong-tin/blog/nap-tien-vao-tai-khoan-ngan-hang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288" s="5" t="str">
        <f t="shared" si="1"/>
        <v>OK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35" t="str">
        <f>IFERROR(__xludf.DUMMYFUNCTION("""COMPUTED_VALUE"""),"https://techcombank.com/thong-tin/blog/cach-bao-ve-tai-khoan")</f>
        <v>https://techcombank.com/thong-tin/blog/cach-bao-ve-tai-khoan</v>
      </c>
      <c r="B289" s="25">
        <f>IFERROR(__xludf.DUMMYFUNCTION("""COMPUTED_VALUE"""),3.0)</f>
        <v>3</v>
      </c>
      <c r="C289" s="5" t="str">
        <f>IFERROR(__xludf.DUMMYFUNCTION("IF(A289="""","""",TEXTJOIN(CHAR(10),TRUE,FILTER('Chi tiết từng link'!$B$2:$B$2505,'Chi tiết từng link'!$D$2:$D$2505=A289)))"),"https://techcombank.com/thong-tin/blog/cach-mo-tai-khoan
https://techcombank.com/thong-tin/blog/ten-dang-nhap-tai-khoan-ngan-hang-la-gi
https://techcombank.com/thong-tin/blog/rui-ro-khi-gui-tiet-kiem-online")</f>
        <v>https://techcombank.com/thong-tin/blog/cach-mo-tai-khoan
https://techcombank.com/thong-tin/blog/ten-dang-nhap-tai-khoan-ngan-hang-la-gi
https://techcombank.com/thong-tin/blog/rui-ro-khi-gui-tiet-kiem-online</v>
      </c>
      <c r="D289" s="5" t="str">
        <f t="shared" si="1"/>
        <v>OK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35" t="str">
        <f>IFERROR(__xludf.DUMMYFUNCTION("""COMPUTED_VALUE"""),"https://techcombank.com/thong-tin/blog/cach-chuyen-khoan-bang-dien-thoai")</f>
        <v>https://techcombank.com/thong-tin/blog/cach-chuyen-khoan-bang-dien-thoai</v>
      </c>
      <c r="B290" s="25">
        <f>IFERROR(__xludf.DUMMYFUNCTION("""COMPUTED_VALUE"""),3.0)</f>
        <v>3</v>
      </c>
      <c r="C290" s="5" t="str">
        <f>IFERROR(__xludf.DUMMYFUNCTION("IF(A290="""","""",TEXTJOIN(CHAR(10),TRUE,FILTER('Chi tiết từng link'!$B$2:$B$2505,'Chi tiết từng link'!$D$2:$D$2505=A290)))"),"https://techcombank.com/thong-tin/blog/chuyen-khoan-thanh-cong-nhung-khong-nhan-duoc-tien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0" s="5" t="str">
        <f t="shared" si="1"/>
        <v>OK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35" t="str">
        <f>IFERROR(__xludf.DUMMYFUNCTION("""COMPUTED_VALUE"""),"https://techcombank.com/thong-tin/blog/cach-chuyen-tien-qua-ma-qr-techcombank")</f>
        <v>https://techcombank.com/thong-tin/blog/cach-chuyen-tien-qua-ma-qr-techcombank</v>
      </c>
      <c r="B291" s="25">
        <f>IFERROR(__xludf.DUMMYFUNCTION("""COMPUTED_VALUE"""),3.0)</f>
        <v>3</v>
      </c>
      <c r="C291" s="5" t="str">
        <f>IFERROR(__xludf.DUMMYFUNCTION("IF(A291="""","""",TEXTJOIN(CHAR(10),TRUE,FILTER('Chi tiết từng link'!$B$2:$B$2505,'Chi tiết từng link'!$D$2:$D$2505=A291)))"),"https://techcombank.com/thong-tin/blog/chuyen-khoan-thanh-cong-nhung-khong-nhan-duoc-tien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1" s="5" t="str">
        <f t="shared" si="1"/>
        <v>OK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35" t="str">
        <f>IFERROR(__xludf.DUMMYFUNCTION("""COMPUTED_VALUE"""),"https://techcombank.com/thong-tin/blog/cach-khoa-the-ngan-hang")</f>
        <v>https://techcombank.com/thong-tin/blog/cach-khoa-the-ngan-hang</v>
      </c>
      <c r="B292" s="25">
        <f>IFERROR(__xludf.DUMMYFUNCTION("""COMPUTED_VALUE"""),3.0)</f>
        <v>3</v>
      </c>
      <c r="C292" s="5" t="str">
        <f>IFERROR(__xludf.DUMMYFUNCTION("IF(A292="""","""",TEXTJOIN(CHAR(10),TRUE,FILTER('Chi tiết từng link'!$B$2:$B$2505,'Chi tiết từng link'!$D$2:$D$2505=A292)))"),"https://techcombank.com/thong-tin/blog/ten-dang-nhap-tai-khoan-ngan-hang-la-gi
https://techcombank.com/thong-tin/blog/cach-huy-the-tin-dung
https://techcombank.com/thong-tin/blog/rui-ro-khi-gui-tiet-kiem-online")</f>
        <v>https://techcombank.com/thong-tin/blog/ten-dang-nhap-tai-khoan-ngan-hang-la-gi
https://techcombank.com/thong-tin/blog/cach-huy-the-tin-dung
https://techcombank.com/thong-tin/blog/rui-ro-khi-gui-tiet-kiem-online</v>
      </c>
      <c r="D292" s="5" t="str">
        <f t="shared" si="1"/>
        <v>OK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35" t="str">
        <f>IFERROR(__xludf.DUMMYFUNCTION("""COMPUTED_VALUE"""),"https://techcombank.com/thong-tin/blog/cach-kich-hoat-the-atm")</f>
        <v>https://techcombank.com/thong-tin/blog/cach-kich-hoat-the-atm</v>
      </c>
      <c r="B293" s="25">
        <f>IFERROR(__xludf.DUMMYFUNCTION("""COMPUTED_VALUE"""),3.0)</f>
        <v>3</v>
      </c>
      <c r="C293" s="5" t="str">
        <f>IFERROR(__xludf.DUMMYFUNCTION("IF(A293="""","""",TEXTJOIN(CHAR(10),TRUE,FILTER('Chi tiết từng link'!$B$2:$B$2505,'Chi tiết từng link'!$D$2:$D$2505=A293)))"),"https://techcombank.com/thong-tin/blog/nap-tien-vao-tai-khoan-ngan-hang
https://techcombank.com/thong-tin/blog/ten-dang-nhap-tai-khoan-ngan-hang-la-gi
https://techcombank.com/thong-tin/blog/rut-tien-bang-ma-qr-la-gi-cach-thuc-hien-nhu-the-nao")</f>
        <v>https://techcombank.com/thong-tin/blog/nap-tien-vao-tai-khoan-ngan-hang
https://techcombank.com/thong-tin/blog/ten-dang-nhap-tai-khoan-ngan-hang-la-gi
https://techcombank.com/thong-tin/blog/rut-tien-bang-ma-qr-la-gi-cach-thuc-hien-nhu-the-nao</v>
      </c>
      <c r="D293" s="5" t="str">
        <f t="shared" si="1"/>
        <v>OK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35" t="str">
        <f>IFERROR(__xludf.DUMMYFUNCTION("""COMPUTED_VALUE"""),"https://techcombank.com/thong-tin/blog/cach-nap-tien-vao-the-ghi-no")</f>
        <v>https://techcombank.com/thong-tin/blog/cach-nap-tien-vao-the-ghi-no</v>
      </c>
      <c r="B294" s="25">
        <f>IFERROR(__xludf.DUMMYFUNCTION("""COMPUTED_VALUE"""),3.0)</f>
        <v>3</v>
      </c>
      <c r="C294" s="5" t="str">
        <f>IFERROR(__xludf.DUMMYFUNCTION("IF(A294="""","""",TEXTJOIN(CHAR(10),TRUE,FILTER('Chi tiết từng link'!$B$2:$B$2505,'Chi tiết từng link'!$D$2:$D$2505=A294)))"),"https://techcombank.com/thong-tin/blog/nap-tien-vao-tai-khoan-ngan-hang
https://techcombank.com/thong-tin/blog/ten-dang-nhap-tai-khoan-ngan-hang-la-gi
https://techcombank.com/thong-tin/blog/eco-card")</f>
        <v>https://techcombank.com/thong-tin/blog/nap-tien-vao-tai-khoan-ngan-hang
https://techcombank.com/thong-tin/blog/ten-dang-nhap-tai-khoan-ngan-hang-la-gi
https://techcombank.com/thong-tin/blog/eco-card</v>
      </c>
      <c r="D294" s="5" t="str">
        <f t="shared" si="1"/>
        <v>OK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35" t="str">
        <f>IFERROR(__xludf.DUMMYFUNCTION("""COMPUTED_VALUE"""),"https://techcombank.com/thong-tin/blog/cach-nop-thue-dien-tu")</f>
        <v>https://techcombank.com/thong-tin/blog/cach-nop-thue-dien-tu</v>
      </c>
      <c r="B295" s="25">
        <f>IFERROR(__xludf.DUMMYFUNCTION("""COMPUTED_VALUE"""),3.0)</f>
        <v>3</v>
      </c>
      <c r="C295" s="5" t="str">
        <f>IFERROR(__xludf.DUMMYFUNCTION("IF(A295="""","""",TEXTJOIN(CHAR(10),TRUE,FILTER('Chi tiết từng link'!$B$2:$B$2505,'Chi tiết từng link'!$D$2:$D$2505=A295)))"),"https://techcombank.com/thong-tin/blog/nop-thue-dat-qua-ngan-hang
https://techcombank.com/thong-tin/blog/kiem-tra-thue-thu-nhap-ca-nhan
https://techcombank.com/thong-tin/blog/ho-kinh-doanh-dong-thue-nhu-nao")</f>
        <v>https://techcombank.com/thong-tin/blog/nop-thue-dat-qua-ngan-hang
https://techcombank.com/thong-tin/blog/kiem-tra-thue-thu-nhap-ca-nhan
https://techcombank.com/thong-tin/blog/ho-kinh-doanh-dong-thue-nhu-nao</v>
      </c>
      <c r="D295" s="5" t="str">
        <f t="shared" si="1"/>
        <v>OK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35" t="str">
        <f>IFERROR(__xludf.DUMMYFUNCTION("""COMPUTED_VALUE"""),"https://techcombank.com/thong-tin/blog/cach-su-dung-the-ghi-no")</f>
        <v>https://techcombank.com/thong-tin/blog/cach-su-dung-the-ghi-no</v>
      </c>
      <c r="B296" s="25">
        <f>IFERROR(__xludf.DUMMYFUNCTION("""COMPUTED_VALUE"""),3.0)</f>
        <v>3</v>
      </c>
      <c r="C296" s="5" t="str">
        <f>IFERROR(__xludf.DUMMYFUNCTION("IF(A296="""","""",TEXTJOIN(CHAR(10),TRUE,FILTER('Chi tiết từng link'!$B$2:$B$2505,'Chi tiết từng link'!$D$2:$D$2505=A296)))"),"https://techcombank.com/thong-tin/blog/rut-tien-bang-ma-qr-la-gi-cach-thuc-hien-nhu-the-nao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296" s="5" t="str">
        <f t="shared" si="1"/>
        <v>OK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35" t="str">
        <f>IFERROR(__xludf.DUMMYFUNCTION("""COMPUTED_VALUE"""),"https://techcombank.com/thong-tin/blog/cach-tao-ma-qr-code-mien-phi")</f>
        <v>https://techcombank.com/thong-tin/blog/cach-tao-ma-qr-code-mien-phi</v>
      </c>
      <c r="B297" s="25">
        <f>IFERROR(__xludf.DUMMYFUNCTION("""COMPUTED_VALUE"""),3.0)</f>
        <v>3</v>
      </c>
      <c r="C297" s="5" t="str">
        <f>IFERROR(__xludf.DUMMYFUNCTION("IF(A297="""","""",TEXTJOIN(CHAR(10),TRUE,FILTER('Chi tiết từng link'!$B$2:$B$2505,'Chi tiết từng link'!$D$2:$D$2505=A297)))"),"https://techcombank.com/thong-tin/blog/chuyen-khoan-thanh-cong-nhung-khong-nhan-duoc-tien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297" s="5" t="str">
        <f t="shared" si="1"/>
        <v>OK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35" t="str">
        <f>IFERROR(__xludf.DUMMYFUNCTION("""COMPUTED_VALUE"""),"https://techcombank.com/thong-tin/blog/cach-tinh-ty-gia-ky-han")</f>
        <v>https://techcombank.com/thong-tin/blog/cach-tinh-ty-gia-ky-han</v>
      </c>
      <c r="B298" s="25">
        <f>IFERROR(__xludf.DUMMYFUNCTION("""COMPUTED_VALUE"""),3.0)</f>
        <v>3</v>
      </c>
      <c r="C298" s="5" t="str">
        <f>IFERROR(__xludf.DUMMYFUNCTION("IF(A298="""","""",TEXTJOIN(CHAR(10),TRUE,FILTER('Chi tiết từng link'!$B$2:$B$2505,'Chi tiết từng link'!$D$2:$D$2505=A298)))"),"https://techcombank.com/thong-tin/blog/doi-tien-do-o-dau
https://techcombank.com/thong-tin/blog/lai-suat-tiet-kiem
https://techcombank.com/thong-tin/blog/rui-ro-khi-gui-tiet-kiem-online")</f>
        <v>https://techcombank.com/thong-tin/blog/doi-tien-do-o-dau
https://techcombank.com/thong-tin/blog/lai-suat-tiet-kiem
https://techcombank.com/thong-tin/blog/rui-ro-khi-gui-tiet-kiem-online</v>
      </c>
      <c r="D298" s="5" t="str">
        <f t="shared" si="1"/>
        <v>OK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35" t="str">
        <f>IFERROR(__xludf.DUMMYFUNCTION("""COMPUTED_VALUE"""),"https://techcombank.com/thong-tin/blog/cach-tra-cuu-hoa-don-dien-tu")</f>
        <v>https://techcombank.com/thong-tin/blog/cach-tra-cuu-hoa-don-dien-tu</v>
      </c>
      <c r="B299" s="25">
        <f>IFERROR(__xludf.DUMMYFUNCTION("""COMPUTED_VALUE"""),3.0)</f>
        <v>3</v>
      </c>
      <c r="C299" s="5" t="str">
        <f>IFERROR(__xludf.DUMMYFUNCTION("IF(A299="""","""",TEXTJOIN(CHAR(10),TRUE,FILTER('Chi tiết từng link'!$B$2:$B$2505,'Chi tiết từng link'!$D$2:$D$2505=A299)))"),"https://techcombank.com/thong-tin/blog/thue-vat-la-gi
https://techcombank.com/thong-tin/blog/cach-tinh-tien-dien-sinh-hoat
https://techcombank.com/thong-tin/blog/ho-kinh-doanh-dong-thue-nhu-nao")</f>
        <v>https://techcombank.com/thong-tin/blog/thue-vat-la-gi
https://techcombank.com/thong-tin/blog/cach-tinh-tien-dien-sinh-hoat
https://techcombank.com/thong-tin/blog/ho-kinh-doanh-dong-thue-nhu-nao</v>
      </c>
      <c r="D299" s="5" t="str">
        <f t="shared" si="1"/>
        <v>OK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35" t="str">
        <f>IFERROR(__xludf.DUMMYFUNCTION("""COMPUTED_VALUE"""),"https://techcombank.com/thong-tin/blog/cay-atm-gan-day")</f>
        <v>https://techcombank.com/thong-tin/blog/cay-atm-gan-day</v>
      </c>
      <c r="B300" s="25">
        <f>IFERROR(__xludf.DUMMYFUNCTION("""COMPUTED_VALUE"""),3.0)</f>
        <v>3</v>
      </c>
      <c r="C300" s="5" t="str">
        <f>IFERROR(__xludf.DUMMYFUNCTION("IF(A300="""","""",TEXTJOIN(CHAR(10),TRUE,FILTER('Chi tiết từng link'!$B$2:$B$2505,'Chi tiết từng link'!$D$2:$D$2505=A300)))"),"https://techcombank.com/thong-tin/blog/nap-tien-vao-tai-khoan-ngan-hang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00" s="5" t="str">
        <f t="shared" si="1"/>
        <v>OK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35" t="str">
        <f>IFERROR(__xludf.DUMMYFUNCTION("""COMPUTED_VALUE"""),"https://techcombank.com/thong-tin/blog/chi-tra-luong-huu")</f>
        <v>https://techcombank.com/thong-tin/blog/chi-tra-luong-huu</v>
      </c>
      <c r="B301" s="25">
        <f>IFERROR(__xludf.DUMMYFUNCTION("""COMPUTED_VALUE"""),3.0)</f>
        <v>3</v>
      </c>
      <c r="C301" s="5" t="str">
        <f>IFERROR(__xludf.DUMMYFUNCTION("IF(A301="""","""",TEXTJOIN(CHAR(10),TRUE,FILTER('Chi tiết từng link'!$B$2:$B$2505,'Chi tiết từng link'!$D$2:$D$2505=A301)))"),"https://techcombank.com/thong-tin/blog/cach-tinh-thue-thu-nhap-ca-nhan-2025
https://techcombank.com/thong-tin/blog/cach-mo-tai-khoan
https://techcombank.com/thong-tin/blog/thue-thu-nhap-ca-nhan")</f>
        <v>https://techcombank.com/thong-tin/blog/cach-tinh-thue-thu-nhap-ca-nhan-2025
https://techcombank.com/thong-tin/blog/cach-mo-tai-khoan
https://techcombank.com/thong-tin/blog/thue-thu-nhap-ca-nhan</v>
      </c>
      <c r="D301" s="5" t="str">
        <f t="shared" si="1"/>
        <v>OK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35" t="str">
        <f>IFERROR(__xludf.DUMMYFUNCTION("""COMPUTED_VALUE"""),"https://techcombank.com/thong-tin/blog/chinh-sach-tang-luong-huu")</f>
        <v>https://techcombank.com/thong-tin/blog/chinh-sach-tang-luong-huu</v>
      </c>
      <c r="B302" s="25">
        <f>IFERROR(__xludf.DUMMYFUNCTION("""COMPUTED_VALUE"""),3.0)</f>
        <v>3</v>
      </c>
      <c r="C302" s="5" t="str">
        <f>IFERROR(__xludf.DUMMYFUNCTION("IF(A302="""","""",TEXTJOIN(CHAR(10),TRUE,FILTER('Chi tiết từng link'!$B$2:$B$2505,'Chi tiết từng link'!$D$2:$D$2505=A302)))"),"https://techcombank.com/thong-tin/blog/cach-tinh-thue-thu-nhap-ca-nhan-2025
https://techcombank.com/thong-tin/blog/thue-thu-nhap-ca-nhan
https://techcombank.com/thong-tin/blog/cach-tiet-kiem-tien")</f>
        <v>https://techcombank.com/thong-tin/blog/cach-tinh-thue-thu-nhap-ca-nhan-2025
https://techcombank.com/thong-tin/blog/thue-thu-nhap-ca-nhan
https://techcombank.com/thong-tin/blog/cach-tiet-kiem-tien</v>
      </c>
      <c r="D302" s="5" t="str">
        <f t="shared" si="1"/>
        <v>OK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35" t="str">
        <f>IFERROR(__xludf.DUMMYFUNCTION("""COMPUTED_VALUE"""),"https://techcombank.com/thong-tin/blog/chung-chi-quy-va-chung-khoan")</f>
        <v>https://techcombank.com/thong-tin/blog/chung-chi-quy-va-chung-khoan</v>
      </c>
      <c r="B303" s="25">
        <f>IFERROR(__xludf.DUMMYFUNCTION("""COMPUTED_VALUE"""),3.0)</f>
        <v>3</v>
      </c>
      <c r="C303" s="5" t="str">
        <f>IFERROR(__xludf.DUMMYFUNCTION("IF(A303="""","""",TEXTJOIN(CHAR(10),TRUE,FILTER('Chi tiết từng link'!$B$2:$B$2505,'Chi tiết từng link'!$D$2:$D$2505=A303)))"),"https://techcombank.com/thong-tin/blog/chung-chi-tien-gui-la-gi
https://techcombank.com/thong-tin/blog/rui-ro-khi-gui-tiet-kiem-online
https://techcombank.com/thong-tin/blog/phuong-phap-dau-tu-chung-chi-quy")</f>
        <v>https://techcombank.com/thong-tin/blog/chung-chi-tien-gui-la-gi
https://techcombank.com/thong-tin/blog/rui-ro-khi-gui-tiet-kiem-online
https://techcombank.com/thong-tin/blog/phuong-phap-dau-tu-chung-chi-quy</v>
      </c>
      <c r="D303" s="5" t="str">
        <f t="shared" si="1"/>
        <v>OK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35" t="str">
        <f>IFERROR(__xludf.DUMMYFUNCTION("""COMPUTED_VALUE"""),"https://techcombank.com/thong-tin/blog/chung-chi-tien-gui-co-an-toan-khong")</f>
        <v>https://techcombank.com/thong-tin/blog/chung-chi-tien-gui-co-an-toan-khong</v>
      </c>
      <c r="B304" s="25">
        <f>IFERROR(__xludf.DUMMYFUNCTION("""COMPUTED_VALUE"""),3.0)</f>
        <v>3</v>
      </c>
      <c r="C304" s="5" t="str">
        <f>IFERROR(__xludf.DUMMYFUNCTION("IF(A304="""","""",TEXTJOIN(CHAR(10),TRUE,FILTER('Chi tiết từng link'!$B$2:$B$2505,'Chi tiết từng link'!$D$2:$D$2505=A304)))"),"https://techcombank.com/thong-tin/blog/chung-chi-tien-gui-la-gi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4" s="5" t="str">
        <f t="shared" si="1"/>
        <v>OK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35" t="str">
        <f>IFERROR(__xludf.DUMMYFUNCTION("""COMPUTED_VALUE"""),"https://techcombank.com/thong-tin/blog/chuyen-doi-ho-kinh-doanh-len-doanh-nghiep")</f>
        <v>https://techcombank.com/thong-tin/blog/chuyen-doi-ho-kinh-doanh-len-doanh-nghiep</v>
      </c>
      <c r="B305" s="25">
        <f>IFERROR(__xludf.DUMMYFUNCTION("""COMPUTED_VALUE"""),3.0)</f>
        <v>3</v>
      </c>
      <c r="C305" s="5" t="str">
        <f>IFERROR(__xludf.DUMMYFUNCTION("IF(A305="""","""",TEXTJOIN(CHAR(10),TRUE,FILTER('Chi tiết từng link'!$B$2:$B$2505,'Chi tiết từng link'!$D$2:$D$2505=A305)))"),"https://techcombank.com/thong-tin/blog/ho-kinh-doanh-dong-thue-nhu-nao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05" s="5" t="str">
        <f t="shared" si="1"/>
        <v>OK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35" t="str">
        <f>IFERROR(__xludf.DUMMYFUNCTION("""COMPUTED_VALUE"""),"https://techcombank.com/thong-tin/blog/chuyen-tien-tu-duc-ve-viet-nam")</f>
        <v>https://techcombank.com/thong-tin/blog/chuyen-tien-tu-duc-ve-viet-nam</v>
      </c>
      <c r="B306" s="25">
        <f>IFERROR(__xludf.DUMMYFUNCTION("""COMPUTED_VALUE"""),3.0)</f>
        <v>3</v>
      </c>
      <c r="C306" s="5" t="str">
        <f>IFERROR(__xludf.DUMMYFUNCTION("IF(A306="""","""",TEXTJOIN(CHAR(10),TRUE,FILTER('Chi tiết từng link'!$B$2:$B$2505,'Chi tiết từng link'!$D$2:$D$2505=A306)))"),"https://techcombank.com/thong-tin/blog/chuyen-khoan-thanh-cong-nhung-khong-nhan-duoc-tien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06" s="5" t="str">
        <f t="shared" si="1"/>
        <v>OK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35" t="str">
        <f>IFERROR(__xludf.DUMMYFUNCTION("""COMPUTED_VALUE"""),"https://techcombank.com/thong-tin/blog/co-nen-gui-chung-chi-tien-gui")</f>
        <v>https://techcombank.com/thong-tin/blog/co-nen-gui-chung-chi-tien-gui</v>
      </c>
      <c r="B307" s="25">
        <f>IFERROR(__xludf.DUMMYFUNCTION("""COMPUTED_VALUE"""),3.0)</f>
        <v>3</v>
      </c>
      <c r="C307" s="5" t="str">
        <f>IFERROR(__xludf.DUMMYFUNCTION("IF(A307="""","""",TEXTJOIN(CHAR(10),TRUE,FILTER('Chi tiết từng link'!$B$2:$B$2505,'Chi tiết từng link'!$D$2:$D$2505=A307)))"),"https://techcombank.com/thong-tin/blog/chung-chi-tien-gui-la-gi
https://techcombank.com/thong-tin/blog/lai-suat-chung-chi-tien-gui-cac-ngan-hang
https://techcombank.com/thong-tin/blog/phuong-phap-dau-tu-chung-chi-quy")</f>
        <v>https://techcombank.com/thong-tin/blog/chung-chi-tien-gui-la-gi
https://techcombank.com/thong-tin/blog/lai-suat-chung-chi-tien-gui-cac-ngan-hang
https://techcombank.com/thong-tin/blog/phuong-phap-dau-tu-chung-chi-quy</v>
      </c>
      <c r="D307" s="5" t="str">
        <f t="shared" si="1"/>
        <v>OK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35" t="str">
        <f>IFERROR(__xludf.DUMMYFUNCTION("""COMPUTED_VALUE"""),"https://techcombank.com/thong-tin/blog/co-nen-mua-so-tai-khoan-ngan-hang-dep")</f>
        <v>https://techcombank.com/thong-tin/blog/co-nen-mua-so-tai-khoan-ngan-hang-dep</v>
      </c>
      <c r="B308" s="25">
        <f>IFERROR(__xludf.DUMMYFUNCTION("""COMPUTED_VALUE"""),3.0)</f>
        <v>3</v>
      </c>
      <c r="C308" s="5" t="str">
        <f>IFERROR(__xludf.DUMMYFUNCTION("IF(A308="""","""",TEXTJOIN(CHAR(10),TRUE,FILTER('Chi tiết từng link'!$B$2:$B$2505,'Chi tiết từng link'!$D$2:$D$2505=A308)))"),"https://techcombank.com/thong-tin/blog/cach-kiem-tra-tai-khoan-ngan-hang
https://techcombank.com/thong-tin/blog/cach-mo-tai-khoan
https://techcombank.com/thong-tin/blog/day-so-phat-tai-phat-loc")</f>
        <v>https://techcombank.com/thong-tin/blog/cach-kiem-tra-tai-khoan-ngan-hang
https://techcombank.com/thong-tin/blog/cach-mo-tai-khoan
https://techcombank.com/thong-tin/blog/day-so-phat-tai-phat-loc</v>
      </c>
      <c r="D308" s="5" t="str">
        <f t="shared" si="1"/>
        <v>OK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35" t="str">
        <f>IFERROR(__xludf.DUMMYFUNCTION("""COMPUTED_VALUE"""),"https://techcombank.com/thong-tin/blog/cong-thuc-tinh-lai-suat-thuc")</f>
        <v>https://techcombank.com/thong-tin/blog/cong-thuc-tinh-lai-suat-thuc</v>
      </c>
      <c r="B309" s="25">
        <f>IFERROR(__xludf.DUMMYFUNCTION("""COMPUTED_VALUE"""),3.0)</f>
        <v>3</v>
      </c>
      <c r="C309" s="5" t="str">
        <f>IFERROR(__xludf.DUMMYFUNCTION("IF(A309="""","""",TEXTJOIN(CHAR(10),TRUE,FILTER('Chi tiết từng link'!$B$2:$B$2505,'Chi tiết từng link'!$D$2:$D$2505=A309)))"),"https://techcombank.com/thong-tin/blog/cach-tinh-lai-vay-ngan-hang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09" s="5" t="str">
        <f t="shared" si="1"/>
        <v>OK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35" t="str">
        <f>IFERROR(__xludf.DUMMYFUNCTION("""COMPUTED_VALUE"""),"https://techcombank.com/thong-tin/blog/dang-ky-kinh-doanh-la-gi")</f>
        <v>https://techcombank.com/thong-tin/blog/dang-ky-kinh-doanh-la-gi</v>
      </c>
      <c r="B310" s="25">
        <f>IFERROR(__xludf.DUMMYFUNCTION("""COMPUTED_VALUE"""),3.0)</f>
        <v>3</v>
      </c>
      <c r="C310" s="5" t="str">
        <f>IFERROR(__xludf.DUMMYFUNCTION("IF(A310="""","""",TEXTJOIN(CHAR(10),TRUE,FILTER('Chi tiết từng link'!$B$2:$B$2505,'Chi tiết từng link'!$D$2:$D$2505=A310)))"),"https://techcombank.com/thong-tin/blog/ho-kinh-doanh-dong-thue-nhu-nao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0" s="5" t="str">
        <f t="shared" si="1"/>
        <v>OK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35" t="str">
        <f>IFERROR(__xludf.DUMMYFUNCTION("""COMPUTED_VALUE"""),"https://techcombank.com/thong-tin/blog/dang-ky-thue-ho-kinh-doanh-ca-the-online")</f>
        <v>https://techcombank.com/thong-tin/blog/dang-ky-thue-ho-kinh-doanh-ca-the-online</v>
      </c>
      <c r="B311" s="25">
        <f>IFERROR(__xludf.DUMMYFUNCTION("""COMPUTED_VALUE"""),3.0)</f>
        <v>3</v>
      </c>
      <c r="C311" s="5" t="str">
        <f>IFERROR(__xludf.DUMMYFUNCTION("IF(A311="""","""",TEXTJOIN(CHAR(10),TRUE,FILTER('Chi tiết từng link'!$B$2:$B$2505,'Chi tiết từng link'!$D$2:$D$2505=A311)))"),"https://techcombank.com/thong-tin/blog/ho-kinh-doanh-dong-thue-nhu-nao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1" s="5" t="str">
        <f t="shared" si="1"/>
        <v>OK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35" t="str">
        <f>IFERROR(__xludf.DUMMYFUNCTION("""COMPUTED_VALUE"""),"https://techcombank.com/thong-tin/blog/dau-chan-carbon")</f>
        <v>https://techcombank.com/thong-tin/blog/dau-chan-carbon</v>
      </c>
      <c r="B312" s="25">
        <f>IFERROR(__xludf.DUMMYFUNCTION("""COMPUTED_VALUE"""),3.0)</f>
        <v>3</v>
      </c>
      <c r="C312" s="5" t="str">
        <f>IFERROR(__xludf.DUMMYFUNCTION("IF(A312="""","""",TEXTJOIN(CHAR(10),TRUE,FILTER('Chi tiết từng link'!$B$2:$B$2505,'Chi tiết từng link'!$D$2:$D$2505=A312)))"),"https://techcombank.com/thong-tin/blog/cach-sao-ke-tai-khoan-ngan-hang
https://techcombank.com/thong-tin/blog/eco-card
https://techcombank.com/thong-tin/blog/cach-tiet-kiem-tien")</f>
        <v>https://techcombank.com/thong-tin/blog/cach-sao-ke-tai-khoan-ngan-hang
https://techcombank.com/thong-tin/blog/eco-card
https://techcombank.com/thong-tin/blog/cach-tiet-kiem-tien</v>
      </c>
      <c r="D312" s="5" t="str">
        <f t="shared" si="1"/>
        <v>OK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35" t="str">
        <f>IFERROR(__xludf.DUMMYFUNCTION("""COMPUTED_VALUE"""),"https://techcombank.com/thong-tin/blog/diem-tin-dung")</f>
        <v>https://techcombank.com/thong-tin/blog/diem-tin-dung</v>
      </c>
      <c r="B313" s="25">
        <f>IFERROR(__xludf.DUMMYFUNCTION("""COMPUTED_VALUE"""),3.0)</f>
        <v>3</v>
      </c>
      <c r="C313" s="5" t="str">
        <f>IFERROR(__xludf.DUMMYFUNCTION("IF(A313="""","""",TEXTJOIN(CHAR(10),TRUE,FILTER('Chi tiết từng link'!$B$2:$B$2505,'Chi tiết từng link'!$D$2:$D$2505=A313)))"),"https://techcombank.com/thong-tin/blog/cic-la-gi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13" s="5" t="str">
        <f t="shared" si="1"/>
        <v>OK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35" t="str">
        <f>IFERROR(__xludf.DUMMYFUNCTION("""COMPUTED_VALUE"""),"https://techcombank.com/thong-tin/blog/dieu-kien-mua-usd-tu-ngan-hang")</f>
        <v>https://techcombank.com/thong-tin/blog/dieu-kien-mua-usd-tu-ngan-hang</v>
      </c>
      <c r="B314" s="25">
        <f>IFERROR(__xludf.DUMMYFUNCTION("""COMPUTED_VALUE"""),3.0)</f>
        <v>3</v>
      </c>
      <c r="C314" s="5" t="str">
        <f>IFERROR(__xludf.DUMMYFUNCTION("IF(A314="""","""",TEXTJOIN(CHAR(10),TRUE,FILTER('Chi tiết từng link'!$B$2:$B$2505,'Chi tiết từng link'!$D$2:$D$2505=A314)))"),"https://techcombank.com/thong-tin/blog/1-dong-do-la-my-bang-bao-nhieu-tien-viet-nam
https://techcombank.com/thong-tin/blog/1-trieu-do-bang-bao-nhieu-tien-viet
https://techcombank.com/thong-tin/blog/doi-tien-do-o-dau")</f>
        <v>https://techcombank.com/thong-tin/blog/1-dong-do-la-my-bang-bao-nhieu-tien-viet-nam
https://techcombank.com/thong-tin/blog/1-trieu-do-bang-bao-nhieu-tien-viet
https://techcombank.com/thong-tin/blog/doi-tien-do-o-dau</v>
      </c>
      <c r="D314" s="5" t="str">
        <f t="shared" si="1"/>
        <v>OK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35" t="str">
        <f>IFERROR(__xludf.DUMMYFUNCTION("""COMPUTED_VALUE"""),"https://techcombank.com/thong-tin/blog/dong-ma-so-thue-ho-kinh-doanh")</f>
        <v>https://techcombank.com/thong-tin/blog/dong-ma-so-thue-ho-kinh-doanh</v>
      </c>
      <c r="B315" s="25">
        <f>IFERROR(__xludf.DUMMYFUNCTION("""COMPUTED_VALUE"""),3.0)</f>
        <v>3</v>
      </c>
      <c r="C315" s="5" t="str">
        <f>IFERROR(__xludf.DUMMYFUNCTION("IF(A315="""","""",TEXTJOIN(CHAR(10),TRUE,FILTER('Chi tiết từng link'!$B$2:$B$2505,'Chi tiết từng link'!$D$2:$D$2505=A315)))"),"https://techcombank.com/thong-tin/blog/ho-kinh-doanh-dong-thue-nhu-nao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5" s="5" t="str">
        <f t="shared" si="1"/>
        <v>OK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35" t="str">
        <f>IFERROR(__xludf.DUMMYFUNCTION("""COMPUTED_VALUE"""),"https://techcombank.com/thong-tin/blog/due-diligence")</f>
        <v>https://techcombank.com/thong-tin/blog/due-diligence</v>
      </c>
      <c r="B316" s="25">
        <f>IFERROR(__xludf.DUMMYFUNCTION("""COMPUTED_VALUE"""),3.0)</f>
        <v>3</v>
      </c>
      <c r="C316" s="5" t="str">
        <f>IFERROR(__xludf.DUMMYFUNCTION("IF(A316="""","""",TEXTJOIN(CHAR(10),TRUE,FILTER('Chi tiết từng link'!$B$2:$B$2505,'Chi tiết từng link'!$D$2:$D$2505=A316)))"),"https://techcombank.com/thong-tin/blog/ho-kinh-doanh-dong-thue-nhu-nao
https://techcombank.com/thong-tin/blog/rui-ro-khi-gui-tiet-kiem-online
https://techcombank.com/thong-tin/blog/phuong-phap-dau-tu-chung-chi-quy")</f>
        <v>https://techcombank.com/thong-tin/blog/ho-kinh-doanh-dong-thue-nhu-nao
https://techcombank.com/thong-tin/blog/rui-ro-khi-gui-tiet-kiem-online
https://techcombank.com/thong-tin/blog/phuong-phap-dau-tu-chung-chi-quy</v>
      </c>
      <c r="D316" s="5" t="str">
        <f t="shared" si="1"/>
        <v>OK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35" t="str">
        <f>IFERROR(__xludf.DUMMYFUNCTION("""COMPUTED_VALUE"""),"https://techcombank.com/thong-tin/blog/giai-ngan-vay-the-chap")</f>
        <v>https://techcombank.com/thong-tin/blog/giai-ngan-vay-the-chap</v>
      </c>
      <c r="B317" s="25">
        <f>IFERROR(__xludf.DUMMYFUNCTION("""COMPUTED_VALUE"""),3.0)</f>
        <v>3</v>
      </c>
      <c r="C317" s="5" t="str">
        <f>IFERROR(__xludf.DUMMYFUNCTION("IF(A317="""","""",TEXTJOIN(CHAR(10),TRUE,FILTER('Chi tiết từng link'!$B$2:$B$2505,'Chi tiết từng link'!$D$2:$D$2505=A317)))"),"https://techcombank.com/thong-tin/blog/vay-ngan-hang-1-ty-moi-thang-tra-bao-nhieu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17" s="5" t="str">
        <f t="shared" si="1"/>
        <v>OK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35" t="str">
        <f>IFERROR(__xludf.DUMMYFUNCTION("""COMPUTED_VALUE"""),"https://techcombank.com/thong-tin/blog/giay-phep-kinh-doanh")</f>
        <v>https://techcombank.com/thong-tin/blog/giay-phep-kinh-doanh</v>
      </c>
      <c r="B318" s="25">
        <f>IFERROR(__xludf.DUMMYFUNCTION("""COMPUTED_VALUE"""),3.0)</f>
        <v>3</v>
      </c>
      <c r="C318" s="5" t="str">
        <f>IFERROR(__xludf.DUMMYFUNCTION("IF(A318="""","""",TEXTJOIN(CHAR(10),TRUE,FILTER('Chi tiết từng link'!$B$2:$B$2505,'Chi tiết từng link'!$D$2:$D$2505=A318)))"),"https://techcombank.com/thong-tin/blog/ho-kinh-doanh-dong-thue-nhu-nao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18" s="5" t="str">
        <f t="shared" si="1"/>
        <v>OK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35" t="str">
        <f>IFERROR(__xludf.DUMMYFUNCTION("""COMPUTED_VALUE"""),"https://techcombank.com/thong-tin/blog/gui-tien-sang-nuoc-ngoai")</f>
        <v>https://techcombank.com/thong-tin/blog/gui-tien-sang-nuoc-ngoai</v>
      </c>
      <c r="B319" s="25">
        <f>IFERROR(__xludf.DUMMYFUNCTION("""COMPUTED_VALUE"""),3.0)</f>
        <v>3</v>
      </c>
      <c r="C319" s="5" t="str">
        <f>IFERROR(__xludf.DUMMYFUNCTION("IF(A319="""","""",TEXTJOIN(CHAR(10),TRUE,FILTER('Chi tiết từng link'!$B$2:$B$2505,'Chi tiết từng link'!$D$2:$D$2505=A319)))"),"https://techcombank.com/thong-tin/blog/chuyen-khoan-thanh-cong-nhung-khong-nhan-duoc-tien
https://techcombank.com/thong-tin/blog/cach-nhan-tien-tu-nuoc-ngoai-ve-viet-nam
https://techcombank.com/thong-tin/blog/doi-tien-do-o-dau")</f>
        <v>https://techcombank.com/thong-tin/blog/chuyen-khoan-thanh-cong-nhung-khong-nhan-duoc-tien
https://techcombank.com/thong-tin/blog/cach-nhan-tien-tu-nuoc-ngoai-ve-viet-nam
https://techcombank.com/thong-tin/blog/doi-tien-do-o-dau</v>
      </c>
      <c r="D319" s="5" t="str">
        <f t="shared" si="1"/>
        <v>OK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35" t="str">
        <f>IFERROR(__xludf.DUMMYFUNCTION("""COMPUTED_VALUE"""),"https://techcombank.com/thong-tin/blog/han-muc-thau-chi-la-gi")</f>
        <v>https://techcombank.com/thong-tin/blog/han-muc-thau-chi-la-gi</v>
      </c>
      <c r="B320" s="25">
        <f>IFERROR(__xludf.DUMMYFUNCTION("""COMPUTED_VALUE"""),3.0)</f>
        <v>3</v>
      </c>
      <c r="C320" s="5" t="str">
        <f>IFERROR(__xludf.DUMMYFUNCTION("IF(A320="""","""",TEXTJOIN(CHAR(10),TRUE,FILTER('Chi tiết từng link'!$B$2:$B$2505,'Chi tiết từng link'!$D$2:$D$2505=A320)))"),"https://techcombank.com/thong-tin/blog/cic-la-gi
https://techcombank.com/thong-tin/blog/xep-hang-tin-dung
https://techcombank.com/thong-tin/blog/vay-thau-chi-la-gi")</f>
        <v>https://techcombank.com/thong-tin/blog/cic-la-gi
https://techcombank.com/thong-tin/blog/xep-hang-tin-dung
https://techcombank.com/thong-tin/blog/vay-thau-chi-la-gi</v>
      </c>
      <c r="D320" s="5" t="str">
        <f t="shared" si="1"/>
        <v>OK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35" t="str">
        <f>IFERROR(__xludf.DUMMYFUNCTION("""COMPUTED_VALUE"""),"https://techcombank.com/thong-tin/blog/hieu-hiet-ve-tuan-thu-thue-cho-cac-doanh-nghiep-khoi-nghiep")</f>
        <v>https://techcombank.com/thong-tin/blog/hieu-hiet-ve-tuan-thu-thue-cho-cac-doanh-nghiep-khoi-nghiep</v>
      </c>
      <c r="B321" s="25">
        <f>IFERROR(__xludf.DUMMYFUNCTION("""COMPUTED_VALUE"""),3.0)</f>
        <v>3</v>
      </c>
      <c r="C321" s="5" t="str">
        <f>IFERROR(__xludf.DUMMYFUNCTION("IF(A321="""","""",TEXTJOIN(CHAR(10),TRUE,FILTER('Chi tiết từng link'!$B$2:$B$2505,'Chi tiết từng link'!$D$2:$D$2505=A321)))"),"https://techcombank.com/thong-tin/blog/thue-doanh-nghiep
https://techcombank.com/thong-tin/blog/ho-kinh-doanh-dong-thue-nhu-nao
https://techcombank.com/thong-tin/blog/mo-hinh-kinh-doanh-la-gi")</f>
        <v>https://techcombank.com/thong-tin/blog/thue-doanh-nghiep
https://techcombank.com/thong-tin/blog/ho-kinh-doanh-dong-thue-nhu-nao
https://techcombank.com/thong-tin/blog/mo-hinh-kinh-doanh-la-gi</v>
      </c>
      <c r="D321" s="5" t="str">
        <f t="shared" si="1"/>
        <v>OK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35" t="str">
        <f>IFERROR(__xludf.DUMMYFUNCTION("""COMPUTED_VALUE"""),"https://techcombank.com/thong-tin/blog/ho-kinh-doanh-ca-the")</f>
        <v>https://techcombank.com/thong-tin/blog/ho-kinh-doanh-ca-the</v>
      </c>
      <c r="B322" s="25">
        <f>IFERROR(__xludf.DUMMYFUNCTION("""COMPUTED_VALUE"""),3.0)</f>
        <v>3</v>
      </c>
      <c r="C322" s="5" t="str">
        <f>IFERROR(__xludf.DUMMYFUNCTION("IF(A322="""","""",TEXTJOIN(CHAR(10),TRUE,FILTER('Chi tiết từng link'!$B$2:$B$2505,'Chi tiết từng link'!$D$2:$D$2505=A322)))"),"https://techcombank.com/thong-tin/blog/ho-kinh-doanh-dong-thue-nhu-nao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2" s="5" t="str">
        <f t="shared" si="1"/>
        <v>OK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35" t="str">
        <f>IFERROR(__xludf.DUMMYFUNCTION("""COMPUTED_VALUE"""),"https://techcombank.com/thong-tin/blog/ho-kinh-doanh-la-gi")</f>
        <v>https://techcombank.com/thong-tin/blog/ho-kinh-doanh-la-gi</v>
      </c>
      <c r="B323" s="25">
        <f>IFERROR(__xludf.DUMMYFUNCTION("""COMPUTED_VALUE"""),3.0)</f>
        <v>3</v>
      </c>
      <c r="C323" s="5" t="str">
        <f>IFERROR(__xludf.DUMMYFUNCTION("IF(A323="""","""",TEXTJOIN(CHAR(10),TRUE,FILTER('Chi tiết từng link'!$B$2:$B$2505,'Chi tiết từng link'!$D$2:$D$2505=A323)))"),"https://techcombank.com/thong-tin/blog/ho-kinh-doanh-dong-thue-nhu-nao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3" s="5" t="str">
        <f t="shared" si="1"/>
        <v>OK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35" t="str">
        <f>IFERROR(__xludf.DUMMYFUNCTION("""COMPUTED_VALUE"""),"https://techcombank.com/thong-tin/blog/kinh-nghiem-chuyen-doi-tu-ho-kinh-doanh-len-doanh-nghiep")</f>
        <v>https://techcombank.com/thong-tin/blog/kinh-nghiem-chuyen-doi-tu-ho-kinh-doanh-len-doanh-nghiep</v>
      </c>
      <c r="B324" s="25">
        <f>IFERROR(__xludf.DUMMYFUNCTION("""COMPUTED_VALUE"""),3.0)</f>
        <v>3</v>
      </c>
      <c r="C324" s="5" t="str">
        <f>IFERROR(__xludf.DUMMYFUNCTION("IF(A324="""","""",TEXTJOIN(CHAR(10),TRUE,FILTER('Chi tiết từng link'!$B$2:$B$2505,'Chi tiết từng link'!$D$2:$D$2505=A324)))"),"https://techcombank.com/thong-tin/blog/ho-kinh-doanh-dong-thue-nhu-nao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24" s="5" t="str">
        <f t="shared" si="1"/>
        <v>OK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35" t="str">
        <f>IFERROR(__xludf.DUMMYFUNCTION("""COMPUTED_VALUE"""),"https://techcombank.com/thong-tin/blog/kinh-nghiem-mua-vang-tich-tru")</f>
        <v>https://techcombank.com/thong-tin/blog/kinh-nghiem-mua-vang-tich-tru</v>
      </c>
      <c r="B325" s="25">
        <f>IFERROR(__xludf.DUMMYFUNCTION("""COMPUTED_VALUE"""),3.0)</f>
        <v>3</v>
      </c>
      <c r="C325" s="5" t="str">
        <f>IFERROR(__xludf.DUMMYFUNCTION("IF(A325="""","""",TEXTJOIN(CHAR(10),TRUE,FILTER('Chi tiết từng link'!$B$2:$B$2505,'Chi tiết từng link'!$D$2:$D$2505=A325)))"),"https://techcombank.com/thong-tin/blog/thue-thu-nhap-doanh-nghiep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5" s="5" t="str">
        <f t="shared" si="1"/>
        <v>OK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35" t="str">
        <f>IFERROR(__xludf.DUMMYFUNCTION("""COMPUTED_VALUE"""),"https://techcombank.com/thong-tin/blog/kinh-nghiem-vay-the-chap-ngan-hang")</f>
        <v>https://techcombank.com/thong-tin/blog/kinh-nghiem-vay-the-chap-ngan-hang</v>
      </c>
      <c r="B326" s="25">
        <f>IFERROR(__xludf.DUMMYFUNCTION("""COMPUTED_VALUE"""),3.0)</f>
        <v>3</v>
      </c>
      <c r="C326" s="5" t="str">
        <f>IFERROR(__xludf.DUMMYFUNCTION("IF(A326="""","""",TEXTJOIN(CHAR(10),TRUE,FILTER('Chi tiết từng link'!$B$2:$B$2505,'Chi tiết từng link'!$D$2:$D$2505=A326)))"),"https://techcombank.com/thong-tin/blog/vay-ngan-hang-1-ty-moi-thang-tra-bao-nhieu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26" s="5" t="str">
        <f t="shared" si="1"/>
        <v>OK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35" t="str">
        <f>IFERROR(__xludf.DUMMYFUNCTION("""COMPUTED_VALUE"""),"https://techcombank.com/thong-tin/blog/lai-suat-chung-chi-quy")</f>
        <v>https://techcombank.com/thong-tin/blog/lai-suat-chung-chi-quy</v>
      </c>
      <c r="B327" s="25">
        <f>IFERROR(__xludf.DUMMYFUNCTION("""COMPUTED_VALUE"""),3.0)</f>
        <v>3</v>
      </c>
      <c r="C327" s="5" t="str">
        <f>IFERROR(__xludf.DUMMYFUNCTION("IF(A327="""","""",TEXTJOIN(CHAR(10),TRUE,FILTER('Chi tiết từng link'!$B$2:$B$2505,'Chi tiết từng link'!$D$2:$D$2505=A327)))"),"https://techcombank.com/thong-tin/blog/thue-thu-nhap-doanh-nghiep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27" s="5" t="str">
        <f t="shared" si="1"/>
        <v>OK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35" t="str">
        <f>IFERROR(__xludf.DUMMYFUNCTION("""COMPUTED_VALUE"""),"https://techcombank.com/thong-tin/blog/lai-suat-tha-noi")</f>
        <v>https://techcombank.com/thong-tin/blog/lai-suat-tha-noi</v>
      </c>
      <c r="B328" s="25">
        <f>IFERROR(__xludf.DUMMYFUNCTION("""COMPUTED_VALUE"""),3.0)</f>
        <v>3</v>
      </c>
      <c r="C328" s="5" t="str">
        <f>IFERROR(__xludf.DUMMYFUNCTION("IF(A328="""","""",TEXTJOIN(CHAR(10),TRUE,FILTER('Chi tiết từng link'!$B$2:$B$2505,'Chi tiết từng link'!$D$2:$D$2505=A328)))"),"https://techcombank.com/thong-tin/blog/cach-tinh-lai-vay-ngan-hang
https://techcombank.com/thong-tin/blog/cach-tinh-lai-suat-tien-gui-tiet-kiem
https://techcombank.com/cong-cu-tien-ich/cong-cu-tinh-toan/bang-tinh-lai-suat-tiet-kiem")</f>
        <v>https://techcombank.com/thong-tin/blog/cach-tinh-lai-vay-ngan-hang
https://techcombank.com/thong-tin/blog/cach-tinh-lai-suat-tien-gui-tiet-kiem
https://techcombank.com/cong-cu-tien-ich/cong-cu-tinh-toan/bang-tinh-lai-suat-tiet-kiem</v>
      </c>
      <c r="D328" s="5" t="str">
        <f t="shared" si="1"/>
        <v>OK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35" t="str">
        <f>IFERROR(__xludf.DUMMYFUNCTION("""COMPUTED_VALUE"""),"https://techcombank.com/thong-tin/blog/lam-the-thanh-toan-quoc-te")</f>
        <v>https://techcombank.com/thong-tin/blog/lam-the-thanh-toan-quoc-te</v>
      </c>
      <c r="B329" s="25">
        <f>IFERROR(__xludf.DUMMYFUNCTION("""COMPUTED_VALUE"""),3.0)</f>
        <v>3</v>
      </c>
      <c r="C329" s="5" t="str">
        <f>IFERROR(__xludf.DUMMYFUNCTION("IF(A329="""","""",TEXTJOIN(CHAR(10),TRUE,FILTER('Chi tiết từng link'!$B$2:$B$2505,'Chi tiết từng link'!$D$2:$D$2505=A329)))"),"https://techcombank.com/thong-tin/blog/bao-nhieu-tuoi-duoc-mo-tai-khoan-ngan-hang
https://techcombank.com/thong-tin/blog/lam-the-tin-dung
https://techcombank.com/thong-tin/blog/cach-nhan-tien-tu-nuoc-ngoai-ve-viet-nam")</f>
        <v>https://techcombank.com/thong-tin/blog/bao-nhieu-tuoi-duoc-mo-tai-khoan-ngan-hang
https://techcombank.com/thong-tin/blog/lam-the-tin-dung
https://techcombank.com/thong-tin/blog/cach-nhan-tien-tu-nuoc-ngoai-ve-viet-nam</v>
      </c>
      <c r="D329" s="5" t="str">
        <f t="shared" si="1"/>
        <v>OK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35" t="str">
        <f>IFERROR(__xludf.DUMMYFUNCTION("""COMPUTED_VALUE"""),"https://techcombank.com/thong-tin/blog/lam-the-visa-o-dau")</f>
        <v>https://techcombank.com/thong-tin/blog/lam-the-visa-o-dau</v>
      </c>
      <c r="B330" s="25">
        <f>IFERROR(__xludf.DUMMYFUNCTION("""COMPUTED_VALUE"""),3.0)</f>
        <v>3</v>
      </c>
      <c r="C330" s="5" t="str">
        <f>IFERROR(__xludf.DUMMYFUNCTION("IF(A330="""","""",TEXTJOIN(CHAR(10),TRUE,FILTER('Chi tiết từng link'!$B$2:$B$2505,'Chi tiết từng link'!$D$2:$D$2505=A330)))"),"https://techcombank.com/thong-tin/blog/ngan-hang-uy-tin
https://techcombank.com/thong-tin/blog/bao-nhieu-tuoi-duoc-mo-tai-khoan-ngan-hang
https://techcombank.com/thong-tin/blog/lam-the-tin-dung")</f>
        <v>https://techcombank.com/thong-tin/blog/ngan-hang-uy-tin
https://techcombank.com/thong-tin/blog/bao-nhieu-tuoi-duoc-mo-tai-khoan-ngan-hang
https://techcombank.com/thong-tin/blog/lam-the-tin-dung</v>
      </c>
      <c r="D330" s="5" t="str">
        <f t="shared" si="1"/>
        <v>OK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35" t="str">
        <f>IFERROR(__xludf.DUMMYFUNCTION("""COMPUTED_VALUE"""),"https://techcombank.com/thong-tin/blog/lich-su-tin-dung")</f>
        <v>https://techcombank.com/thong-tin/blog/lich-su-tin-dung</v>
      </c>
      <c r="B331" s="25">
        <f>IFERROR(__xludf.DUMMYFUNCTION("""COMPUTED_VALUE"""),3.0)</f>
        <v>3</v>
      </c>
      <c r="C331" s="5" t="str">
        <f>IFERROR(__xludf.DUMMYFUNCTION("IF(A331="""","""",TEXTJOIN(CHAR(10),TRUE,FILTER('Chi tiết từng link'!$B$2:$B$2505,'Chi tiết từng link'!$D$2:$D$2505=A331)))"),"https://techcombank.com/thong-tin/blog/cic-la-gi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31" s="5" t="str">
        <f t="shared" si="1"/>
        <v>OK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35" t="str">
        <f>IFERROR(__xludf.DUMMYFUNCTION("""COMPUTED_VALUE"""),"https://techcombank.com/thong-tin/blog/lo-ma-qr-ngan-hang-co-sao-khong")</f>
        <v>https://techcombank.com/thong-tin/blog/lo-ma-qr-ngan-hang-co-sao-khong</v>
      </c>
      <c r="B332" s="25">
        <f>IFERROR(__xludf.DUMMYFUNCTION("""COMPUTED_VALUE"""),3.0)</f>
        <v>3</v>
      </c>
      <c r="C332" s="5" t="str">
        <f>IFERROR(__xludf.DUMMYFUNCTION("IF(A332="""","""",TEXTJOIN(CHAR(10),TRUE,FILTER('Chi tiết từng link'!$B$2:$B$2505,'Chi tiết từng link'!$D$2:$D$2505=A332)))"),"https://techcombank.com/thong-tin/blog/ten-dang-nhap-tai-khoan-ngan-hang-la-gi
https://techcombank.com/thong-tin/blog/rut-tien-bang-ma-qr-la-gi-cach-thuc-hien-nhu-the-nao
https://techcombank.com/thong-tin/blog/gui-ma-qr-ngan-hang")</f>
        <v>https://techcombank.com/thong-tin/blog/ten-dang-nhap-tai-khoan-ngan-hang-la-gi
https://techcombank.com/thong-tin/blog/rut-tien-bang-ma-qr-la-gi-cach-thuc-hien-nhu-the-nao
https://techcombank.com/thong-tin/blog/gui-ma-qr-ngan-hang</v>
      </c>
      <c r="D332" s="5" t="str">
        <f t="shared" si="1"/>
        <v>OK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35" t="str">
        <f>IFERROR(__xludf.DUMMYFUNCTION("""COMPUTED_VALUE"""),"https://techcombank.com/thong-tin/blog/loi-ich-khi-ho-kinh-doanh-chuyen-len-doanh-nghiep")</f>
        <v>https://techcombank.com/thong-tin/blog/loi-ich-khi-ho-kinh-doanh-chuyen-len-doanh-nghiep</v>
      </c>
      <c r="B333" s="25">
        <f>IFERROR(__xludf.DUMMYFUNCTION("""COMPUTED_VALUE"""),3.0)</f>
        <v>3</v>
      </c>
      <c r="C333" s="5" t="str">
        <f>IFERROR(__xludf.DUMMYFUNCTION("IF(A333="""","""",TEXTJOIN(CHAR(10),TRUE,FILTER('Chi tiết từng link'!$B$2:$B$2505,'Chi tiết từng link'!$D$2:$D$2505=A333)))"),"https://techcombank.com/thong-tin/blog/ho-kinh-doanh-dong-thue-nhu-nao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3" s="5" t="str">
        <f t="shared" si="1"/>
        <v>OK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35" t="str">
        <f>IFERROR(__xludf.DUMMYFUNCTION("""COMPUTED_VALUE"""),"https://techcombank.com/thong-tin/blog/loi-nhuan-rong")</f>
        <v>https://techcombank.com/thong-tin/blog/loi-nhuan-rong</v>
      </c>
      <c r="B334" s="25">
        <f>IFERROR(__xludf.DUMMYFUNCTION("""COMPUTED_VALUE"""),3.0)</f>
        <v>3</v>
      </c>
      <c r="C334" s="5" t="str">
        <f>IFERROR(__xludf.DUMMYFUNCTION("IF(A334="""","""",TEXTJOIN(CHAR(10),TRUE,FILTER('Chi tiết từng link'!$B$2:$B$2505,'Chi tiết từng link'!$D$2:$D$2505=A334)))"),"https://techcombank.com/thong-tin/blog/thue-thu-nhap-doanh-nghiep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34" s="5" t="str">
        <f t="shared" si="1"/>
        <v>OK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35" t="str">
        <f>IFERROR(__xludf.DUMMYFUNCTION("""COMPUTED_VALUE"""),"https://techcombank.com/thong-tin/blog/luat-thuong-mai-dien-tu")</f>
        <v>https://techcombank.com/thong-tin/blog/luat-thuong-mai-dien-tu</v>
      </c>
      <c r="B335" s="25">
        <f>IFERROR(__xludf.DUMMYFUNCTION("""COMPUTED_VALUE"""),3.0)</f>
        <v>3</v>
      </c>
      <c r="C335" s="5" t="str">
        <f>IFERROR(__xludf.DUMMYFUNCTION("IF(A335="""","""",TEXTJOIN(CHAR(10),TRUE,FILTER('Chi tiết từng link'!$B$2:$B$2505,'Chi tiết từng link'!$D$2:$D$2505=A335)))"),"https://techcombank.com/thong-tin/blog/ho-kinh-doanh-dong-thue-nhu-nao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35" s="5" t="str">
        <f t="shared" si="1"/>
        <v>OK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35" t="str">
        <f>IFERROR(__xludf.DUMMYFUNCTION("""COMPUTED_VALUE"""),"https://techcombank.com/thong-tin/blog/ma-qr-ngan-hang-khong-hop-le")</f>
        <v>https://techcombank.com/thong-tin/blog/ma-qr-ngan-hang-khong-hop-le</v>
      </c>
      <c r="B336" s="25">
        <f>IFERROR(__xludf.DUMMYFUNCTION("""COMPUTED_VALUE"""),3.0)</f>
        <v>3</v>
      </c>
      <c r="C336" s="5" t="str">
        <f>IFERROR(__xludf.DUMMYFUNCTION("IF(A336="""","""",TEXTJOIN(CHAR(10),TRUE,FILTER('Chi tiết từng link'!$B$2:$B$2505,'Chi tiết từng link'!$D$2:$D$2505=A336)))"),"https://techcombank.com/thong-tin/blog/chuyen-khoan-thanh-cong-nhung-khong-nhan-duoc-tien
https://techcombank.com/thong-tin/blog/rut-tien-bang-ma-qr-la-gi-cach-thuc-hien-nhu-the-nao
https://techcombank.com/thong-tin/blog/gui-ma-qr-ngan-hang")</f>
        <v>https://techcombank.com/thong-tin/blog/chuyen-khoan-thanh-cong-nhung-khong-nhan-duoc-tien
https://techcombank.com/thong-tin/blog/rut-tien-bang-ma-qr-la-gi-cach-thuc-hien-nhu-the-nao
https://techcombank.com/thong-tin/blog/gui-ma-qr-ngan-hang</v>
      </c>
      <c r="D336" s="5" t="str">
        <f t="shared" si="1"/>
        <v>OK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35" t="str">
        <f>IFERROR(__xludf.DUMMYFUNCTION("""COMPUTED_VALUE"""),"https://techcombank.com/thong-tin/blog/mat-so-dien-thoai-dang-ky-tai-khoan-ngan-hang")</f>
        <v>https://techcombank.com/thong-tin/blog/mat-so-dien-thoai-dang-ky-tai-khoan-ngan-hang</v>
      </c>
      <c r="B337" s="25">
        <f>IFERROR(__xludf.DUMMYFUNCTION("""COMPUTED_VALUE"""),3.0)</f>
        <v>3</v>
      </c>
      <c r="C337" s="5" t="str">
        <f>IFERROR(__xludf.DUMMYFUNCTION("IF(A337="""","""",TEXTJOIN(CHAR(10),TRUE,FILTER('Chi tiết từng link'!$B$2:$B$2505,'Chi tiết từng link'!$D$2:$D$2505=A337)))"),"https://techcombank.com/thong-tin/blog/cach-nap-the-viettel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37" s="5" t="str">
        <f t="shared" si="1"/>
        <v>OK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35" t="str">
        <f>IFERROR(__xludf.DUMMYFUNCTION("""COMPUTED_VALUE"""),"https://techcombank.com/thong-tin/blog/mo-so-tiet-kiem-can-bao-nhieu-tien")</f>
        <v>https://techcombank.com/thong-tin/blog/mo-so-tiet-kiem-can-bao-nhieu-tien</v>
      </c>
      <c r="B338" s="25">
        <f>IFERROR(__xludf.DUMMYFUNCTION("""COMPUTED_VALUE"""),3.0)</f>
        <v>3</v>
      </c>
      <c r="C338" s="5" t="str">
        <f>IFERROR(__xludf.DUMMYFUNCTION("IF(A338="""","""",TEXTJOIN(CHAR(10),TRUE,FILTER('Chi tiết từng link'!$B$2:$B$2505,'Chi tiết từng link'!$D$2:$D$2505=A338)))"),"https://techcombank.com/thong-tin/blog/lai-suat-tiet-kiem
https://techcombank.com/thong-tin/blog/rut-tien-tiet-kiem-truoc-thoi-han
https://techcombank.com/thong-tin/blog/so-tiet-kiem-ngan-hang")</f>
        <v>https://techcombank.com/thong-tin/blog/lai-suat-tiet-kiem
https://techcombank.com/thong-tin/blog/rut-tien-tiet-kiem-truoc-thoi-han
https://techcombank.com/thong-tin/blog/so-tiet-kiem-ngan-hang</v>
      </c>
      <c r="D338" s="5" t="str">
        <f t="shared" si="1"/>
        <v>OK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35" t="str">
        <f>IFERROR(__xludf.DUMMYFUNCTION("""COMPUTED_VALUE"""),"https://techcombank.com/thong-tin/blog/mo-tai-khoan-doanh-nghiep")</f>
        <v>https://techcombank.com/thong-tin/blog/mo-tai-khoan-doanh-nghiep</v>
      </c>
      <c r="B339" s="25">
        <f>IFERROR(__xludf.DUMMYFUNCTION("""COMPUTED_VALUE"""),3.0)</f>
        <v>3</v>
      </c>
      <c r="C339" s="5" t="str">
        <f>IFERROR(__xludf.DUMMYFUNCTION("IF(A339="""","""",TEXTJOIN(CHAR(10),TRUE,FILTER('Chi tiết từng link'!$B$2:$B$2505,'Chi tiết từng link'!$D$2:$D$2505=A339)))"),"https://techcombank.com/thong-tin/blog/cong-ty-su-dung-tai-khoan-ca-nhan
https://techcombank.com/thong-tin/blog/cach-mo-tai-khoan
https://techcombank.com/thong-tin/blog/cach-tiet-kiem-tien")</f>
        <v>https://techcombank.com/thong-tin/blog/cong-ty-su-dung-tai-khoan-ca-nhan
https://techcombank.com/thong-tin/blog/cach-mo-tai-khoan
https://techcombank.com/thong-tin/blog/cach-tiet-kiem-tien</v>
      </c>
      <c r="D339" s="5" t="str">
        <f t="shared" si="1"/>
        <v>OK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35" t="str">
        <f>IFERROR(__xludf.DUMMYFUNCTION("""COMPUTED_VALUE"""),"https://techcombank.com/thong-tin/blog/mo-tai-khoan-ngan-hang-bang-so-dien-thoai")</f>
        <v>https://techcombank.com/thong-tin/blog/mo-tai-khoan-ngan-hang-bang-so-dien-thoai</v>
      </c>
      <c r="B340" s="25">
        <f>IFERROR(__xludf.DUMMYFUNCTION("""COMPUTED_VALUE"""),3.0)</f>
        <v>3</v>
      </c>
      <c r="C340" s="5" t="str">
        <f>IFERROR(__xludf.DUMMYFUNCTION("IF(A340="""","""",TEXTJOIN(CHAR(10),TRUE,FILTER('Chi tiết từng link'!$B$2:$B$2505,'Chi tiết từng link'!$D$2:$D$2505=A340)))"),"https://techcombank.com/thong-tin/blog/cach-mo-tai-khoan
https://techcombank.com/thong-tin/blog/mo-tai-khoan-ngan-hang-duoi-18-tuoi
https://techcombank.com/thong-tin/blog/cach-quet-nfc-cccd-tren-iphone")</f>
        <v>https://techcombank.com/thong-tin/blog/cach-mo-tai-khoan
https://techcombank.com/thong-tin/blog/mo-tai-khoan-ngan-hang-duoi-18-tuoi
https://techcombank.com/thong-tin/blog/cach-quet-nfc-cccd-tren-iphone</v>
      </c>
      <c r="D340" s="5" t="str">
        <f t="shared" si="1"/>
        <v>OK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35" t="str">
        <f>IFERROR(__xludf.DUMMYFUNCTION("""COMPUTED_VALUE"""),"https://techcombank.com/thong-tin/blog/mo-tai-khoan-ngan-hang-cho-tre-em")</f>
        <v>https://techcombank.com/thong-tin/blog/mo-tai-khoan-ngan-hang-cho-tre-em</v>
      </c>
      <c r="B341" s="25">
        <f>IFERROR(__xludf.DUMMYFUNCTION("""COMPUTED_VALUE"""),3.0)</f>
        <v>3</v>
      </c>
      <c r="C341" s="5" t="str">
        <f>IFERROR(__xludf.DUMMYFUNCTION("IF(A341="""","""",TEXTJOIN(CHAR(10),TRUE,FILTER('Chi tiết từng link'!$B$2:$B$2505,'Chi tiết từng link'!$D$2:$D$2505=A341)))"),"https://techcombank.com/thong-tin/blog/bao-nhieu-tuoi-duoc-mo-tai-khoan-ngan-hang
https://techcombank.com/thong-tin/blog/mo-tai-khoan-ngan-hang-duoi-18-tuoi
https://techcombank.com/thong-tin/blog/cach-tiet-kiem-tien")</f>
        <v>https://techcombank.com/thong-tin/blog/bao-nhieu-tuoi-duoc-mo-tai-khoan-ngan-hang
https://techcombank.com/thong-tin/blog/mo-tai-khoan-ngan-hang-duoi-18-tuoi
https://techcombank.com/thong-tin/blog/cach-tiet-kiem-tien</v>
      </c>
      <c r="D341" s="5" t="str">
        <f t="shared" si="1"/>
        <v>OK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35" t="str">
        <f>IFERROR(__xludf.DUMMYFUNCTION("""COMPUTED_VALUE"""),"https://techcombank.com/thong-tin/blog/mua-chung-chi-quy")</f>
        <v>https://techcombank.com/thong-tin/blog/mua-chung-chi-quy</v>
      </c>
      <c r="B342" s="25">
        <f>IFERROR(__xludf.DUMMYFUNCTION("""COMPUTED_VALUE"""),3.0)</f>
        <v>3</v>
      </c>
      <c r="C342" s="5" t="str">
        <f>IFERROR(__xludf.DUMMYFUNCTION("IF(A342="""","""",TEXTJOIN(CHAR(10),TRUE,FILTER('Chi tiết từng link'!$B$2:$B$2505,'Chi tiết từng link'!$D$2:$D$2505=A342)))"),"https://techcombank.com/thong-tin/blog/thue-thu-nhap-doanh-nghiep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2" s="5" t="str">
        <f t="shared" si="1"/>
        <v>OK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35" t="str">
        <f>IFERROR(__xludf.DUMMYFUNCTION("""COMPUTED_VALUE"""),"https://techcombank.com/thong-tin/blog/nap-tien-dien-thoai-online")</f>
        <v>https://techcombank.com/thong-tin/blog/nap-tien-dien-thoai-online</v>
      </c>
      <c r="B343" s="25">
        <f>IFERROR(__xludf.DUMMYFUNCTION("""COMPUTED_VALUE"""),3.0)</f>
        <v>3</v>
      </c>
      <c r="C343" s="5" t="str">
        <f>IFERROR(__xludf.DUMMYFUNCTION("IF(A343="""","""",TEXTJOIN(CHAR(10),TRUE,FILTER('Chi tiết từng link'!$B$2:$B$2505,'Chi tiết từng link'!$D$2:$D$2505=A343)))"),"https://techcombank.com/thong-tin/blog/cach-nap-the-viettel
https://techcombank.com/thong-tin/blog/cach-tinh-tien-dien-sinh-hoat
https://techcombank.com/thong-tin/blog/nap-tien-vao-tai-khoan-ngan-hang")</f>
        <v>https://techcombank.com/thong-tin/blog/cach-nap-the-viettel
https://techcombank.com/thong-tin/blog/cach-tinh-tien-dien-sinh-hoat
https://techcombank.com/thong-tin/blog/nap-tien-vao-tai-khoan-ngan-hang</v>
      </c>
      <c r="D343" s="5" t="str">
        <f t="shared" si="1"/>
        <v>OK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35" t="str">
        <f>IFERROR(__xludf.DUMMYFUNCTION("""COMPUTED_VALUE"""),"https://techcombank.com/thong-tin/blog/nen-thanh-lap-ho-kinh-doanh-ke-khai-hay-doanh-nghiep")</f>
        <v>https://techcombank.com/thong-tin/blog/nen-thanh-lap-ho-kinh-doanh-ke-khai-hay-doanh-nghiep</v>
      </c>
      <c r="B344" s="25">
        <f>IFERROR(__xludf.DUMMYFUNCTION("""COMPUTED_VALUE"""),3.0)</f>
        <v>3</v>
      </c>
      <c r="C344" s="5" t="str">
        <f>IFERROR(__xludf.DUMMYFUNCTION("IF(A344="""","""",TEXTJOIN(CHAR(10),TRUE,FILTER('Chi tiết từng link'!$B$2:$B$2505,'Chi tiết từng link'!$D$2:$D$2505=A344)))"),"https://techcombank.com/thong-tin/blog/ho-kinh-doanh-dong-thue-nhu-nao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44" s="5" t="str">
        <f t="shared" si="1"/>
        <v>OK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35" t="str">
        <f>IFERROR(__xludf.DUMMYFUNCTION("""COMPUTED_VALUE"""),"https://techcombank.com/thong-tin/blog/ngan-hang-so")</f>
        <v>https://techcombank.com/thong-tin/blog/ngan-hang-so</v>
      </c>
      <c r="B345" s="25">
        <f>IFERROR(__xludf.DUMMYFUNCTION("""COMPUTED_VALUE"""),3.0)</f>
        <v>3</v>
      </c>
      <c r="C345" s="5" t="str">
        <f>IFERROR(__xludf.DUMMYFUNCTION("IF(A345="""","""",TEXTJOIN(CHAR(10),TRUE,FILTER('Chi tiết từng link'!$B$2:$B$2505,'Chi tiết từng link'!$D$2:$D$2505=A345)))"),"https://techcombank.com/thong-tin/blog/cach-sao-ke-tai-khoan-ngan-hang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45" s="5" t="str">
        <f t="shared" si="1"/>
        <v>OK</v>
      </c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35" t="str">
        <f>IFERROR(__xludf.DUMMYFUNCTION("""COMPUTED_VALUE"""),"https://techcombank.com/thong-tin/blog/nha-dau-tu-giao-dich-trai-phieu-truc-tuyen-tang-manh-tro-lai")</f>
        <v>https://techcombank.com/thong-tin/blog/nha-dau-tu-giao-dich-trai-phieu-truc-tuyen-tang-manh-tro-lai</v>
      </c>
      <c r="B346" s="25">
        <f>IFERROR(__xludf.DUMMYFUNCTION("""COMPUTED_VALUE"""),3.0)</f>
        <v>3</v>
      </c>
      <c r="C346" s="5" t="str">
        <f>IFERROR(__xludf.DUMMYFUNCTION("IF(A346="""","""",TEXTJOIN(CHAR(10),TRUE,FILTER('Chi tiết từng link'!$B$2:$B$2505,'Chi tiết từng link'!$D$2:$D$2505=A346)))"),"https://techcombank.com/thong-tin/blog/thue-thu-nhap-doanh-nghiep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46" s="5" t="str">
        <f t="shared" si="1"/>
        <v>OK</v>
      </c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35" t="str">
        <f>IFERROR(__xludf.DUMMYFUNCTION("""COMPUTED_VALUE"""),"https://techcombank.com/thong-tin/blog/nhung-chi-phi-khong-duoc-tru-khi-tinh-thue-tndn")</f>
        <v>https://techcombank.com/thong-tin/blog/nhung-chi-phi-khong-duoc-tru-khi-tinh-thue-tndn</v>
      </c>
      <c r="B347" s="25">
        <f>IFERROR(__xludf.DUMMYFUNCTION("""COMPUTED_VALUE"""),3.0)</f>
        <v>3</v>
      </c>
      <c r="C347" s="5" t="str">
        <f>IFERROR(__xludf.DUMMYFUNCTION("IF(A347="""","""",TEXTJOIN(CHAR(10),TRUE,FILTER('Chi tiết từng link'!$B$2:$B$2505,'Chi tiết từng link'!$D$2:$D$2505=A347)))"),"https://techcombank.com/thong-tin/blog/thue-thu-nhap-doanh-nghiep
https://techcombank.com/thong-tin/blog/cach-tinh-thue-thu-nhap-doanh-nghiep
https://techcombank.com/thong-tin/blog/ho-kinh-doanh-dong-thue-nhu-nao")</f>
        <v>https://techcombank.com/thong-tin/blog/thue-thu-nhap-doanh-nghiep
https://techcombank.com/thong-tin/blog/cach-tinh-thue-thu-nhap-doanh-nghiep
https://techcombank.com/thong-tin/blog/ho-kinh-doanh-dong-thue-nhu-nao</v>
      </c>
      <c r="D347" s="5" t="str">
        <f t="shared" si="1"/>
        <v>OK</v>
      </c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35" t="str">
        <f>IFERROR(__xludf.DUMMYFUNCTION("""COMPUTED_VALUE"""),"https://techcombank.com/thong-tin/blog/nop-thue-dat-qua-ngan-hang")</f>
        <v>https://techcombank.com/thong-tin/blog/nop-thue-dat-qua-ngan-hang</v>
      </c>
      <c r="B348" s="25">
        <f>IFERROR(__xludf.DUMMYFUNCTION("""COMPUTED_VALUE"""),3.0)</f>
        <v>3</v>
      </c>
      <c r="C348" s="5" t="str">
        <f>IFERROR(__xludf.DUMMYFUNCTION("IF(A348="""","""",TEXTJOIN(CHAR(10),TRUE,FILTER('Chi tiết từng link'!$B$2:$B$2505,'Chi tiết từng link'!$D$2:$D$2505=A348)))"),"https://techcombank.com/thong-tin/blog/cach-nop-thue-dien-tu
https://techcombank.com/thong-tin/blog/kiem-tra-thue-thu-nhap-ca-nhan
https://techcombank.com/thong-tin/blog/ho-kinh-doanh-dong-thue-nhu-nao")</f>
        <v>https://techcombank.com/thong-tin/blog/cach-nop-thue-dien-tu
https://techcombank.com/thong-tin/blog/kiem-tra-thue-thu-nhap-ca-nhan
https://techcombank.com/thong-tin/blog/ho-kinh-doanh-dong-thue-nhu-nao</v>
      </c>
      <c r="D348" s="5" t="str">
        <f t="shared" si="1"/>
        <v>OK</v>
      </c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35" t="str">
        <f>IFERROR(__xludf.DUMMYFUNCTION("""COMPUTED_VALUE"""),"https://techcombank.com/thong-tin/blog/nop-thue-hai-quan")</f>
        <v>https://techcombank.com/thong-tin/blog/nop-thue-hai-quan</v>
      </c>
      <c r="B349" s="25">
        <f>IFERROR(__xludf.DUMMYFUNCTION("""COMPUTED_VALUE"""),3.0)</f>
        <v>3</v>
      </c>
      <c r="C349" s="5" t="str">
        <f>IFERROR(__xludf.DUMMYFUNCTION("IF(A349="""","""",TEXTJOIN(CHAR(10),TRUE,FILTER('Chi tiết từng link'!$B$2:$B$2505,'Chi tiết từng link'!$D$2:$D$2505=A349)))"),"https://techcombank.com/thong-tin/blog/nop-thue-dat-qua-ngan-hang
https://techcombank.com/thong-tin/blog/cach-nop-thue-dien-tu
https://techcombank.com/thong-tin/blog/ho-kinh-doanh-dong-thue-nhu-nao")</f>
        <v>https://techcombank.com/thong-tin/blog/nop-thue-dat-qua-ngan-hang
https://techcombank.com/thong-tin/blog/cach-nop-thue-dien-tu
https://techcombank.com/thong-tin/blog/ho-kinh-doanh-dong-thue-nhu-nao</v>
      </c>
      <c r="D349" s="5" t="str">
        <f t="shared" si="1"/>
        <v>OK</v>
      </c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35" t="str">
        <f>IFERROR(__xludf.DUMMYFUNCTION("""COMPUTED_VALUE"""),"https://techcombank.com/thong-tin/blog/nop-tien-mat-vao-tai-khoan-cong-ty")</f>
        <v>https://techcombank.com/thong-tin/blog/nop-tien-mat-vao-tai-khoan-cong-ty</v>
      </c>
      <c r="B350" s="25">
        <f>IFERROR(__xludf.DUMMYFUNCTION("""COMPUTED_VALUE"""),3.0)</f>
        <v>3</v>
      </c>
      <c r="C350" s="5" t="str">
        <f>IFERROR(__xludf.DUMMYFUNCTION("IF(A350="""","""",TEXTJOIN(CHAR(10),TRUE,FILTER('Chi tiết từng link'!$B$2:$B$2505,'Chi tiết từng link'!$D$2:$D$2505=A350)))"),"https://techcombank.com/thong-tin/blog/cong-ty-su-dung-tai-khoan-ca-nhan
https://techcombank.com/thong-tin/blog/nap-tien-vao-tai-khoan-ngan-hang
https://techcombank.com/thong-tin/blog/rut-tien-mat-tu-the-tin-dung")</f>
        <v>https://techcombank.com/thong-tin/blog/cong-ty-su-dung-tai-khoan-ca-nhan
https://techcombank.com/thong-tin/blog/nap-tien-vao-tai-khoan-ngan-hang
https://techcombank.com/thong-tin/blog/rut-tien-mat-tu-the-tin-dung</v>
      </c>
      <c r="D350" s="5" t="str">
        <f t="shared" si="1"/>
        <v>OK</v>
      </c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35" t="str">
        <f>IFERROR(__xludf.DUMMYFUNCTION("""COMPUTED_VALUE"""),"https://techcombank.com/thong-tin/blog/phan-mem-lap-ke-hoach-tai-chinh-ca-nhan")</f>
        <v>https://techcombank.com/thong-tin/blog/phan-mem-lap-ke-hoach-tai-chinh-ca-nhan</v>
      </c>
      <c r="B351" s="25">
        <f>IFERROR(__xludf.DUMMYFUNCTION("""COMPUTED_VALUE"""),3.0)</f>
        <v>3</v>
      </c>
      <c r="C351" s="5" t="str">
        <f>IFERROR(__xludf.DUMMYFUNCTION("IF(A351="""","""",TEXTJOIN(CHAR(10),TRUE,FILTER('Chi tiết từng link'!$B$2:$B$2505,'Chi tiết từng link'!$D$2:$D$2505=A351)))"),"https://techcombank.com/thong-tin/blog/cach-sao-ke-tai-khoan-ngan-hang
https://techcombank.com/thong-tin/blog/cach-tiet-kiem-tien
https://techcombank.com/thong-tin/blog/phuong-phap-dau-tu-chung-chi-quy")</f>
        <v>https://techcombank.com/thong-tin/blog/cach-sao-ke-tai-khoan-ngan-hang
https://techcombank.com/thong-tin/blog/cach-tiet-kiem-tien
https://techcombank.com/thong-tin/blog/phuong-phap-dau-tu-chung-chi-quy</v>
      </c>
      <c r="D351" s="5" t="str">
        <f t="shared" si="1"/>
        <v>OK</v>
      </c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35" t="str">
        <f>IFERROR(__xludf.DUMMYFUNCTION("""COMPUTED_VALUE"""),"https://techcombank.com/thong-tin/blog/phi-vay-the-chap")</f>
        <v>https://techcombank.com/thong-tin/blog/phi-vay-the-chap</v>
      </c>
      <c r="B352" s="25">
        <f>IFERROR(__xludf.DUMMYFUNCTION("""COMPUTED_VALUE"""),3.0)</f>
        <v>3</v>
      </c>
      <c r="C352" s="5" t="str">
        <f>IFERROR(__xludf.DUMMYFUNCTION("IF(A352="""","""",TEXTJOIN(CHAR(10),TRUE,FILTER('Chi tiết từng link'!$B$2:$B$2505,'Chi tiết từng link'!$D$2:$D$2505=A352)))"),"https://techcombank.com/thong-tin/blog/vay-ngan-hang-1-ty-moi-thang-tra-bao-nhieu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52" s="5" t="str">
        <f t="shared" si="1"/>
        <v>OK</v>
      </c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35" t="str">
        <f>IFERROR(__xludf.DUMMYFUNCTION("""COMPUTED_VALUE"""),"https://techcombank.com/thong-tin/blog/quan-ly-tai-chinh-doanh-nghiep-la-gi")</f>
        <v>https://techcombank.com/thong-tin/blog/quan-ly-tai-chinh-doanh-nghiep-la-gi</v>
      </c>
      <c r="B353" s="25">
        <f>IFERROR(__xludf.DUMMYFUNCTION("""COMPUTED_VALUE"""),3.0)</f>
        <v>3</v>
      </c>
      <c r="C353" s="5" t="str">
        <f>IFERROR(__xludf.DUMMYFUNCTION("IF(A353="""","""",TEXTJOIN(CHAR(10),TRUE,FILTER('Chi tiết từng link'!$B$2:$B$2505,'Chi tiết từng link'!$D$2:$D$2505=A353)))"),"https://techcombank.com/thong-tin/blog/thue-thu-nhap-doanh-nghiep
https://techcombank.com/thong-tin/blog/cach-tinh-thue-thu-nhap-doanh-nghiep
https://techcombank.com/thong-tin/blog/cach-tiet-kiem-tien")</f>
        <v>https://techcombank.com/thong-tin/blog/thue-thu-nhap-doanh-nghiep
https://techcombank.com/thong-tin/blog/cach-tinh-thue-thu-nhap-doanh-nghiep
https://techcombank.com/thong-tin/blog/cach-tiet-kiem-tien</v>
      </c>
      <c r="D353" s="5" t="str">
        <f t="shared" si="1"/>
        <v>OK</v>
      </c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35" t="str">
        <f>IFERROR(__xludf.DUMMYFUNCTION("""COMPUTED_VALUE"""),"https://techcombank.com/thong-tin/blog/rut-tien-bang-ma-qr-la-gi-cach-thuc-hien-nhu-the-nao")</f>
        <v>https://techcombank.com/thong-tin/blog/rut-tien-bang-ma-qr-la-gi-cach-thuc-hien-nhu-the-nao</v>
      </c>
      <c r="B354" s="25">
        <f>IFERROR(__xludf.DUMMYFUNCTION("""COMPUTED_VALUE"""),3.0)</f>
        <v>3</v>
      </c>
      <c r="C354" s="5" t="str">
        <f>IFERROR(__xludf.DUMMYFUNCTION("IF(A354="""","""",TEXTJOIN(CHAR(10),TRUE,FILTER('Chi tiết từng link'!$B$2:$B$2505,'Chi tiết từng link'!$D$2:$D$2505=A354)))"),"https://techcombank.com/thong-tin/blog/nap-tien-vao-tai-khoan-ngan-hang
https://techcombank.com/thong-tin/blog/rut-tien-mat-tu-the-tin-dung
https://techcombank.com/thong-tin/blog/gui-ma-qr-ngan-hang")</f>
        <v>https://techcombank.com/thong-tin/blog/nap-tien-vao-tai-khoan-ngan-hang
https://techcombank.com/thong-tin/blog/rut-tien-mat-tu-the-tin-dung
https://techcombank.com/thong-tin/blog/gui-ma-qr-ngan-hang</v>
      </c>
      <c r="D354" s="5" t="str">
        <f t="shared" si="1"/>
        <v>OK</v>
      </c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35" t="str">
        <f>IFERROR(__xludf.DUMMYFUNCTION("""COMPUTED_VALUE"""),"https://techcombank.com/thong-tin/blog/rut-tien-mat-tu-tai-khoan-doanh-nghiep")</f>
        <v>https://techcombank.com/thong-tin/blog/rut-tien-mat-tu-tai-khoan-doanh-nghiep</v>
      </c>
      <c r="B355" s="25">
        <f>IFERROR(__xludf.DUMMYFUNCTION("""COMPUTED_VALUE"""),3.0)</f>
        <v>3</v>
      </c>
      <c r="C355" s="5" t="str">
        <f>IFERROR(__xludf.DUMMYFUNCTION("IF(A355="""","""",TEXTJOIN(CHAR(10),TRUE,FILTER('Chi tiết từng link'!$B$2:$B$2505,'Chi tiết từng link'!$D$2:$D$2505=A355)))"),"https://techcombank.com/thong-tin/blog/cong-ty-su-dung-tai-khoan-ca-nhan
https://techcombank.com/thong-tin/blog/rut-tien-bang-ma-qr-la-gi-cach-thuc-hien-nhu-the-nao
https://techcombank.com/thong-tin/blog/rut-tien-mat-tu-the-tin-dung")</f>
        <v>https://techcombank.com/thong-tin/blog/cong-ty-su-dung-tai-khoan-ca-nhan
https://techcombank.com/thong-tin/blog/rut-tien-bang-ma-qr-la-gi-cach-thuc-hien-nhu-the-nao
https://techcombank.com/thong-tin/blog/rut-tien-mat-tu-the-tin-dung</v>
      </c>
      <c r="D355" s="5" t="str">
        <f t="shared" si="1"/>
        <v>OK</v>
      </c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35" t="str">
        <f>IFERROR(__xludf.DUMMYFUNCTION("""COMPUTED_VALUE"""),"https://techcombank.com/thong-tin/blog/sao-ke-tai-khoan-doanh-nghiep")</f>
        <v>https://techcombank.com/thong-tin/blog/sao-ke-tai-khoan-doanh-nghiep</v>
      </c>
      <c r="B356" s="25">
        <f>IFERROR(__xludf.DUMMYFUNCTION("""COMPUTED_VALUE"""),3.0)</f>
        <v>3</v>
      </c>
      <c r="C356" s="5" t="str">
        <f>IFERROR(__xludf.DUMMYFUNCTION("IF(A356="""","""",TEXTJOIN(CHAR(10),TRUE,FILTER('Chi tiết từng link'!$B$2:$B$2505,'Chi tiết từng link'!$D$2:$D$2505=A356)))"),"https://techcombank.com/thong-tin/blog/cong-ty-su-dung-tai-khoan-ca-nhan
https://techcombank.com/thong-tin/blog/cach-sao-ke-tai-khoan-ngan-hang
https://techcombank.com/thong-tin/blog/cach-thanh-toan-the-tin-dung")</f>
        <v>https://techcombank.com/thong-tin/blog/cong-ty-su-dung-tai-khoan-ca-nhan
https://techcombank.com/thong-tin/blog/cach-sao-ke-tai-khoan-ngan-hang
https://techcombank.com/thong-tin/blog/cach-thanh-toan-the-tin-dung</v>
      </c>
      <c r="D356" s="5" t="str">
        <f t="shared" si="1"/>
        <v>OK</v>
      </c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35" t="str">
        <f>IFERROR(__xludf.DUMMYFUNCTION("""COMPUTED_VALUE"""),"https://techcombank.com/thong-tin/blog/so-du-tien-gui-la-gi")</f>
        <v>https://techcombank.com/thong-tin/blog/so-du-tien-gui-la-gi</v>
      </c>
      <c r="B357" s="25">
        <f>IFERROR(__xludf.DUMMYFUNCTION("""COMPUTED_VALUE"""),3.0)</f>
        <v>3</v>
      </c>
      <c r="C357" s="5" t="str">
        <f>IFERROR(__xludf.DUMMYFUNCTION("IF(A357="""","""",TEXTJOIN(CHAR(10),TRUE,FILTER('Chi tiết từng link'!$B$2:$B$2505,'Chi tiết từng link'!$D$2:$D$2505=A357)))"),"https://techcombank.com/thong-tin/blog/cach-kiem-tra-tai-khoan-ngan-hang
https://techcombank.com/thong-tin/blog/nap-tien-vao-tai-khoan-ngan-hang
https://techcombank.com/thong-tin/blog/rut-tien-bang-ma-qr-la-gi-cach-thuc-hien-nhu-the-nao")</f>
        <v>https://techcombank.com/thong-tin/blog/cach-kiem-tra-tai-khoan-ngan-hang
https://techcombank.com/thong-tin/blog/nap-tien-vao-tai-khoan-ngan-hang
https://techcombank.com/thong-tin/blog/rut-tien-bang-ma-qr-la-gi-cach-thuc-hien-nhu-the-nao</v>
      </c>
      <c r="D357" s="5" t="str">
        <f t="shared" si="1"/>
        <v>OK</v>
      </c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35" t="str">
        <f>IFERROR(__xludf.DUMMYFUNCTION("""COMPUTED_VALUE"""),"https://techcombank.com/thong-tin/blog/softpos")</f>
        <v>https://techcombank.com/thong-tin/blog/softpos</v>
      </c>
      <c r="B358" s="25">
        <f>IFERROR(__xludf.DUMMYFUNCTION("""COMPUTED_VALUE"""),3.0)</f>
        <v>3</v>
      </c>
      <c r="C358" s="5" t="str">
        <f>IFERROR(__xludf.DUMMYFUNCTION("IF(A358="""","""",TEXTJOIN(CHAR(10),TRUE,FILTER('Chi tiết từng link'!$B$2:$B$2505,'Chi tiết từng link'!$D$2:$D$2505=A358)))"),"https://techcombank.com/thong-tin/blog/rut-tien-bang-ma-qr-la-gi-cach-thuc-hien-nhu-the-nao
https://techcombank.com/thong-tin/blog/gui-ma-qr-ngan-hang
https://techcombank.com/thong-tin/blog/phuong-phap-dau-tu-chung-chi-quy")</f>
        <v>https://techcombank.com/thong-tin/blog/rut-tien-bang-ma-qr-la-gi-cach-thuc-hien-nhu-the-nao
https://techcombank.com/thong-tin/blog/gui-ma-qr-ngan-hang
https://techcombank.com/thong-tin/blog/phuong-phap-dau-tu-chung-chi-quy</v>
      </c>
      <c r="D358" s="5" t="str">
        <f t="shared" si="1"/>
        <v>OK</v>
      </c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35" t="str">
        <f>IFERROR(__xludf.DUMMYFUNCTION("""COMPUTED_VALUE"""),"https://techcombank.com/thong-tin/blog/spaylater")</f>
        <v>https://techcombank.com/thong-tin/blog/spaylater</v>
      </c>
      <c r="B359" s="25">
        <f>IFERROR(__xludf.DUMMYFUNCTION("""COMPUTED_VALUE"""),3.0)</f>
        <v>3</v>
      </c>
      <c r="C359" s="5" t="str">
        <f>IFERROR(__xludf.DUMMYFUNCTION("IF(A359="""","""",TEXTJOIN(CHAR(10),TRUE,FILTER('Chi tiết từng link'!$B$2:$B$2505,'Chi tiết từng link'!$D$2:$D$2505=A359)))"),"https://techcombank.com/thong-tin/blog/cic-la-gi
https://techcombank.com/thong-tin/blog/xep-hang-tin-dung
https://techcombank.com/thong-tin/blog/kiem-tra-no-xau")</f>
        <v>https://techcombank.com/thong-tin/blog/cic-la-gi
https://techcombank.com/thong-tin/blog/xep-hang-tin-dung
https://techcombank.com/thong-tin/blog/kiem-tra-no-xau</v>
      </c>
      <c r="D359" s="5" t="str">
        <f t="shared" si="1"/>
        <v>OK</v>
      </c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35" t="str">
        <f>IFERROR(__xludf.DUMMYFUNCTION("""COMPUTED_VALUE"""),"https://techcombank.com/thong-tin/blog/tap-doan-thanh-quang-khoi-sac-kinh-doanh-nho-nguon-von-vay-tin-dung-techcombank-tren-nen-tang-misa-lending")</f>
        <v>https://techcombank.com/thong-tin/blog/tap-doan-thanh-quang-khoi-sac-kinh-doanh-nho-nguon-von-vay-tin-dung-techcombank-tren-nen-tang-misa-lending</v>
      </c>
      <c r="B360" s="25">
        <f>IFERROR(__xludf.DUMMYFUNCTION("""COMPUTED_VALUE"""),3.0)</f>
        <v>3</v>
      </c>
      <c r="C360" s="5" t="str">
        <f>IFERROR(__xludf.DUMMYFUNCTION("IF(A360="""","""",TEXTJOIN(CHAR(10),TRUE,FILTER('Chi tiết từng link'!$B$2:$B$2505,'Chi tiết từng link'!$D$2:$D$2505=A360)))"),"https://techcombank.com/thong-tin/blog/bao-nhieu-tuoi-duoc-mo-tai-khoan-ngan-hang
https://techcombank.com/thong-tin/blog/mo-tai-khoan-ngan-hang-duoi-18-tuoi
https://techcombank.com/thong-tin/blog/eco-card")</f>
        <v>https://techcombank.com/thong-tin/blog/bao-nhieu-tuoi-duoc-mo-tai-khoan-ngan-hang
https://techcombank.com/thong-tin/blog/mo-tai-khoan-ngan-hang-duoi-18-tuoi
https://techcombank.com/thong-tin/blog/eco-card</v>
      </c>
      <c r="D360" s="5" t="str">
        <f t="shared" si="1"/>
        <v>OK</v>
      </c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35" t="str">
        <f>IFERROR(__xludf.DUMMYFUNCTION("""COMPUTED_VALUE"""),"https://techcombank.com/thong-tin/blog/tat-toan-so-tiet-kiem")</f>
        <v>https://techcombank.com/thong-tin/blog/tat-toan-so-tiet-kiem</v>
      </c>
      <c r="B361" s="25">
        <f>IFERROR(__xludf.DUMMYFUNCTION("""COMPUTED_VALUE"""),3.0)</f>
        <v>3</v>
      </c>
      <c r="C361" s="5" t="str">
        <f>IFERROR(__xludf.DUMMYFUNCTION("IF(A361="""","""",TEXTJOIN(CHAR(10),TRUE,FILTER('Chi tiết từng link'!$B$2:$B$2505,'Chi tiết từng link'!$D$2:$D$2505=A361)))"),"https://techcombank.com/thong-tin/blog/ho-so-thu-tuc-xoa-the-chap
https://techcombank.com/thong-tin/blog/rut-tien-tiet-kiem-truoc-thoi-han
https://techcombank.com/thong-tin/blog/so-tiet-kiem-ngan-hang")</f>
        <v>https://techcombank.com/thong-tin/blog/ho-so-thu-tuc-xoa-the-chap
https://techcombank.com/thong-tin/blog/rut-tien-tiet-kiem-truoc-thoi-han
https://techcombank.com/thong-tin/blog/so-tiet-kiem-ngan-hang</v>
      </c>
      <c r="D361" s="5" t="str">
        <f t="shared" si="1"/>
        <v>OK</v>
      </c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35" t="str">
        <f>IFERROR(__xludf.DUMMYFUNCTION("""COMPUTED_VALUE"""),"https://techcombank.com/thong-tin/blog/thanh-lap-ho-kinh-doanh-ca-the")</f>
        <v>https://techcombank.com/thong-tin/blog/thanh-lap-ho-kinh-doanh-ca-the</v>
      </c>
      <c r="B362" s="25">
        <f>IFERROR(__xludf.DUMMYFUNCTION("""COMPUTED_VALUE"""),3.0)</f>
        <v>3</v>
      </c>
      <c r="C362" s="5" t="str">
        <f>IFERROR(__xludf.DUMMYFUNCTION("IF(A362="""","""",TEXTJOIN(CHAR(10),TRUE,FILTER('Chi tiết từng link'!$B$2:$B$2505,'Chi tiết từng link'!$D$2:$D$2505=A362)))"),"https://techcombank.com/thong-tin/blog/ho-kinh-doanh-dong-thue-nhu-nao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2" s="5" t="str">
        <f t="shared" si="1"/>
        <v>OK</v>
      </c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35" t="str">
        <f>IFERROR(__xludf.DUMMYFUNCTION("""COMPUTED_VALUE"""),"https://techcombank.com/thong-tin/blog/thanh-toan-hoa-don-tieu-dung")</f>
        <v>https://techcombank.com/thong-tin/blog/thanh-toan-hoa-don-tieu-dung</v>
      </c>
      <c r="B363" s="25">
        <f>IFERROR(__xludf.DUMMYFUNCTION("""COMPUTED_VALUE"""),3.0)</f>
        <v>3</v>
      </c>
      <c r="C363" s="5" t="str">
        <f>IFERROR(__xludf.DUMMYFUNCTION("IF(A363="""","""",TEXTJOIN(CHAR(10),TRUE,FILTER('Chi tiết từng link'!$B$2:$B$2505,'Chi tiết từng link'!$D$2:$D$2505=A363)))"),"https://techcombank.com/thong-tin/blog/thue-vat-la-gi
https://techcombank.com/thong-tin/blog/cach-tinh-tien-dien-sinh-hoat
https://techcombank.com/thong-tin/blog/ten-dang-nhap-tai-khoan-ngan-hang-la-gi")</f>
        <v>https://techcombank.com/thong-tin/blog/thue-vat-la-gi
https://techcombank.com/thong-tin/blog/cach-tinh-tien-dien-sinh-hoat
https://techcombank.com/thong-tin/blog/ten-dang-nhap-tai-khoan-ngan-hang-la-gi</v>
      </c>
      <c r="D363" s="5" t="str">
        <f t="shared" si="1"/>
        <v>OK</v>
      </c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35" t="str">
        <f>IFERROR(__xludf.DUMMYFUNCTION("""COMPUTED_VALUE"""),"https://techcombank.com/thong-tin/blog/thanh-toan-khi-du-lich-hong-kong")</f>
        <v>https://techcombank.com/thong-tin/blog/thanh-toan-khi-du-lich-hong-kong</v>
      </c>
      <c r="B364" s="25">
        <f>IFERROR(__xludf.DUMMYFUNCTION("""COMPUTED_VALUE"""),3.0)</f>
        <v>3</v>
      </c>
      <c r="C364" s="5" t="str">
        <f>IFERROR(__xludf.DUMMYFUNCTION("IF(A364="""","""",TEXTJOIN(CHAR(10),TRUE,FILTER('Chi tiết từng link'!$B$2:$B$2505,'Chi tiết từng link'!$D$2:$D$2505=A364)))"),"https://techcombank.com/thong-tin/blog/cach-sao-ke-tai-khoan-ngan-hang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4" s="5" t="str">
        <f t="shared" si="1"/>
        <v>OK</v>
      </c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35" t="str">
        <f>IFERROR(__xludf.DUMMYFUNCTION("""COMPUTED_VALUE"""),"https://techcombank.com/thong-tin/blog/thanh-toan-khi-du-lich-singapore")</f>
        <v>https://techcombank.com/thong-tin/blog/thanh-toan-khi-du-lich-singapore</v>
      </c>
      <c r="B365" s="25">
        <f>IFERROR(__xludf.DUMMYFUNCTION("""COMPUTED_VALUE"""),3.0)</f>
        <v>3</v>
      </c>
      <c r="C365" s="5" t="str">
        <f>IFERROR(__xludf.DUMMYFUNCTION("IF(A365="""","""",TEXTJOIN(CHAR(10),TRUE,FILTER('Chi tiết từng link'!$B$2:$B$2505,'Chi tiết từng link'!$D$2:$D$2505=A365)))"),"https://techcombank.com/thong-tin/blog/cach-sao-ke-tai-khoan-ngan-hang
https://techcombank.com/thong-tin/blog/traveloka-voucher
https://techcombank.com/thong-tin/blog/cach-tiet-kiem-tien")</f>
        <v>https://techcombank.com/thong-tin/blog/cach-sao-ke-tai-khoan-ngan-hang
https://techcombank.com/thong-tin/blog/traveloka-voucher
https://techcombank.com/thong-tin/blog/cach-tiet-kiem-tien</v>
      </c>
      <c r="D365" s="5" t="str">
        <f t="shared" si="1"/>
        <v>OK</v>
      </c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35" t="str">
        <f>IFERROR(__xludf.DUMMYFUNCTION("""COMPUTED_VALUE"""),"https://techcombank.com/thong-tin/blog/thanh-toan-tra-sau-viettel-bang-tai-khoan-ngan-hang")</f>
        <v>https://techcombank.com/thong-tin/blog/thanh-toan-tra-sau-viettel-bang-tai-khoan-ngan-hang</v>
      </c>
      <c r="B366" s="25">
        <f>IFERROR(__xludf.DUMMYFUNCTION("""COMPUTED_VALUE"""),3.0)</f>
        <v>3</v>
      </c>
      <c r="C366" s="5" t="str">
        <f>IFERROR(__xludf.DUMMYFUNCTION("IF(A366="""","""",TEXTJOIN(CHAR(10),TRUE,FILTER('Chi tiết từng link'!$B$2:$B$2505,'Chi tiết từng link'!$D$2:$D$2505=A366)))"),"https://techcombank.com/thong-tin/blog/cach-nap-the-viettel
https://techcombank.com/thong-tin/blog/cach-mo-tai-khoan
https://techcombank.com/thong-tin/blog/ten-dang-nhap-tai-khoan-ngan-hang-la-gi")</f>
        <v>https://techcombank.com/thong-tin/blog/cach-nap-the-viettel
https://techcombank.com/thong-tin/blog/cach-mo-tai-khoan
https://techcombank.com/thong-tin/blog/ten-dang-nhap-tai-khoan-ngan-hang-la-gi</v>
      </c>
      <c r="D366" s="5" t="str">
        <f t="shared" si="1"/>
        <v>OK</v>
      </c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35" t="str">
        <f>IFERROR(__xludf.DUMMYFUNCTION("""COMPUTED_VALUE"""),"https://techcombank.com/thong-tin/blog/thay-doi-dia-chi-ho-kinh-doanh")</f>
        <v>https://techcombank.com/thong-tin/blog/thay-doi-dia-chi-ho-kinh-doanh</v>
      </c>
      <c r="B367" s="25">
        <f>IFERROR(__xludf.DUMMYFUNCTION("""COMPUTED_VALUE"""),3.0)</f>
        <v>3</v>
      </c>
      <c r="C367" s="5" t="str">
        <f>IFERROR(__xludf.DUMMYFUNCTION("IF(A367="""","""",TEXTJOIN(CHAR(10),TRUE,FILTER('Chi tiết từng link'!$B$2:$B$2505,'Chi tiết từng link'!$D$2:$D$2505=A367)))"),"https://techcombank.com/thong-tin/blog/ho-kinh-doanh-dong-thue-nhu-nao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67" s="5" t="str">
        <f t="shared" si="1"/>
        <v>OK</v>
      </c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35" t="str">
        <f>IFERROR(__xludf.DUMMYFUNCTION("""COMPUTED_VALUE"""),"https://techcombank.com/thong-tin/blog/the-chap-la-gi")</f>
        <v>https://techcombank.com/thong-tin/blog/the-chap-la-gi</v>
      </c>
      <c r="B368" s="25">
        <f>IFERROR(__xludf.DUMMYFUNCTION("""COMPUTED_VALUE"""),3.0)</f>
        <v>3</v>
      </c>
      <c r="C368" s="5" t="str">
        <f>IFERROR(__xludf.DUMMYFUNCTION("IF(A368="""","""",TEXTJOIN(CHAR(10),TRUE,FILTER('Chi tiết từng link'!$B$2:$B$2505,'Chi tiết từng link'!$D$2:$D$2505=A368)))"),"https://techcombank.com/thong-tin/blog/vay-ngan-hang-1-ty-moi-thang-tra-bao-nhieu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68" s="5" t="str">
        <f t="shared" si="1"/>
        <v>OK</v>
      </c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35" t="str">
        <f>IFERROR(__xludf.DUMMYFUNCTION("""COMPUTED_VALUE"""),"https://techcombank.com/thong-tin/blog/the-ghi-no-co-chuyen-khoan-duoc-khong")</f>
        <v>https://techcombank.com/thong-tin/blog/the-ghi-no-co-chuyen-khoan-duoc-khong</v>
      </c>
      <c r="B369" s="25">
        <f>IFERROR(__xludf.DUMMYFUNCTION("""COMPUTED_VALUE"""),3.0)</f>
        <v>3</v>
      </c>
      <c r="C369" s="5" t="str">
        <f>IFERROR(__xludf.DUMMYFUNCTION("IF(A369="""","""",TEXTJOIN(CHAR(10),TRUE,FILTER('Chi tiết từng link'!$B$2:$B$2505,'Chi tiết từng link'!$D$2:$D$2505=A369)))"),"https://techcombank.com/thong-tin/blog/chuyen-khoan-thanh-cong-nhung-khong-nhan-duoc-tien
https://techcombank.com/thong-tin/blog/ten-dang-nhap-tai-khoan-ngan-hang-la-gi
https://techcombank.com/thong-tin/blog/eco-card")</f>
        <v>https://techcombank.com/thong-tin/blog/chuyen-khoan-thanh-cong-nhung-khong-nhan-duoc-tien
https://techcombank.com/thong-tin/blog/ten-dang-nhap-tai-khoan-ngan-hang-la-gi
https://techcombank.com/thong-tin/blog/eco-card</v>
      </c>
      <c r="D369" s="5" t="str">
        <f t="shared" si="1"/>
        <v>OK</v>
      </c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35" t="str">
        <f>IFERROR(__xludf.DUMMYFUNCTION("""COMPUTED_VALUE"""),"https://techcombank.com/thong-tin/blog/the-ghi-no-co-rut-tien-duoc-khong")</f>
        <v>https://techcombank.com/thong-tin/blog/the-ghi-no-co-rut-tien-duoc-khong</v>
      </c>
      <c r="B370" s="25">
        <f>IFERROR(__xludf.DUMMYFUNCTION("""COMPUTED_VALUE"""),3.0)</f>
        <v>3</v>
      </c>
      <c r="C370" s="5" t="str">
        <f>IFERROR(__xludf.DUMMYFUNCTION("IF(A370="""","""",TEXTJOIN(CHAR(10),TRUE,FILTER('Chi tiết từng link'!$B$2:$B$2505,'Chi tiết từng link'!$D$2:$D$2505=A370)))"),"https://techcombank.com/thong-tin/blog/rut-tien-bang-ma-qr-la-gi-cach-thuc-hien-nhu-the-nao
https://techcombank.com/thong-tin/blog/eco-card
https://techcombank.com/thong-tin/blog/rut-tien-mat-tu-the-tin-dung")</f>
        <v>https://techcombank.com/thong-tin/blog/rut-tien-bang-ma-qr-la-gi-cach-thuc-hien-nhu-the-nao
https://techcombank.com/thong-tin/blog/eco-card
https://techcombank.com/thong-tin/blog/rut-tien-mat-tu-the-tin-dung</v>
      </c>
      <c r="D370" s="5" t="str">
        <f t="shared" si="1"/>
        <v>OK</v>
      </c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35" t="str">
        <f>IFERROR(__xludf.DUMMYFUNCTION("""COMPUTED_VALUE"""),"https://techcombank.com/thong-tin/blog/the-visa-co-rut-tien-duoc-khong")</f>
        <v>https://techcombank.com/thong-tin/blog/the-visa-co-rut-tien-duoc-khong</v>
      </c>
      <c r="B371" s="25">
        <f>IFERROR(__xludf.DUMMYFUNCTION("""COMPUTED_VALUE"""),3.0)</f>
        <v>3</v>
      </c>
      <c r="C371" s="5" t="str">
        <f>IFERROR(__xludf.DUMMYFUNCTION("IF(A371="""","""",TEXTJOIN(CHAR(10),TRUE,FILTER('Chi tiết từng link'!$B$2:$B$2505,'Chi tiết từng link'!$D$2:$D$2505=A371)))"),"https://techcombank.com/thong-tin/blog/nap-tien-vao-tai-khoan-ngan-hang
https://techcombank.com/thong-tin/blog/rut-tien-bang-ma-qr-la-gi-cach-thuc-hien-nhu-the-nao
https://techcombank.com/thong-tin/blog/rut-tien-mat-tu-the-tin-dung")</f>
        <v>https://techcombank.com/thong-tin/blog/nap-tien-vao-tai-khoan-ngan-hang
https://techcombank.com/thong-tin/blog/rut-tien-bang-ma-qr-la-gi-cach-thuc-hien-nhu-the-nao
https://techcombank.com/thong-tin/blog/rut-tien-mat-tu-the-tin-dung</v>
      </c>
      <c r="D371" s="5" t="str">
        <f t="shared" si="1"/>
        <v>OK</v>
      </c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35" t="str">
        <f>IFERROR(__xludf.DUMMYFUNCTION("""COMPUTED_VALUE"""),"https://techcombank.com/thong-tin/blog/thi-truong-trai-phieu-am-tro-lai-nha-dau-tu-san-sang-cho-nhung-co-hoi-sinh-loi-moi")</f>
        <v>https://techcombank.com/thong-tin/blog/thi-truong-trai-phieu-am-tro-lai-nha-dau-tu-san-sang-cho-nhung-co-hoi-sinh-loi-moi</v>
      </c>
      <c r="B372" s="25">
        <f>IFERROR(__xludf.DUMMYFUNCTION("""COMPUTED_VALUE"""),3.0)</f>
        <v>3</v>
      </c>
      <c r="C372" s="5" t="str">
        <f>IFERROR(__xludf.DUMMYFUNCTION("IF(A372="""","""",TEXTJOIN(CHAR(10),TRUE,FILTER('Chi tiết từng link'!$B$2:$B$2505,'Chi tiết từng link'!$D$2:$D$2505=A372)))"),"https://techcombank.com/thong-tin/blog/thue-thu-nhap-doanh-nghiep
https://techcombank.com/thong-tin/blog/cach-tinh-thue-thu-nhap-doanh-nghiep
https://techcombank.com/thong-tin/blog/phuong-phap-dau-tu-chung-chi-quy")</f>
        <v>https://techcombank.com/thong-tin/blog/thue-thu-nhap-doanh-nghiep
https://techcombank.com/thong-tin/blog/cach-tinh-thue-thu-nhap-doanh-nghiep
https://techcombank.com/thong-tin/blog/phuong-phap-dau-tu-chung-chi-quy</v>
      </c>
      <c r="D372" s="5" t="str">
        <f t="shared" si="1"/>
        <v>OK</v>
      </c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35" t="str">
        <f>IFERROR(__xludf.DUMMYFUNCTION("""COMPUTED_VALUE"""),"https://techcombank.com/thong-tin/blog/thue-ho-kinh-doanh-2025")</f>
        <v>https://techcombank.com/thong-tin/blog/thue-ho-kinh-doanh-2025</v>
      </c>
      <c r="B373" s="25">
        <f>IFERROR(__xludf.DUMMYFUNCTION("""COMPUTED_VALUE"""),3.0)</f>
        <v>3</v>
      </c>
      <c r="C373" s="5" t="str">
        <f>IFERROR(__xludf.DUMMYFUNCTION("IF(A373="""","""",TEXTJOIN(CHAR(10),TRUE,FILTER('Chi tiết từng link'!$B$2:$B$2505,'Chi tiết từng link'!$D$2:$D$2505=A373)))"),"https://techcombank.com/thong-tin/blog/ho-kinh-doanh-dong-thue-nhu-nao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3" s="5" t="str">
        <f t="shared" si="1"/>
        <v>OK</v>
      </c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35" t="str">
        <f>IFERROR(__xludf.DUMMYFUNCTION("""COMPUTED_VALUE"""),"https://techcombank.com/thong-tin/blog/thue-khoan-ho-kinh-doanh-la-gi")</f>
        <v>https://techcombank.com/thong-tin/blog/thue-khoan-ho-kinh-doanh-la-gi</v>
      </c>
      <c r="B374" s="25">
        <f>IFERROR(__xludf.DUMMYFUNCTION("""COMPUTED_VALUE"""),3.0)</f>
        <v>3</v>
      </c>
      <c r="C374" s="5" t="str">
        <f>IFERROR(__xludf.DUMMYFUNCTION("IF(A374="""","""",TEXTJOIN(CHAR(10),TRUE,FILTER('Chi tiết từng link'!$B$2:$B$2505,'Chi tiết từng link'!$D$2:$D$2505=A374)))"),"https://techcombank.com/thong-tin/blog/ho-kinh-doanh-dong-thue-nhu-nao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4" s="5" t="str">
        <f t="shared" si="1"/>
        <v>OK</v>
      </c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35" t="str">
        <f>IFERROR(__xludf.DUMMYFUNCTION("""COMPUTED_VALUE"""),"https://techcombank.com/thong-tin/blog/tich-luy-tai-san")</f>
        <v>https://techcombank.com/thong-tin/blog/tich-luy-tai-san</v>
      </c>
      <c r="B375" s="25">
        <f>IFERROR(__xludf.DUMMYFUNCTION("""COMPUTED_VALUE"""),3.0)</f>
        <v>3</v>
      </c>
      <c r="C375" s="5" t="str">
        <f>IFERROR(__xludf.DUMMYFUNCTION("IF(A375="""","""",TEXTJOIN(CHAR(10),TRUE,FILTER('Chi tiết từng link'!$B$2:$B$2505,'Chi tiết từng link'!$D$2:$D$2505=A375)))"),"https://techcombank.com/thong-tin/blog/eco-card
https://techcombank.com/cong-cu-tien-ich/cong-cu-tinh-toan/bang-tinh-lai-suat-tiet-kiem
https://techcombank.com/thong-tin/blog/phuong-phap-dau-tu-chung-chi-quy")</f>
        <v>https://techcombank.com/thong-tin/blog/eco-card
https://techcombank.com/cong-cu-tien-ich/cong-cu-tinh-toan/bang-tinh-lai-suat-tiet-kiem
https://techcombank.com/thong-tin/blog/phuong-phap-dau-tu-chung-chi-quy</v>
      </c>
      <c r="D375" s="5" t="str">
        <f t="shared" si="1"/>
        <v>OK</v>
      </c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35" t="str">
        <f>IFERROR(__xludf.DUMMYFUNCTION("""COMPUTED_VALUE"""),"https://techcombank.com/thong-tin/blog/tiem-nang-chuyen-doi-tu-ho-kinh-doanh-len-doanh-nghiep-sme")</f>
        <v>https://techcombank.com/thong-tin/blog/tiem-nang-chuyen-doi-tu-ho-kinh-doanh-len-doanh-nghiep-sme</v>
      </c>
      <c r="B376" s="25">
        <f>IFERROR(__xludf.DUMMYFUNCTION("""COMPUTED_VALUE"""),3.0)</f>
        <v>3</v>
      </c>
      <c r="C376" s="5" t="str">
        <f>IFERROR(__xludf.DUMMYFUNCTION("IF(A376="""","""",TEXTJOIN(CHAR(10),TRUE,FILTER('Chi tiết từng link'!$B$2:$B$2505,'Chi tiết từng link'!$D$2:$D$2505=A376)))"),"https://techcombank.com/thong-tin/blog/ho-kinh-doanh-dong-thue-nhu-nao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76" s="5" t="str">
        <f t="shared" si="1"/>
        <v>OK</v>
      </c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35" t="str">
        <f>IFERROR(__xludf.DUMMYFUNCTION("""COMPUTED_VALUE"""),"https://techcombank.com/thong-tin/blog/tien-gui-khong-ky-han")</f>
        <v>https://techcombank.com/thong-tin/blog/tien-gui-khong-ky-han</v>
      </c>
      <c r="B377" s="25">
        <f>IFERROR(__xludf.DUMMYFUNCTION("""COMPUTED_VALUE"""),3.0)</f>
        <v>3</v>
      </c>
      <c r="C377" s="5" t="str">
        <f>IFERROR(__xludf.DUMMYFUNCTION("IF(A377="""","""",TEXTJOIN(CHAR(10),TRUE,FILTER('Chi tiết từng link'!$B$2:$B$2505,'Chi tiết từng link'!$D$2:$D$2505=A377)))"),"https://techcombank.com/thong-tin/blog/lai-suat-tiet-kiem
https://techcombank.com/thong-tin/blog/cach-tinh-lai-suat-tien-gui-tiet-kiem
https://techcombank.com/cong-cu-tien-ich/cong-cu-tinh-toan/bang-tinh-lai-suat-tiet-kiem")</f>
        <v>https://techcombank.com/thong-tin/blog/lai-suat-tiet-kiem
https://techcombank.com/thong-tin/blog/cach-tinh-lai-suat-tien-gui-tiet-kiem
https://techcombank.com/cong-cu-tien-ich/cong-cu-tinh-toan/bang-tinh-lai-suat-tiet-kiem</v>
      </c>
      <c r="D377" s="5" t="str">
        <f t="shared" si="1"/>
        <v>OK</v>
      </c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35" t="str">
        <f>IFERROR(__xludf.DUMMYFUNCTION("""COMPUTED_VALUE"""),"https://techcombank.com/thong-tin/blog/tien-nhan-roi-nen-lam-gi")</f>
        <v>https://techcombank.com/thong-tin/blog/tien-nhan-roi-nen-lam-gi</v>
      </c>
      <c r="B378" s="25">
        <f>IFERROR(__xludf.DUMMYFUNCTION("""COMPUTED_VALUE"""),3.0)</f>
        <v>3</v>
      </c>
      <c r="C378" s="5" t="str">
        <f>IFERROR(__xludf.DUMMYFUNCTION("IF(A378="""","""",TEXTJOIN(CHAR(10),TRUE,FILTER('Chi tiết từng link'!$B$2:$B$2505,'Chi tiết từng link'!$D$2:$D$2505=A378)))"),"https://techcombank.com/thong-tin/blog/chung-chi-tien-gui-la-gi
https://techcombank.com/cong-cu-tien-ich/cong-cu-tinh-toan/bang-tinh-lai-suat-tiet-kiem
https://techcombank.com/thong-tin/blog/phuong-phap-dau-tu-chung-chi-quy")</f>
        <v>https://techcombank.com/thong-tin/blog/chung-chi-tien-gui-la-gi
https://techcombank.com/cong-cu-tien-ich/cong-cu-tinh-toan/bang-tinh-lai-suat-tiet-kiem
https://techcombank.com/thong-tin/blog/phuong-phap-dau-tu-chung-chi-quy</v>
      </c>
      <c r="D378" s="5" t="str">
        <f t="shared" si="1"/>
        <v>OK</v>
      </c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35" t="str">
        <f>IFERROR(__xludf.DUMMYFUNCTION("""COMPUTED_VALUE"""),"https://techcombank.com/thong-tin/blog/tien-singapore")</f>
        <v>https://techcombank.com/thong-tin/blog/tien-singapore</v>
      </c>
      <c r="B379" s="25">
        <f>IFERROR(__xludf.DUMMYFUNCTION("""COMPUTED_VALUE"""),3.0)</f>
        <v>3</v>
      </c>
      <c r="C379" s="5" t="str">
        <f>IFERROR(__xludf.DUMMYFUNCTION("IF(A379="""","""",TEXTJOIN(CHAR(10),TRUE,FILTER('Chi tiết từng link'!$B$2:$B$2505,'Chi tiết từng link'!$D$2:$D$2505=A379)))"),"https://techcombank.com/thong-tin/blog/1-trieu-do-bang-bao-nhieu-tien-viet
https://techcombank.com/thong-tin/blog/cach-nhan-tien-tu-nuoc-ngoai-ve-viet-nam
https://techcombank.com/thong-tin/blog/doi-tien-do-o-dau")</f>
        <v>https://techcombank.com/thong-tin/blog/1-trieu-do-bang-bao-nhieu-tien-viet
https://techcombank.com/thong-tin/blog/cach-nhan-tien-tu-nuoc-ngoai-ve-viet-nam
https://techcombank.com/thong-tin/blog/doi-tien-do-o-dau</v>
      </c>
      <c r="D379" s="5" t="str">
        <f t="shared" si="1"/>
        <v>OK</v>
      </c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35" t="str">
        <f>IFERROR(__xludf.DUMMYFUNCTION("""COMPUTED_VALUE"""),"https://techcombank.com/thong-tin/blog/tien-trung-quoc")</f>
        <v>https://techcombank.com/thong-tin/blog/tien-trung-quoc</v>
      </c>
      <c r="B380" s="25">
        <f>IFERROR(__xludf.DUMMYFUNCTION("""COMPUTED_VALUE"""),3.0)</f>
        <v>3</v>
      </c>
      <c r="C380" s="5" t="str">
        <f>IFERROR(__xludf.DUMMYFUNCTION("IF(A380="""","""",TEXTJOIN(CHAR(10),TRUE,FILTER('Chi tiết từng link'!$B$2:$B$2505,'Chi tiết từng link'!$D$2:$D$2505=A380)))"),"https://techcombank.com/thong-tin/blog/chuyen-khoan-thanh-cong-nhung-khong-nhan-duoc-tien
https://techcombank.com/thong-tin/blog/1-te-bang-bao-nhieu-tien-viet-nam
https://techcombank.com/thong-tin/blog/doi-tien-do-o-dau")</f>
        <v>https://techcombank.com/thong-tin/blog/chuyen-khoan-thanh-cong-nhung-khong-nhan-duoc-tien
https://techcombank.com/thong-tin/blog/1-te-bang-bao-nhieu-tien-viet-nam
https://techcombank.com/thong-tin/blog/doi-tien-do-o-dau</v>
      </c>
      <c r="D380" s="5" t="str">
        <f t="shared" si="1"/>
        <v>OK</v>
      </c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35" t="str">
        <f>IFERROR(__xludf.DUMMYFUNCTION("""COMPUTED_VALUE"""),"https://techcombank.com/thong-tin/blog/tinh-thanh-khoan-la-gi")</f>
        <v>https://techcombank.com/thong-tin/blog/tinh-thanh-khoan-la-gi</v>
      </c>
      <c r="B381" s="25">
        <f>IFERROR(__xludf.DUMMYFUNCTION("""COMPUTED_VALUE"""),3.0)</f>
        <v>3</v>
      </c>
      <c r="C381" s="5" t="str">
        <f>IFERROR(__xludf.DUMMYFUNCTION("IF(A381="""","""",TEXTJOIN(CHAR(10),TRUE,FILTER('Chi tiết từng link'!$B$2:$B$2505,'Chi tiết từng link'!$D$2:$D$2505=A381)))"),"https://techcombank.com/thong-tin/blog/cach-tiet-kiem-tien
https://techcombank.com/thong-tin/blog/rui-ro-khi-gui-tiet-kiem-online
https://techcombank.com/thong-tin/blog/phuong-phap-dau-tu-chung-chi-quy")</f>
        <v>https://techcombank.com/thong-tin/blog/cach-tiet-kiem-tien
https://techcombank.com/thong-tin/blog/rui-ro-khi-gui-tiet-kiem-online
https://techcombank.com/thong-tin/blog/phuong-phap-dau-tu-chung-chi-quy</v>
      </c>
      <c r="D381" s="5" t="str">
        <f t="shared" si="1"/>
        <v>OK</v>
      </c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35" t="str">
        <f>IFERROR(__xludf.DUMMYFUNCTION("""COMPUTED_VALUE"""),"https://techcombank.com/thong-tin/blog/toi-uu-hoa-chi-phi-trong-doanh-nghiep")</f>
        <v>https://techcombank.com/thong-tin/blog/toi-uu-hoa-chi-phi-trong-doanh-nghiep</v>
      </c>
      <c r="B382" s="25">
        <f>IFERROR(__xludf.DUMMYFUNCTION("""COMPUTED_VALUE"""),3.0)</f>
        <v>3</v>
      </c>
      <c r="C382" s="5" t="str">
        <f>IFERROR(__xludf.DUMMYFUNCTION("IF(A382="""","""",TEXTJOIN(CHAR(10),TRUE,FILTER('Chi tiết từng link'!$B$2:$B$2505,'Chi tiết từng link'!$D$2:$D$2505=A382)))"),"https://techcombank.com/thong-tin/blog/thue-thu-nhap-doanh-nghiep
https://techcombank.com/thong-tin/blog/cach-tinh-thue-thu-nhap-doanh-nghiep
https://techcombank.com/thong-tin/blog/eco-card")</f>
        <v>https://techcombank.com/thong-tin/blog/thue-thu-nhap-doanh-nghiep
https://techcombank.com/thong-tin/blog/cach-tinh-thue-thu-nhap-doanh-nghiep
https://techcombank.com/thong-tin/blog/eco-card</v>
      </c>
      <c r="D382" s="5" t="str">
        <f t="shared" si="1"/>
        <v>OK</v>
      </c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35" t="str">
        <f>IFERROR(__xludf.DUMMYFUNCTION("""COMPUTED_VALUE"""),"https://techcombank.com/thong-tin/blog/top-phan-mem-ban-hang")</f>
        <v>https://techcombank.com/thong-tin/blog/top-phan-mem-ban-hang</v>
      </c>
      <c r="B383" s="25">
        <f>IFERROR(__xludf.DUMMYFUNCTION("""COMPUTED_VALUE"""),3.0)</f>
        <v>3</v>
      </c>
      <c r="C383" s="5" t="str">
        <f>IFERROR(__xludf.DUMMYFUNCTION("IF(A383="""","""",TEXTJOIN(CHAR(10),TRUE,FILTER('Chi tiết từng link'!$B$2:$B$2505,'Chi tiết từng link'!$D$2:$D$2505=A383)))"),"https://techcombank.com/thong-tin/blog/ho-kinh-doanh-dong-thue-nhu-nao
https://techcombank.com/thong-tin/blog/mo-tai-khoan-ho-kinh-doanh
https://techcombank.com/thong-tin/blog/cach-tinh-thue-ho-kinh-doanh-nho-le")</f>
        <v>https://techcombank.com/thong-tin/blog/ho-kinh-doanh-dong-thue-nhu-nao
https://techcombank.com/thong-tin/blog/mo-tai-khoan-ho-kinh-doanh
https://techcombank.com/thong-tin/blog/cach-tinh-thue-ho-kinh-doanh-nho-le</v>
      </c>
      <c r="D383" s="5" t="str">
        <f t="shared" si="1"/>
        <v>OK</v>
      </c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35" t="str">
        <f>IFERROR(__xludf.DUMMYFUNCTION("""COMPUTED_VALUE"""),"https://techcombank.com/thong-tin/blog/tra-gop-hoc-phi")</f>
        <v>https://techcombank.com/thong-tin/blog/tra-gop-hoc-phi</v>
      </c>
      <c r="B384" s="25">
        <f>IFERROR(__xludf.DUMMYFUNCTION("""COMPUTED_VALUE"""),3.0)</f>
        <v>3</v>
      </c>
      <c r="C384" s="5" t="str">
        <f>IFERROR(__xludf.DUMMYFUNCTION("IF(A384="""","""",TEXTJOIN(CHAR(10),TRUE,FILTER('Chi tiết từng link'!$B$2:$B$2505,'Chi tiết từng link'!$D$2:$D$2505=A384)))"),"https://techcombank.com/thong-tin/blog/vay-ngan-hang-1-ty-moi-thang-tra-bao-nhieu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4" s="5" t="str">
        <f t="shared" si="1"/>
        <v>OK</v>
      </c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35" t="str">
        <f>IFERROR(__xludf.DUMMYFUNCTION("""COMPUTED_VALUE"""),"https://techcombank.com/thong-tin/blog/ty-gia-la-gi")</f>
        <v>https://techcombank.com/thong-tin/blog/ty-gia-la-gi</v>
      </c>
      <c r="B385" s="25">
        <f>IFERROR(__xludf.DUMMYFUNCTION("""COMPUTED_VALUE"""),3.0)</f>
        <v>3</v>
      </c>
      <c r="C385" s="5" t="str">
        <f>IFERROR(__xludf.DUMMYFUNCTION("IF(A385="""","""",TEXTJOIN(CHAR(10),TRUE,FILTER('Chi tiết từng link'!$B$2:$B$2505,'Chi tiết từng link'!$D$2:$D$2505=A385)))"),"https://techcombank.com/thong-tin/blog/ngan-hang-uy-tin
https://techcombank.com/thong-tin/blog/1-te-bang-bao-nhieu-tien-viet-nam
https://techcombank.com/thong-tin/blog/doi-tien-do-o-dau")</f>
        <v>https://techcombank.com/thong-tin/blog/ngan-hang-uy-tin
https://techcombank.com/thong-tin/blog/1-te-bang-bao-nhieu-tien-viet-nam
https://techcombank.com/thong-tin/blog/doi-tien-do-o-dau</v>
      </c>
      <c r="D385" s="5" t="str">
        <f t="shared" si="1"/>
        <v>OK</v>
      </c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35" t="str">
        <f>IFERROR(__xludf.DUMMYFUNCTION("""COMPUTED_VALUE"""),"https://techcombank.com/thong-tin/blog/vay-15-trieu")</f>
        <v>https://techcombank.com/thong-tin/blog/vay-15-trieu</v>
      </c>
      <c r="B386" s="25">
        <f>IFERROR(__xludf.DUMMYFUNCTION("""COMPUTED_VALUE"""),3.0)</f>
        <v>3</v>
      </c>
      <c r="C386" s="5" t="str">
        <f>IFERROR(__xludf.DUMMYFUNCTION("IF(A386="""","""",TEXTJOIN(CHAR(10),TRUE,FILTER('Chi tiết từng link'!$B$2:$B$2505,'Chi tiết từng link'!$D$2:$D$2505=A386)))"),"https://techcombank.com/thong-tin/blog/vay-ngan-hang-1-ty-moi-thang-tra-bao-nhieu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6" s="5" t="str">
        <f t="shared" si="1"/>
        <v>OK</v>
      </c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35" t="str">
        <f>IFERROR(__xludf.DUMMYFUNCTION("""COMPUTED_VALUE"""),"https://techcombank.com/thong-tin/blog/vay-300-trieu")</f>
        <v>https://techcombank.com/thong-tin/blog/vay-300-trieu</v>
      </c>
      <c r="B387" s="25">
        <f>IFERROR(__xludf.DUMMYFUNCTION("""COMPUTED_VALUE"""),3.0)</f>
        <v>3</v>
      </c>
      <c r="C387" s="5" t="str">
        <f>IFERROR(__xludf.DUMMYFUNCTION("IF(A387="""","""",TEXTJOIN(CHAR(10),TRUE,FILTER('Chi tiết từng link'!$B$2:$B$2505,'Chi tiết từng link'!$D$2:$D$2505=A387)))"),"https://techcombank.com/thong-tin/blog/vay-ngan-hang-1-ty-moi-thang-tra-bao-nhieu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7" s="5" t="str">
        <f t="shared" si="1"/>
        <v>OK</v>
      </c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35" t="str">
        <f>IFERROR(__xludf.DUMMYFUNCTION("""COMPUTED_VALUE"""),"https://techcombank.com/thong-tin/blog/vay-40-trieu")</f>
        <v>https://techcombank.com/thong-tin/blog/vay-40-trieu</v>
      </c>
      <c r="B388" s="25">
        <f>IFERROR(__xludf.DUMMYFUNCTION("""COMPUTED_VALUE"""),3.0)</f>
        <v>3</v>
      </c>
      <c r="C388" s="5" t="str">
        <f>IFERROR(__xludf.DUMMYFUNCTION("IF(A388="""","""",TEXTJOIN(CHAR(10),TRUE,FILTER('Chi tiết từng link'!$B$2:$B$2505,'Chi tiết từng link'!$D$2:$D$2505=A388)))"),"https://techcombank.com/thong-tin/blog/vay-ngan-hang-1-ty-moi-thang-tra-bao-nhieu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88" s="5" t="str">
        <f t="shared" si="1"/>
        <v>OK</v>
      </c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35" t="str">
        <f>IFERROR(__xludf.DUMMYFUNCTION("""COMPUTED_VALUE"""),"https://techcombank.com/thong-tin/blog/vay-du-hoc")</f>
        <v>https://techcombank.com/thong-tin/blog/vay-du-hoc</v>
      </c>
      <c r="B389" s="25">
        <f>IFERROR(__xludf.DUMMYFUNCTION("""COMPUTED_VALUE"""),3.0)</f>
        <v>3</v>
      </c>
      <c r="C389" s="5" t="str">
        <f>IFERROR(__xludf.DUMMYFUNCTION("IF(A389="""","""",TEXTJOIN(CHAR(10),TRUE,FILTER('Chi tiết từng link'!$B$2:$B$2505,'Chi tiết từng link'!$D$2:$D$2505=A389)))"),"https://techcombank.com/thong-tin/blog/cach-nhan-tien-tu-nuoc-ngoai-ve-viet-nam
https://techcombank.com/thong-tin/blog/app-vay-tien-nhanh
https://techcombank.com/thong-tin/blog/nen-vay-tin-chap-o-dau")</f>
        <v>https://techcombank.com/thong-tin/blog/cach-nhan-tien-tu-nuoc-ngoai-ve-viet-nam
https://techcombank.com/thong-tin/blog/app-vay-tien-nhanh
https://techcombank.com/thong-tin/blog/nen-vay-tin-chap-o-dau</v>
      </c>
      <c r="D389" s="5" t="str">
        <f t="shared" si="1"/>
        <v>OK</v>
      </c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35" t="str">
        <f>IFERROR(__xludf.DUMMYFUNCTION("""COMPUTED_VALUE"""),"https://techcombank.com/thong-tin/blog/vay-mua-dien-thoai")</f>
        <v>https://techcombank.com/thong-tin/blog/vay-mua-dien-thoai</v>
      </c>
      <c r="B390" s="25">
        <f>IFERROR(__xludf.DUMMYFUNCTION("""COMPUTED_VALUE"""),3.0)</f>
        <v>3</v>
      </c>
      <c r="C390" s="5" t="str">
        <f>IFERROR(__xludf.DUMMYFUNCTION("IF(A390="""","""",TEXTJOIN(CHAR(10),TRUE,FILTER('Chi tiết từng link'!$B$2:$B$2505,'Chi tiết từng link'!$D$2:$D$2505=A390)))"),"https://techcombank.com/thong-tin/blog/vay-ngan-hang-1-ty-moi-thang-tra-bao-nhieu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0" s="5" t="str">
        <f t="shared" si="1"/>
        <v>OK</v>
      </c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35" t="str">
        <f>IFERROR(__xludf.DUMMYFUNCTION("""COMPUTED_VALUE"""),"https://techcombank.com/thong-tin/blog/vay-mua-nha-o-xa-hoi")</f>
        <v>https://techcombank.com/thong-tin/blog/vay-mua-nha-o-xa-hoi</v>
      </c>
      <c r="B391" s="25">
        <f>IFERROR(__xludf.DUMMYFUNCTION("""COMPUTED_VALUE"""),3.0)</f>
        <v>3</v>
      </c>
      <c r="C391" s="5" t="str">
        <f>IFERROR(__xludf.DUMMYFUNCTION("IF(A391="""","""",TEXTJOIN(CHAR(10),TRUE,FILTER('Chi tiết từng link'!$B$2:$B$2505,'Chi tiết từng link'!$D$2:$D$2505=A391)))"),"https://techcombank.com/thong-tin/blog/vay-ngan-hang-1-ty-moi-thang-tra-bao-nhieu
https://techcombank.com/thong-tin/blog/cach-tinh-lai-vay-ngan-hang
https://techcombank.com/cong-cu-tien-ich/cong-cu-tinh-toan/bang-tinh-lai-suat-vay")</f>
        <v>https://techcombank.com/thong-tin/blog/vay-ngan-hang-1-ty-moi-thang-tra-bao-nhieu
https://techcombank.com/thong-tin/blog/cach-tinh-lai-vay-ngan-hang
https://techcombank.com/cong-cu-tien-ich/cong-cu-tinh-toan/bang-tinh-lai-suat-vay</v>
      </c>
      <c r="D391" s="5" t="str">
        <f t="shared" si="1"/>
        <v>OK</v>
      </c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35" t="str">
        <f>IFERROR(__xludf.DUMMYFUNCTION("""COMPUTED_VALUE"""),"https://techcombank.com/thong-tin/blog/vay-the-chap-la-gi")</f>
        <v>https://techcombank.com/thong-tin/blog/vay-the-chap-la-gi</v>
      </c>
      <c r="B392" s="25">
        <f>IFERROR(__xludf.DUMMYFUNCTION("""COMPUTED_VALUE"""),3.0)</f>
        <v>3</v>
      </c>
      <c r="C392" s="5" t="str">
        <f>IFERROR(__xludf.DUMMYFUNCTION("IF(A392="""","""",TEXTJOIN(CHAR(10),TRUE,FILTER('Chi tiết từng link'!$B$2:$B$2505,'Chi tiết từng link'!$D$2:$D$2505=A392)))"),"https://techcombank.com/thong-tin/blog/vay-ngan-hang-1-ty-moi-thang-tra-bao-nhieu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2" s="5" t="str">
        <f t="shared" si="1"/>
        <v>OK</v>
      </c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35" t="str">
        <f>IFERROR(__xludf.DUMMYFUNCTION("""COMPUTED_VALUE"""),"https://techcombank.com/thong-tin/blog/vay-the-chap-so-hong")</f>
        <v>https://techcombank.com/thong-tin/blog/vay-the-chap-so-hong</v>
      </c>
      <c r="B393" s="25">
        <f>IFERROR(__xludf.DUMMYFUNCTION("""COMPUTED_VALUE"""),3.0)</f>
        <v>3</v>
      </c>
      <c r="C393" s="5" t="str">
        <f>IFERROR(__xludf.DUMMYFUNCTION("IF(A393="""","""",TEXTJOIN(CHAR(10),TRUE,FILTER('Chi tiết từng link'!$B$2:$B$2505,'Chi tiết từng link'!$D$2:$D$2505=A393)))"),"https://techcombank.com/thong-tin/blog/vay-ngan-hang-1-ty-moi-thang-tra-bao-nhieu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3" s="5" t="str">
        <f t="shared" si="1"/>
        <v>OK</v>
      </c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35" t="str">
        <f>IFERROR(__xludf.DUMMYFUNCTION("""COMPUTED_VALUE"""),"https://techcombank.com/thong-tin/blog/vay-the-chap-toi-da-duoc-bao-nhieu")</f>
        <v>https://techcombank.com/thong-tin/blog/vay-the-chap-toi-da-duoc-bao-nhieu</v>
      </c>
      <c r="B394" s="25">
        <f>IFERROR(__xludf.DUMMYFUNCTION("""COMPUTED_VALUE"""),3.0)</f>
        <v>3</v>
      </c>
      <c r="C394" s="5" t="str">
        <f>IFERROR(__xludf.DUMMYFUNCTION("IF(A394="""","""",TEXTJOIN(CHAR(10),TRUE,FILTER('Chi tiết từng link'!$B$2:$B$2505,'Chi tiết từng link'!$D$2:$D$2505=A394)))"),"https://techcombank.com/thong-tin/blog/vay-ngan-hang-1-ty-moi-thang-tra-bao-nhieu
https://techcombank.com/thong-tin/blog/lai-suat-vay-the-chap-so-do
https://techcombank.com/thong-tin/blog/ho-so-thu-tuc-xoa-the-chap")</f>
        <v>https://techcombank.com/thong-tin/blog/vay-ngan-hang-1-ty-moi-thang-tra-bao-nhieu
https://techcombank.com/thong-tin/blog/lai-suat-vay-the-chap-so-do
https://techcombank.com/thong-tin/blog/ho-so-thu-tuc-xoa-the-chap</v>
      </c>
      <c r="D394" s="5" t="str">
        <f t="shared" si="1"/>
        <v>OK</v>
      </c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35" t="str">
        <f>IFERROR(__xludf.DUMMYFUNCTION("""COMPUTED_VALUE"""),"https://techcombank.com/thong-tin/blog/vay-tien-mat")</f>
        <v>https://techcombank.com/thong-tin/blog/vay-tien-mat</v>
      </c>
      <c r="B395" s="25">
        <f>IFERROR(__xludf.DUMMYFUNCTION("""COMPUTED_VALUE"""),3.0)</f>
        <v>3</v>
      </c>
      <c r="C395" s="5" t="str">
        <f>IFERROR(__xludf.DUMMYFUNCTION("IF(A395="""","""",TEXTJOIN(CHAR(10),TRUE,FILTER('Chi tiết từng link'!$B$2:$B$2505,'Chi tiết từng link'!$D$2:$D$2505=A395)))"),"https://techcombank.com/thong-tin/blog/rut-tien-mat-tu-the-tin-dung
https://techcombank.com/thong-tin/blog/app-vay-tien-nhanh
https://techcombank.com/thong-tin/blog/nen-vay-tin-chap-o-dau")</f>
        <v>https://techcombank.com/thong-tin/blog/rut-tien-mat-tu-the-tin-dung
https://techcombank.com/thong-tin/blog/app-vay-tien-nhanh
https://techcombank.com/thong-tin/blog/nen-vay-tin-chap-o-dau</v>
      </c>
      <c r="D395" s="5" t="str">
        <f t="shared" si="1"/>
        <v>OK</v>
      </c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35" t="str">
        <f>IFERROR(__xludf.DUMMYFUNCTION("""COMPUTED_VALUE"""),"https://techcombank.com/thong-tin/blog/vay-tien-online")</f>
        <v>https://techcombank.com/thong-tin/blog/vay-tien-online</v>
      </c>
      <c r="B396" s="25">
        <f>IFERROR(__xludf.DUMMYFUNCTION("""COMPUTED_VALUE"""),3.0)</f>
        <v>3</v>
      </c>
      <c r="C396" s="5" t="str">
        <f>IFERROR(__xludf.DUMMYFUNCTION("IF(A396="""","""",TEXTJOIN(CHAR(10),TRUE,FILTER('Chi tiết từng link'!$B$2:$B$2505,'Chi tiết từng link'!$D$2:$D$2505=A396)))"),"https://techcombank.com/thong-tin/blog/cach-sao-ke-tai-khoan-ngan-hang
https://techcombank.com/thong-tin/blog/app-vay-tien-nhanh
https://techcombank.com/thong-tin/blog/nen-vay-tin-chap-o-dau")</f>
        <v>https://techcombank.com/thong-tin/blog/cach-sao-ke-tai-khoan-ngan-hang
https://techcombank.com/thong-tin/blog/app-vay-tien-nhanh
https://techcombank.com/thong-tin/blog/nen-vay-tin-chap-o-dau</v>
      </c>
      <c r="D396" s="5" t="str">
        <f t="shared" si="1"/>
        <v>OK</v>
      </c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35" t="str">
        <f>IFERROR(__xludf.DUMMYFUNCTION("""COMPUTED_VALUE"""),"https://techcombank.com/thong-tin/blog/vay-tin-chap-toi-da-duoc-bao-nhieu")</f>
        <v>https://techcombank.com/thong-tin/blog/vay-tin-chap-toi-da-duoc-bao-nhieu</v>
      </c>
      <c r="B397" s="25">
        <f>IFERROR(__xludf.DUMMYFUNCTION("""COMPUTED_VALUE"""),3.0)</f>
        <v>3</v>
      </c>
      <c r="C397" s="5" t="str">
        <f>IFERROR(__xludf.DUMMYFUNCTION("IF(A397="""","""",TEXTJOIN(CHAR(10),TRUE,FILTER('Chi tiết từng link'!$B$2:$B$2505,'Chi tiết từng link'!$D$2:$D$2505=A397)))"),"https://techcombank.com/thong-tin/blog/app-vay-tien-nhanh
https://techcombank.com/thong-tin/blog/nen-vay-tin-chap-o-dau
https://techcombank.com/thong-tin/blog/vay-tin-chap-khong-tra-duoc-co-sao-khong")</f>
        <v>https://techcombank.com/thong-tin/blog/app-vay-tien-nhanh
https://techcombank.com/thong-tin/blog/nen-vay-tin-chap-o-dau
https://techcombank.com/thong-tin/blog/vay-tin-chap-khong-tra-duoc-co-sao-khong</v>
      </c>
      <c r="D397" s="5" t="str">
        <f t="shared" si="1"/>
        <v>OK</v>
      </c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35" t="str">
        <f>IFERROR(__xludf.DUMMYFUNCTION("""COMPUTED_VALUE"""),"https://techcombank.com/thong-tin/blog/vip-ngan-hang")</f>
        <v>https://techcombank.com/thong-tin/blog/vip-ngan-hang</v>
      </c>
      <c r="B398" s="25">
        <f>IFERROR(__xludf.DUMMYFUNCTION("""COMPUTED_VALUE"""),3.0)</f>
        <v>3</v>
      </c>
      <c r="C398" s="5" t="str">
        <f>IFERROR(__xludf.DUMMYFUNCTION("IF(A398="""","""",TEXTJOIN(CHAR(10),TRUE,FILTER('Chi tiết từng link'!$B$2:$B$2505,'Chi tiết từng link'!$D$2:$D$2505=A398)))"),"https://techcombank.com/thong-tin/blog/cach-kiem-tra-tai-khoan-ngan-hang
https://techcombank.com/thong-tin/blog/cach-mo-tai-khoan
https://techcombank.com/thong-tin/blog/ngan-hang-uy-tin")</f>
        <v>https://techcombank.com/thong-tin/blog/cach-kiem-tra-tai-khoan-ngan-hang
https://techcombank.com/thong-tin/blog/cach-mo-tai-khoan
https://techcombank.com/thong-tin/blog/ngan-hang-uy-tin</v>
      </c>
      <c r="D398" s="5" t="str">
        <f t="shared" si="1"/>
        <v>OK</v>
      </c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35" t="str">
        <f>IFERROR(__xludf.DUMMYFUNCTION("""COMPUTED_VALUE"""),"https://techcombank.com/thong-tin/blog/vnd-to-myr")</f>
        <v>https://techcombank.com/thong-tin/blog/vnd-to-myr</v>
      </c>
      <c r="B399" s="25">
        <f>IFERROR(__xludf.DUMMYFUNCTION("""COMPUTED_VALUE"""),3.0)</f>
        <v>3</v>
      </c>
      <c r="C399" s="5" t="str">
        <f>IFERROR(__xludf.DUMMYFUNCTION("IF(A399="""","""",TEXTJOIN(CHAR(10),TRUE,FILTER('Chi tiết từng link'!$B$2:$B$2505,'Chi tiết từng link'!$D$2:$D$2505=A399)))"),"https://techcombank.com/thong-tin/blog/cach-sao-ke-tai-khoan-ngan-hang
https://techcombank.com/thong-tin/blog/doi-tien-do-o-dau
https://techcombank.com/thong-tin/blog/cach-tiet-kiem-tien")</f>
        <v>https://techcombank.com/thong-tin/blog/cach-sao-ke-tai-khoan-ngan-hang
https://techcombank.com/thong-tin/blog/doi-tien-do-o-dau
https://techcombank.com/thong-tin/blog/cach-tiet-kiem-tien</v>
      </c>
      <c r="D399" s="5" t="str">
        <f t="shared" si="1"/>
        <v>OK</v>
      </c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35" t="str">
        <f>IFERROR(__xludf.DUMMYFUNCTION("""COMPUTED_VALUE"""),"https://techcombank.com/thong-tin/blog/1-do-uc-bang-bao-nhieu-tien-viet")</f>
        <v>https://techcombank.com/thong-tin/blog/1-do-uc-bang-bao-nhieu-tien-viet</v>
      </c>
      <c r="B400" s="25">
        <f>IFERROR(__xludf.DUMMYFUNCTION("""COMPUTED_VALUE"""),2.0)</f>
        <v>2</v>
      </c>
      <c r="C400" s="5" t="str">
        <f>IFERROR(__xludf.DUMMYFUNCTION("IF(A400="""","""",TEXTJOIN(CHAR(10),TRUE,FILTER('Chi tiết từng link'!$B$2:$B$2505,'Chi tiết từng link'!$D$2:$D$2505=A400)))"),"https://techcombank.com/thong-tin/blog/1-trieu-do-bang-bao-nhieu-tien-viet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0" s="5" t="str">
        <f t="shared" si="1"/>
        <v>OK</v>
      </c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35" t="str">
        <f>IFERROR(__xludf.DUMMYFUNCTION("""COMPUTED_VALUE"""),"https://techcombank.com/thong-tin/blog/1-dong-do-la-my-bang-bao-nhieu-tien-viet-nam")</f>
        <v>https://techcombank.com/thong-tin/blog/1-dong-do-la-my-bang-bao-nhieu-tien-viet-nam</v>
      </c>
      <c r="B401" s="25">
        <f>IFERROR(__xludf.DUMMYFUNCTION("""COMPUTED_VALUE"""),2.0)</f>
        <v>2</v>
      </c>
      <c r="C401" s="5" t="str">
        <f>IFERROR(__xludf.DUMMYFUNCTION("IF(A401="""","""",TEXTJOIN(CHAR(10),TRUE,FILTER('Chi tiết từng link'!$B$2:$B$2505,'Chi tiết từng link'!$D$2:$D$2505=A401)))"),"https://techcombank.com/thong-tin/blog/1-trieu-do-bang-bao-nhieu-tien-viet
https://techcombank.com/thong-tin/blog/doi-tien-do-o-dau")</f>
        <v>https://techcombank.com/thong-tin/blog/1-trieu-do-bang-bao-nhieu-tien-viet
https://techcombank.com/thong-tin/blog/doi-tien-do-o-dau</v>
      </c>
      <c r="D401" s="5" t="str">
        <f t="shared" si="1"/>
        <v>OK</v>
      </c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35" t="str">
        <f>IFERROR(__xludf.DUMMYFUNCTION("""COMPUTED_VALUE"""),"https://techcombank.com/thong-tin/blog/1-trieu-do-bang-bao-nhieu-tien-viet")</f>
        <v>https://techcombank.com/thong-tin/blog/1-trieu-do-bang-bao-nhieu-tien-viet</v>
      </c>
      <c r="B402" s="25">
        <f>IFERROR(__xludf.DUMMYFUNCTION("""COMPUTED_VALUE"""),2.0)</f>
        <v>2</v>
      </c>
      <c r="C402" s="5" t="str">
        <f>IFERROR(__xludf.DUMMYFUNCTION("IF(A402="""","""",TEXTJOIN(CHAR(10),TRUE,FILTER('Chi tiết từng link'!$B$2:$B$2505,'Chi tiết từng link'!$D$2:$D$2505=A402)))"),"https://techcombank.com/thong-tin/blog/1-dong-do-la-my-bang-bao-nhieu-tien-viet-nam
https://techcombank.com/thong-tin/blog/doi-tien-do-o-dau")</f>
        <v>https://techcombank.com/thong-tin/blog/1-dong-do-la-my-bang-bao-nhieu-tien-viet-nam
https://techcombank.com/thong-tin/blog/doi-tien-do-o-dau</v>
      </c>
      <c r="D402" s="5" t="str">
        <f t="shared" si="1"/>
        <v>OK</v>
      </c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35" t="str">
        <f>IFERROR(__xludf.DUMMYFUNCTION("""COMPUTED_VALUE"""),"https://techcombank.com/thong-tin/blog/1-van-te-bang-bao-nhieu-tien-viet")</f>
        <v>https://techcombank.com/thong-tin/blog/1-van-te-bang-bao-nhieu-tien-viet</v>
      </c>
      <c r="B403" s="25">
        <f>IFERROR(__xludf.DUMMYFUNCTION("""COMPUTED_VALUE"""),2.0)</f>
        <v>2</v>
      </c>
      <c r="C403" s="5" t="str">
        <f>IFERROR(__xludf.DUMMYFUNCTION("IF(A403="""","""",TEXTJOIN(CHAR(10),TRUE,FILTER('Chi tiết từng link'!$B$2:$B$2505,'Chi tiết từng link'!$D$2:$D$2505=A403)))"),"https://techcombank.com/thong-tin/blog/1-te-bang-bao-nhieu-tien-viet-nam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3" s="5" t="str">
        <f t="shared" si="1"/>
        <v>OK</v>
      </c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35" t="str">
        <f>IFERROR(__xludf.DUMMYFUNCTION("""COMPUTED_VALUE"""),"https://techcombank.com/thong-tin/blog/1-van-tien-dai-loan-bang-bao-nhieu-tien-viet")</f>
        <v>https://techcombank.com/thong-tin/blog/1-van-tien-dai-loan-bang-bao-nhieu-tien-viet</v>
      </c>
      <c r="B404" s="25">
        <f>IFERROR(__xludf.DUMMYFUNCTION("""COMPUTED_VALUE"""),2.0)</f>
        <v>2</v>
      </c>
      <c r="C404" s="5" t="str">
        <f>IFERROR(__xludf.DUMMYFUNCTION("IF(A404="""","""",TEXTJOIN(CHAR(10),TRUE,FILTER('Chi tiết từng link'!$B$2:$B$2505,'Chi tiết từng link'!$D$2:$D$2505=A404)))"),"https://techcombank.com/thong-tin/blog/tien-dai-loan
https://techcombank.com/thong-tin/blog/doi-tien-do-o-dau")</f>
        <v>https://techcombank.com/thong-tin/blog/tien-dai-loan
https://techcombank.com/thong-tin/blog/doi-tien-do-o-dau</v>
      </c>
      <c r="D404" s="5" t="str">
        <f t="shared" si="1"/>
        <v>OK</v>
      </c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35" t="str">
        <f>IFERROR(__xludf.DUMMYFUNCTION("""COMPUTED_VALUE"""),"https://techcombank.com/thong-tin/blog/1-won-bang-bao-nhieu-tien-viet")</f>
        <v>https://techcombank.com/thong-tin/blog/1-won-bang-bao-nhieu-tien-viet</v>
      </c>
      <c r="B405" s="25">
        <f>IFERROR(__xludf.DUMMYFUNCTION("""COMPUTED_VALUE"""),2.0)</f>
        <v>2</v>
      </c>
      <c r="C405" s="5" t="str">
        <f>IFERROR(__xludf.DUMMYFUNCTION("IF(A405="""","""",TEXTJOIN(CHAR(10),TRUE,FILTER('Chi tiết từng link'!$B$2:$B$2505,'Chi tiết từng link'!$D$2:$D$2505=A405)))"),"https://techcombank.com/thong-tin/blog/1000-won-bang-bao-nhieu-tien-viet
https://techcombank.com/thong-tin/blog/doi-tien-do-o-dau")</f>
        <v>https://techcombank.com/thong-tin/blog/1000-won-bang-bao-nhieu-tien-viet
https://techcombank.com/thong-tin/blog/doi-tien-do-o-dau</v>
      </c>
      <c r="D405" s="5" t="str">
        <f t="shared" si="1"/>
        <v>OK</v>
      </c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35" t="str">
        <f>IFERROR(__xludf.DUMMYFUNCTION("""COMPUTED_VALUE"""),"https://techcombank.com/thong-tin/blog/100-riel-bang-bao-nhieu-tien-viet-nam")</f>
        <v>https://techcombank.com/thong-tin/blog/100-riel-bang-bao-nhieu-tien-viet-nam</v>
      </c>
      <c r="B406" s="25">
        <f>IFERROR(__xludf.DUMMYFUNCTION("""COMPUTED_VALUE"""),2.0)</f>
        <v>2</v>
      </c>
      <c r="C406" s="5" t="str">
        <f>IFERROR(__xludf.DUMMYFUNCTION("IF(A406="""","""",TEXTJOIN(CHAR(10),TRUE,FILTER('Chi tiết từng link'!$B$2:$B$2505,'Chi tiết từng link'!$D$2:$D$2505=A406)))"),"https://techcombank.com/thong-tin/blog/doi-tien-do-o-dau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406" s="5" t="str">
        <f t="shared" si="1"/>
        <v>OK</v>
      </c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35" t="str">
        <f>IFERROR(__xludf.DUMMYFUNCTION("""COMPUTED_VALUE"""),"https://techcombank.com/thong-tin/blog/1000-te-bang-bao-nhieu-tien-viet")</f>
        <v>https://techcombank.com/thong-tin/blog/1000-te-bang-bao-nhieu-tien-viet</v>
      </c>
      <c r="B407" s="25">
        <f>IFERROR(__xludf.DUMMYFUNCTION("""COMPUTED_VALUE"""),2.0)</f>
        <v>2</v>
      </c>
      <c r="C407" s="5" t="str">
        <f>IFERROR(__xludf.DUMMYFUNCTION("IF(A407="""","""",TEXTJOIN(CHAR(10),TRUE,FILTER('Chi tiết từng link'!$B$2:$B$2505,'Chi tiết từng link'!$D$2:$D$2505=A407)))"),"https://techcombank.com/thong-tin/blog/1-te-bang-bao-nhieu-tien-viet-nam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07" s="5" t="str">
        <f t="shared" si="1"/>
        <v>OK</v>
      </c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35" t="str">
        <f>IFERROR(__xludf.DUMMYFUNCTION("""COMPUTED_VALUE"""),"https://techcombank.com/thong-tin/blog/66666-co-y-nghia-gi")</f>
        <v>https://techcombank.com/thong-tin/blog/66666-co-y-nghia-gi</v>
      </c>
      <c r="B408" s="25">
        <f>IFERROR(__xludf.DUMMYFUNCTION("""COMPUTED_VALUE"""),2.0)</f>
        <v>2</v>
      </c>
      <c r="C408" s="5" t="str">
        <f>IFERROR(__xludf.DUMMYFUNCTION("IF(A408="""","""",TEXTJOIN(CHAR(10),TRUE,FILTER('Chi tiết từng link'!$B$2:$B$2505,'Chi tiết từng link'!$D$2:$D$2505=A408)))"),"https://techcombank.com/thong-tin/blog/cach-kiem-tra-tai-khoan-ngan-hang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08" s="5" t="str">
        <f t="shared" si="1"/>
        <v>OK</v>
      </c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35" t="str">
        <f>IFERROR(__xludf.DUMMYFUNCTION("""COMPUTED_VALUE"""),"https://techcombank.com/thong-tin/blog/88-la-gi")</f>
        <v>https://techcombank.com/thong-tin/blog/88-la-gi</v>
      </c>
      <c r="B409" s="25">
        <f>IFERROR(__xludf.DUMMYFUNCTION("""COMPUTED_VALUE"""),2.0)</f>
        <v>2</v>
      </c>
      <c r="C409" s="5" t="str">
        <f>IFERROR(__xludf.DUMMYFUNCTION("IF(A409="""","""",TEXTJOIN(CHAR(10),TRUE,FILTER('Chi tiết từng link'!$B$2:$B$2505,'Chi tiết từng link'!$D$2:$D$2505=A409)))"),"https://techcombank.com/thong-tin/blog/cach-mo-tai-khoan
https://techcombank.com/thong-tin/blog/day-so-phat-tai-phat-loc")</f>
        <v>https://techcombank.com/thong-tin/blog/cach-mo-tai-khoan
https://techcombank.com/thong-tin/blog/day-so-phat-tai-phat-loc</v>
      </c>
      <c r="D409" s="5" t="str">
        <f t="shared" si="1"/>
        <v>OK</v>
      </c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35" t="str">
        <f>IFERROR(__xludf.DUMMYFUNCTION("""COMPUTED_VALUE"""),"https://techcombank.com/thong-tin/blog/8868")</f>
        <v>https://techcombank.com/thong-tin/blog/8868</v>
      </c>
      <c r="B410" s="25">
        <f>IFERROR(__xludf.DUMMYFUNCTION("""COMPUTED_VALUE"""),2.0)</f>
        <v>2</v>
      </c>
      <c r="C410" s="5" t="str">
        <f>IFERROR(__xludf.DUMMYFUNCTION("IF(A410="""","""",TEXTJOIN(CHAR(10),TRUE,FILTER('Chi tiết từng link'!$B$2:$B$2505,'Chi tiết từng link'!$D$2:$D$2505=A410)))"),"https://techcombank.com/thong-tin/blog/cach-kiem-tra-tai-khoan-ngan-hang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410" s="5" t="str">
        <f t="shared" si="1"/>
        <v>OK</v>
      </c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35" t="str">
        <f>IFERROR(__xludf.DUMMYFUNCTION("""COMPUTED_VALUE"""),"https://techcombank.com/thong-tin/blog/99999-co-y-nghia-gi")</f>
        <v>https://techcombank.com/thong-tin/blog/99999-co-y-nghia-gi</v>
      </c>
      <c r="B411" s="25">
        <f>IFERROR(__xludf.DUMMYFUNCTION("""COMPUTED_VALUE"""),2.0)</f>
        <v>2</v>
      </c>
      <c r="C411" s="5" t="str">
        <f>IFERROR(__xludf.DUMMYFUNCTION("IF(A411="""","""",TEXTJOIN(CHAR(10),TRUE,FILTER('Chi tiết từng link'!$B$2:$B$2505,'Chi tiết từng link'!$D$2:$D$2505=A411)))"),"https://techcombank.com/thong-tin/blog/cach-kiem-tra-tai-khoan-ngan-hang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411" s="5" t="str">
        <f t="shared" si="1"/>
        <v>OK</v>
      </c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35" t="str">
        <f>IFERROR(__xludf.DUMMYFUNCTION("""COMPUTED_VALUE"""),"https://techcombank.com/thong-tin/blog/app-mua-truoc-tra-sau")</f>
        <v>https://techcombank.com/thong-tin/blog/app-mua-truoc-tra-sau</v>
      </c>
      <c r="B412" s="25">
        <f>IFERROR(__xludf.DUMMYFUNCTION("""COMPUTED_VALUE"""),2.0)</f>
        <v>2</v>
      </c>
      <c r="C412" s="5" t="str">
        <f>IFERROR(__xludf.DUMMYFUNCTION("IF(A412="""","""",TEXTJOIN(CHAR(10),TRUE,FILTER('Chi tiết từng link'!$B$2:$B$2505,'Chi tiết từng link'!$D$2:$D$2505=A412)))"),"https://techcombank.com/thong-tin/blog/cach-sao-ke-tai-khoan-ngan-hang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2" s="5" t="str">
        <f t="shared" si="1"/>
        <v>OK</v>
      </c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35" t="str">
        <f>IFERROR(__xludf.DUMMYFUNCTION("""COMPUTED_VALUE"""),"https://techcombank.com/thong-tin/blog/app-ngan-hang")</f>
        <v>https://techcombank.com/thong-tin/blog/app-ngan-hang</v>
      </c>
      <c r="B413" s="25">
        <f>IFERROR(__xludf.DUMMYFUNCTION("""COMPUTED_VALUE"""),2.0)</f>
        <v>2</v>
      </c>
      <c r="C413" s="5" t="str">
        <f>IFERROR(__xludf.DUMMYFUNCTION("IF(A413="""","""",TEXTJOIN(CHAR(10),TRUE,FILTER('Chi tiết từng link'!$B$2:$B$2505,'Chi tiết từng link'!$D$2:$D$2505=A413)))"),"https://techcombank.com/thong-tin/blog/ngan-hang-uy-tin
https://techcombank.com/thong-tin/blog/cach-tiet-kiem-tien")</f>
        <v>https://techcombank.com/thong-tin/blog/ngan-hang-uy-tin
https://techcombank.com/thong-tin/blog/cach-tiet-kiem-tien</v>
      </c>
      <c r="D413" s="5" t="str">
        <f t="shared" si="1"/>
        <v>OK</v>
      </c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35" t="str">
        <f>IFERROR(__xludf.DUMMYFUNCTION("""COMPUTED_VALUE"""),"https://techcombank.com/thong-tin/blog/app-quan-ly-chi-tieu")</f>
        <v>https://techcombank.com/thong-tin/blog/app-quan-ly-chi-tieu</v>
      </c>
      <c r="B414" s="25">
        <f>IFERROR(__xludf.DUMMYFUNCTION("""COMPUTED_VALUE"""),2.0)</f>
        <v>2</v>
      </c>
      <c r="C414" s="5" t="str">
        <f>IFERROR(__xludf.DUMMYFUNCTION("IF(A414="""","""",TEXTJOIN(CHAR(10),TRUE,FILTER('Chi tiết từng link'!$B$2:$B$2505,'Chi tiết từng link'!$D$2:$D$2505=A414)))"),"https://techcombank.com/thong-tin/blog/cach-sao-ke-tai-khoan-ngan-hang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14" s="5" t="str">
        <f t="shared" si="1"/>
        <v>OK</v>
      </c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35" t="str">
        <f>IFERROR(__xludf.DUMMYFUNCTION("""COMPUTED_VALUE"""),"https://techcombank.com/thong-tin/blog/app-tra-luong")</f>
        <v>https://techcombank.com/thong-tin/blog/app-tra-luong</v>
      </c>
      <c r="B415" s="25">
        <f>IFERROR(__xludf.DUMMYFUNCTION("""COMPUTED_VALUE"""),2.0)</f>
        <v>2</v>
      </c>
      <c r="C415" s="5" t="str">
        <f>IFERROR(__xludf.DUMMYFUNCTION("IF(A415="""","""",TEXTJOIN(CHAR(10),TRUE,FILTER('Chi tiết từng link'!$B$2:$B$2505,'Chi tiết từng link'!$D$2:$D$2505=A415)))"),"https://techcombank.com/thong-tin/blog/cach-tinh-thue-thu-nhap-ca-nhan-2025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15" s="5" t="str">
        <f t="shared" si="1"/>
        <v>OK</v>
      </c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35" t="str">
        <f>IFERROR(__xludf.DUMMYFUNCTION("""COMPUTED_VALUE"""),"https://techcombank.com/thong-tin/blog/atm-la-gi")</f>
        <v>https://techcombank.com/thong-tin/blog/atm-la-gi</v>
      </c>
      <c r="B416" s="25">
        <f>IFERROR(__xludf.DUMMYFUNCTION("""COMPUTED_VALUE"""),2.0)</f>
        <v>2</v>
      </c>
      <c r="C416" s="5" t="str">
        <f>IFERROR(__xludf.DUMMYFUNCTION("IF(A416="""","""",TEXTJOIN(CHAR(10),TRUE,FILTER('Chi tiết từng link'!$B$2:$B$2505,'Chi tiết từng link'!$D$2:$D$2505=A416)))"),"https://techcombank.com/thong-tin/blog/nap-tien-vao-tai-khoan-ngan-hang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16" s="5" t="str">
        <f t="shared" si="1"/>
        <v>OK</v>
      </c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35" t="str">
        <f>IFERROR(__xludf.DUMMYFUNCTION("""COMPUTED_VALUE"""),"https://techcombank.com/thong-tin/blog/bao-hiem-du-lich-quoc-te-nao-tot")</f>
        <v>https://techcombank.com/thong-tin/blog/bao-hiem-du-lich-quoc-te-nao-tot</v>
      </c>
      <c r="B417" s="25">
        <f>IFERROR(__xludf.DUMMYFUNCTION("""COMPUTED_VALUE"""),2.0)</f>
        <v>2</v>
      </c>
      <c r="C417" s="5" t="str">
        <f>IFERROR(__xludf.DUMMYFUNCTION("IF(A417="""","""",TEXTJOIN(CHAR(10),TRUE,FILTER('Chi tiết từng link'!$B$2:$B$2505,'Chi tiết từng link'!$D$2:$D$2505=A417)))"),"https://techcombank.com/thong-tin/blog/cach-nhan-tien-tu-nuoc-ngoai-ve-viet-nam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7" s="5" t="str">
        <f t="shared" si="1"/>
        <v>OK</v>
      </c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35" t="str">
        <f>IFERROR(__xludf.DUMMYFUNCTION("""COMPUTED_VALUE"""),"https://techcombank.com/thong-tin/blog/bi-quyet-tiet-kiem-tien-mua-nha")</f>
        <v>https://techcombank.com/thong-tin/blog/bi-quyet-tiet-kiem-tien-mua-nha</v>
      </c>
      <c r="B418" s="25">
        <f>IFERROR(__xludf.DUMMYFUNCTION("""COMPUTED_VALUE"""),2.0)</f>
        <v>2</v>
      </c>
      <c r="C418" s="5" t="str">
        <f>IFERROR(__xludf.DUMMYFUNCTION("IF(A418="""","""",TEXTJOIN(CHAR(10),TRUE,FILTER('Chi tiết từng link'!$B$2:$B$2505,'Chi tiết từng link'!$D$2:$D$2505=A418)))"),"https://techcombank.com/thong-tin/blog/vay-ngan-hang-1-ty-moi-thang-tra-bao-nhieu
https://techcombank.com/thong-tin/blog/cach-tiet-kiem-tien")</f>
        <v>https://techcombank.com/thong-tin/blog/vay-ngan-hang-1-ty-moi-thang-tra-bao-nhieu
https://techcombank.com/thong-tin/blog/cach-tiet-kiem-tien</v>
      </c>
      <c r="D418" s="5" t="str">
        <f t="shared" si="1"/>
        <v>OK</v>
      </c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35" t="str">
        <f>IFERROR(__xludf.DUMMYFUNCTION("""COMPUTED_VALUE"""),"https://techcombank.com/thong-tin/blog/bib-techcombank")</f>
        <v>https://techcombank.com/thong-tin/blog/bib-techcombank</v>
      </c>
      <c r="B419" s="25">
        <f>IFERROR(__xludf.DUMMYFUNCTION("""COMPUTED_VALUE"""),2.0)</f>
        <v>2</v>
      </c>
      <c r="C419" s="5" t="str">
        <f>IFERROR(__xludf.DUMMYFUNCTION("IF(A419="""","""",TEXTJOIN(CHAR(10),TRUE,FILTER('Chi tiết từng link'!$B$2:$B$2505,'Chi tiết từng link'!$D$2:$D$2505=A419)))"),"https://techcombank.com/thong-tin/blog/cach-nhan-tien-tu-nuoc-ngoai-ve-viet-nam
https://techcombank.com/thong-tin/blog/traveloka-voucher")</f>
        <v>https://techcombank.com/thong-tin/blog/cach-nhan-tien-tu-nuoc-ngoai-ve-viet-nam
https://techcombank.com/thong-tin/blog/traveloka-voucher</v>
      </c>
      <c r="D419" s="5" t="str">
        <f t="shared" si="1"/>
        <v>OK</v>
      </c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35" t="str">
        <f>IFERROR(__xludf.DUMMYFUNCTION("""COMPUTED_VALUE"""),"https://techcombank.com/thong-tin/blog/bien-dong-ty-gia-voi-doanh-nghiep-sme")</f>
        <v>https://techcombank.com/thong-tin/blog/bien-dong-ty-gia-voi-doanh-nghiep-sme</v>
      </c>
      <c r="B420" s="25">
        <f>IFERROR(__xludf.DUMMYFUNCTION("""COMPUTED_VALUE"""),2.0)</f>
        <v>2</v>
      </c>
      <c r="C420" s="5" t="str">
        <f>IFERROR(__xludf.DUMMYFUNCTION("IF(A420="""","""",TEXTJOIN(CHAR(10),TRUE,FILTER('Chi tiết từng link'!$B$2:$B$2505,'Chi tiết từng link'!$D$2:$D$2505=A420)))"),"https://techcombank.com/thong-tin/blog/doi-tien-do-o-dau
https://techcombank.com/thong-tin/blog/rui-ro-khi-gui-tiet-kiem-online")</f>
        <v>https://techcombank.com/thong-tin/blog/doi-tien-do-o-dau
https://techcombank.com/thong-tin/blog/rui-ro-khi-gui-tiet-kiem-online</v>
      </c>
      <c r="D420" s="5" t="str">
        <f t="shared" si="1"/>
        <v>OK</v>
      </c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35" t="str">
        <f>IFERROR(__xludf.DUMMYFUNCTION("""COMPUTED_VALUE"""),"https://techcombank.com/thong-tin/blog/cac-chung-chi-quy-o-viet-nam")</f>
        <v>https://techcombank.com/thong-tin/blog/cac-chung-chi-quy-o-viet-nam</v>
      </c>
      <c r="B421" s="25">
        <f>IFERROR(__xludf.DUMMYFUNCTION("""COMPUTED_VALUE"""),2.0)</f>
        <v>2</v>
      </c>
      <c r="C421" s="5" t="str">
        <f>IFERROR(__xludf.DUMMYFUNCTION("IF(A421="""","""",TEXTJOIN(CHAR(10),TRUE,FILTER('Chi tiết từng link'!$B$2:$B$2505,'Chi tiết từng link'!$D$2:$D$2505=A421)))"),"https://techcombank.com/thong-tin/blog/rui-ro-khi-gui-tiet-kiem-online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21" s="5" t="str">
        <f t="shared" si="1"/>
        <v>OK</v>
      </c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35" t="str">
        <f>IFERROR(__xludf.DUMMYFUNCTION("""COMPUTED_VALUE"""),"https://techcombank.com/thong-tin/blog/cac-loai-hinh-bao-hiem-nhan-tho")</f>
        <v>https://techcombank.com/thong-tin/blog/cac-loai-hinh-bao-hiem-nhan-tho</v>
      </c>
      <c r="B422" s="25">
        <f>IFERROR(__xludf.DUMMYFUNCTION("""COMPUTED_VALUE"""),2.0)</f>
        <v>2</v>
      </c>
      <c r="C422" s="5" t="str">
        <f>IFERROR(__xludf.DUMMYFUNCTION("IF(A422="""","""",TEXTJOIN(CHAR(10),TRUE,FILTER('Chi tiết từng link'!$B$2:$B$2505,'Chi tiết từng link'!$D$2:$D$2505=A422)))"),"https://techcombank.com/thong-tin/blog/mo-tai-khoan-ngan-hang-duoi-18-tuoi
https://techcombank.com/thong-tin/blog/rui-ro-khi-gui-tiet-kiem-online")</f>
        <v>https://techcombank.com/thong-tin/blog/mo-tai-khoan-ngan-hang-duoi-18-tuoi
https://techcombank.com/thong-tin/blog/rui-ro-khi-gui-tiet-kiem-online</v>
      </c>
      <c r="D422" s="5" t="str">
        <f t="shared" si="1"/>
        <v>OK</v>
      </c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35" t="str">
        <f>IFERROR(__xludf.DUMMYFUNCTION("""COMPUTED_VALUE"""),"https://techcombank.com/thong-tin/blog/cach-doi-mat-khau-tai-khoan-ngan-hang")</f>
        <v>https://techcombank.com/thong-tin/blog/cach-doi-mat-khau-tai-khoan-ngan-hang</v>
      </c>
      <c r="B423" s="25">
        <f>IFERROR(__xludf.DUMMYFUNCTION("""COMPUTED_VALUE"""),2.0)</f>
        <v>2</v>
      </c>
      <c r="C423" s="5" t="str">
        <f>IFERROR(__xludf.DUMMYFUNCTION("IF(A423="""","""",TEXTJOIN(CHAR(10),TRUE,FILTER('Chi tiết từng link'!$B$2:$B$2505,'Chi tiết từng link'!$D$2:$D$2505=A423)))"),"https://techcombank.com/thong-tin/blog/cach-mo-tai-khoan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423" s="5" t="str">
        <f t="shared" si="1"/>
        <v>OK</v>
      </c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35" t="str">
        <f>IFERROR(__xludf.DUMMYFUNCTION("""COMPUTED_VALUE"""),"https://techcombank.com/thong-tin/blog/cach-dong-tien-dien-qua-tai-khoan-ngan-hang")</f>
        <v>https://techcombank.com/thong-tin/blog/cach-dong-tien-dien-qua-tai-khoan-ngan-hang</v>
      </c>
      <c r="B424" s="25">
        <f>IFERROR(__xludf.DUMMYFUNCTION("""COMPUTED_VALUE"""),2.0)</f>
        <v>2</v>
      </c>
      <c r="C424" s="5" t="str">
        <f>IFERROR(__xludf.DUMMYFUNCTION("IF(A424="""","""",TEXTJOIN(CHAR(10),TRUE,FILTER('Chi tiết từng link'!$B$2:$B$2505,'Chi tiết từng link'!$D$2:$D$2505=A424)))"),"https://techcombank.com/thong-tin/blog/cach-tinh-tien-dien-sinh-hoat
https://techcombank.com/thong-tin/blog/cach-mo-tai-khoan")</f>
        <v>https://techcombank.com/thong-tin/blog/cach-tinh-tien-dien-sinh-hoat
https://techcombank.com/thong-tin/blog/cach-mo-tai-khoan</v>
      </c>
      <c r="D424" s="5" t="str">
        <f t="shared" si="1"/>
        <v>OK</v>
      </c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35" t="str">
        <f>IFERROR(__xludf.DUMMYFUNCTION("""COMPUTED_VALUE"""),"https://techcombank.com/thong-tin/blog/cach-kiem-tra-tai-khoan-ngan-hang")</f>
        <v>https://techcombank.com/thong-tin/blog/cach-kiem-tra-tai-khoan-ngan-hang</v>
      </c>
      <c r="B425" s="25">
        <f>IFERROR(__xludf.DUMMYFUNCTION("""COMPUTED_VALUE"""),2.0)</f>
        <v>2</v>
      </c>
      <c r="C425" s="5" t="str">
        <f>IFERROR(__xludf.DUMMYFUNCTION("IF(A425="""","""",TEXTJOIN(CHAR(10),TRUE,FILTER('Chi tiết từng link'!$B$2:$B$2505,'Chi tiết từng link'!$D$2:$D$2505=A425)))"),"https://techcombank.com/thong-tin/blog/cach-mo-tai-khoan
https://techcombank.com/thong-tin/blog/cach-sao-ke-tai-khoan-ngan-hang")</f>
        <v>https://techcombank.com/thong-tin/blog/cach-mo-tai-khoan
https://techcombank.com/thong-tin/blog/cach-sao-ke-tai-khoan-ngan-hang</v>
      </c>
      <c r="D425" s="5" t="str">
        <f t="shared" si="1"/>
        <v>OK</v>
      </c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35" t="str">
        <f>IFERROR(__xludf.DUMMYFUNCTION("""COMPUTED_VALUE"""),"https://techcombank.com/thong-tin/blog/cach-lien-ket-tai-khoan-ngan-hang-voi-vneid")</f>
        <v>https://techcombank.com/thong-tin/blog/cach-lien-ket-tai-khoan-ngan-hang-voi-vneid</v>
      </c>
      <c r="B426" s="25">
        <f>IFERROR(__xludf.DUMMYFUNCTION("""COMPUTED_VALUE"""),2.0)</f>
        <v>2</v>
      </c>
      <c r="C426" s="5" t="str">
        <f>IFERROR(__xludf.DUMMYFUNCTION("IF(A426="""","""",TEXTJOIN(CHAR(10),TRUE,FILTER('Chi tiết từng link'!$B$2:$B$2505,'Chi tiết từng link'!$D$2:$D$2505=A426)))"),"https://techcombank.com/thong-tin/blog/cach-mo-tai-khoan
https://techcombank.com/thong-tin/blog/cach-quet-nfc-cccd-tren-iphone")</f>
        <v>https://techcombank.com/thong-tin/blog/cach-mo-tai-khoan
https://techcombank.com/thong-tin/blog/cach-quet-nfc-cccd-tren-iphone</v>
      </c>
      <c r="D426" s="5" t="str">
        <f t="shared" si="1"/>
        <v>OK</v>
      </c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35" t="str">
        <f>IFERROR(__xludf.DUMMYFUNCTION("""COMPUTED_VALUE"""),"https://techcombank.com/thong-tin/blog/cach-nap-the")</f>
        <v>https://techcombank.com/thong-tin/blog/cach-nap-the</v>
      </c>
      <c r="B427" s="25">
        <f>IFERROR(__xludf.DUMMYFUNCTION("""COMPUTED_VALUE"""),2.0)</f>
        <v>2</v>
      </c>
      <c r="C427" s="5" t="str">
        <f>IFERROR(__xludf.DUMMYFUNCTION("IF(A427="""","""",TEXTJOIN(CHAR(10),TRUE,FILTER('Chi tiết từng link'!$B$2:$B$2505,'Chi tiết từng link'!$D$2:$D$2505=A427)))"),"https://techcombank.com/thong-tin/blog/cach-nap-the-viettel
https://techcombank.com/thong-tin/blog/nap-tien-vao-tai-khoan-ngan-hang")</f>
        <v>https://techcombank.com/thong-tin/blog/cach-nap-the-viettel
https://techcombank.com/thong-tin/blog/nap-tien-vao-tai-khoan-ngan-hang</v>
      </c>
      <c r="D427" s="5" t="str">
        <f t="shared" si="1"/>
        <v>OK</v>
      </c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35" t="str">
        <f>IFERROR(__xludf.DUMMYFUNCTION("""COMPUTED_VALUE"""),"https://techcombank.com/thong-tin/blog/cach-nhan-tien-tu-nuoc-ngoai-ve-viet-nam")</f>
        <v>https://techcombank.com/thong-tin/blog/cach-nhan-tien-tu-nuoc-ngoai-ve-viet-nam</v>
      </c>
      <c r="B428" s="25">
        <f>IFERROR(__xludf.DUMMYFUNCTION("""COMPUTED_VALUE"""),2.0)</f>
        <v>2</v>
      </c>
      <c r="C428" s="5" t="str">
        <f>IFERROR(__xludf.DUMMYFUNCTION("IF(A428="""","""",TEXTJOIN(CHAR(10),TRUE,FILTER('Chi tiết từng link'!$B$2:$B$2505,'Chi tiết từng link'!$D$2:$D$2505=A428)))"),"https://techcombank.com/thong-tin/blog/chuyen-khoan-thanh-cong-nhung-khong-nhan-duoc-tien
https://techcombank.com/thong-tin/blog/1-te-bang-bao-nhieu-tien-viet-nam")</f>
        <v>https://techcombank.com/thong-tin/blog/chuyen-khoan-thanh-cong-nhung-khong-nhan-duoc-tien
https://techcombank.com/thong-tin/blog/1-te-bang-bao-nhieu-tien-viet-nam</v>
      </c>
      <c r="D428" s="5" t="str">
        <f t="shared" si="1"/>
        <v>OK</v>
      </c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35" t="str">
        <f>IFERROR(__xludf.DUMMYFUNCTION("""COMPUTED_VALUE"""),"https://techcombank.com/thong-tin/blog/cach-quan-ly-tai-san")</f>
        <v>https://techcombank.com/thong-tin/blog/cach-quan-ly-tai-san</v>
      </c>
      <c r="B429" s="25">
        <f>IFERROR(__xludf.DUMMYFUNCTION("""COMPUTED_VALUE"""),2.0)</f>
        <v>2</v>
      </c>
      <c r="C429" s="5" t="str">
        <f>IFERROR(__xludf.DUMMYFUNCTION("IF(A429="""","""",TEXTJOIN(CHAR(10),TRUE,FILTER('Chi tiết từng link'!$B$2:$B$2505,'Chi tiết từng link'!$D$2:$D$2505=A429)))"),"https://techcombank.com/thong-tin/blog/eco-card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29" s="5" t="str">
        <f t="shared" si="1"/>
        <v>OK</v>
      </c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35" t="str">
        <f>IFERROR(__xludf.DUMMYFUNCTION("""COMPUTED_VALUE"""),"https://techcombank.com/thong-tin/blog/cach-sao-ke-tai-khoan-ngan-hang")</f>
        <v>https://techcombank.com/thong-tin/blog/cach-sao-ke-tai-khoan-ngan-hang</v>
      </c>
      <c r="B430" s="25">
        <f>IFERROR(__xludf.DUMMYFUNCTION("""COMPUTED_VALUE"""),2.0)</f>
        <v>2</v>
      </c>
      <c r="C430" s="5" t="str">
        <f>IFERROR(__xludf.DUMMYFUNCTION("IF(A430="""","""",TEXTJOIN(CHAR(10),TRUE,FILTER('Chi tiết từng link'!$B$2:$B$2505,'Chi tiết từng link'!$D$2:$D$2505=A430)))"),"https://techcombank.com/thong-tin/blog/cach-mo-tai-khoan
https://techcombank.com/thong-tin/blog/cach-thanh-toan-the-tin-dung")</f>
        <v>https://techcombank.com/thong-tin/blog/cach-mo-tai-khoan
https://techcombank.com/thong-tin/blog/cach-thanh-toan-the-tin-dung</v>
      </c>
      <c r="D430" s="5" t="str">
        <f t="shared" si="1"/>
        <v>OK</v>
      </c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35" t="str">
        <f>IFERROR(__xludf.DUMMYFUNCTION("""COMPUTED_VALUE"""),"https://techcombank.com/thong-tin/blog/cach-tiet-kiem-tien")</f>
        <v>https://techcombank.com/thong-tin/blog/cach-tiet-kiem-tien</v>
      </c>
      <c r="B431" s="25">
        <f>IFERROR(__xludf.DUMMYFUNCTION("""COMPUTED_VALUE"""),2.0)</f>
        <v>2</v>
      </c>
      <c r="C431" s="5" t="str">
        <f>IFERROR(__xludf.DUMMYFUNCTION("IF(A431="""","""",TEXTJOIN(CHAR(10),TRUE,FILTER('Chi tiết từng link'!$B$2:$B$2505,'Chi tiết từng link'!$D$2:$D$2505=A431)))"),"https://techcombank.com/thong-tin/blog/cach-sao-ke-tai-khoan-ngan-hang
https://techcombank.com/cong-cu-tien-ich/cong-cu-tinh-toan/bang-tinh-lai-suat-tiet-kiem")</f>
        <v>https://techcombank.com/thong-tin/blog/cach-sao-ke-tai-khoan-ngan-hang
https://techcombank.com/cong-cu-tien-ich/cong-cu-tinh-toan/bang-tinh-lai-suat-tiet-kiem</v>
      </c>
      <c r="D431" s="5" t="str">
        <f t="shared" si="1"/>
        <v>OK</v>
      </c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35" t="str">
        <f>IFERROR(__xludf.DUMMYFUNCTION("""COMPUTED_VALUE"""),"https://techcombank.com/thong-tin/blog/cach-tiet-kiem-tien-cua-nguoi-nhat")</f>
        <v>https://techcombank.com/thong-tin/blog/cach-tiet-kiem-tien-cua-nguoi-nhat</v>
      </c>
      <c r="B432" s="25">
        <f>IFERROR(__xludf.DUMMYFUNCTION("""COMPUTED_VALUE"""),2.0)</f>
        <v>2</v>
      </c>
      <c r="C432" s="5" t="str">
        <f>IFERROR(__xludf.DUMMYFUNCTION("IF(A432="""","""",TEXTJOIN(CHAR(10),TRUE,FILTER('Chi tiết từng link'!$B$2:$B$2505,'Chi tiết từng link'!$D$2:$D$2505=A432)))"),"https://techcombank.com/thong-tin/blog/tien-nhat
https://techcombank.com/thong-tin/blog/cach-tiet-kiem-tien")</f>
        <v>https://techcombank.com/thong-tin/blog/tien-nhat
https://techcombank.com/thong-tin/blog/cach-tiet-kiem-tien</v>
      </c>
      <c r="D432" s="5" t="str">
        <f t="shared" si="1"/>
        <v>OK</v>
      </c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35" t="str">
        <f>IFERROR(__xludf.DUMMYFUNCTION("""COMPUTED_VALUE"""),"https://techcombank.com/thong-tin/blog/cam-nang-dinh-cu-my")</f>
        <v>https://techcombank.com/thong-tin/blog/cam-nang-dinh-cu-my</v>
      </c>
      <c r="B433" s="25">
        <f>IFERROR(__xludf.DUMMYFUNCTION("""COMPUTED_VALUE"""),2.0)</f>
        <v>2</v>
      </c>
      <c r="C433" s="5" t="str">
        <f>IFERROR(__xludf.DUMMYFUNCTION("IF(A433="""","""",TEXTJOIN(CHAR(10),TRUE,FILTER('Chi tiết từng link'!$B$2:$B$2505,'Chi tiết từng link'!$D$2:$D$2505=A433)))"),"https://techcombank.com/thong-tin/blog/chuyen-khoan-thanh-cong-nhung-khong-nhan-duoc-tien
https://techcombank.com/thong-tin/blog/1-dong-do-la-my-bang-bao-nhieu-tien-viet-nam")</f>
        <v>https://techcombank.com/thong-tin/blog/chuyen-khoan-thanh-cong-nhung-khong-nhan-duoc-tien
https://techcombank.com/thong-tin/blog/1-dong-do-la-my-bang-bao-nhieu-tien-viet-nam</v>
      </c>
      <c r="D433" s="5" t="str">
        <f t="shared" si="1"/>
        <v>OK</v>
      </c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35" t="str">
        <f>IFERROR(__xludf.DUMMYFUNCTION("""COMPUTED_VALUE"""),"https://techcombank.com/thong-tin/blog/chi-phi-mo-tai-khoan-ngan-hang-cho-cong-ty")</f>
        <v>https://techcombank.com/thong-tin/blog/chi-phi-mo-tai-khoan-ngan-hang-cho-cong-ty</v>
      </c>
      <c r="B434" s="25">
        <f>IFERROR(__xludf.DUMMYFUNCTION("""COMPUTED_VALUE"""),2.0)</f>
        <v>2</v>
      </c>
      <c r="C434" s="5" t="str">
        <f>IFERROR(__xludf.DUMMYFUNCTION("IF(A434="""","""",TEXTJOIN(CHAR(10),TRUE,FILTER('Chi tiết từng link'!$B$2:$B$2505,'Chi tiết từng link'!$D$2:$D$2505=A434)))"),"https://techcombank.com/thong-tin/blog/cong-ty-su-dung-tai-khoan-ca-nhan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34" s="5" t="str">
        <f t="shared" si="1"/>
        <v>OK</v>
      </c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35" t="str">
        <f>IFERROR(__xludf.DUMMYFUNCTION("""COMPUTED_VALUE"""),"https://techcombank.com/thong-tin/blog/chung-chi-quy-va-co-phieu")</f>
        <v>https://techcombank.com/thong-tin/blog/chung-chi-quy-va-co-phieu</v>
      </c>
      <c r="B435" s="25">
        <f>IFERROR(__xludf.DUMMYFUNCTION("""COMPUTED_VALUE"""),2.0)</f>
        <v>2</v>
      </c>
      <c r="C435" s="5" t="str">
        <f>IFERROR(__xludf.DUMMYFUNCTION("IF(A435="""","""",TEXTJOIN(CHAR(10),TRUE,FILTER('Chi tiết từng link'!$B$2:$B$2505,'Chi tiết từng link'!$D$2:$D$2505=A435)))"),"https://techcombank.com/thong-tin/blog/rui-ro-khi-gui-tiet-kiem-online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435" s="5" t="str">
        <f t="shared" si="1"/>
        <v>OK</v>
      </c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35" t="str">
        <f>IFERROR(__xludf.DUMMYFUNCTION("""COMPUTED_VALUE"""),"https://techcombank.com/thong-tin/blog/chung-chi-tien-gui-co-duoc-bao-hiem-khong")</f>
        <v>https://techcombank.com/thong-tin/blog/chung-chi-tien-gui-co-duoc-bao-hiem-khong</v>
      </c>
      <c r="B436" s="25">
        <f>IFERROR(__xludf.DUMMYFUNCTION("""COMPUTED_VALUE"""),2.0)</f>
        <v>2</v>
      </c>
      <c r="C436" s="5" t="str">
        <f>IFERROR(__xludf.DUMMYFUNCTION("IF(A436="""","""",TEXTJOIN(CHAR(10),TRUE,FILTER('Chi tiết từng link'!$B$2:$B$2505,'Chi tiết từng link'!$D$2:$D$2505=A436)))"),"https://techcombank.com/thong-tin/blog/chung-chi-tien-gui-la-gi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6" s="5" t="str">
        <f t="shared" si="1"/>
        <v>OK</v>
      </c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35" t="str">
        <f>IFERROR(__xludf.DUMMYFUNCTION("""COMPUTED_VALUE"""),"https://techcombank.com/thong-tin/blog/chung-chi-tien-gui-co-phai-la-trai-phieu-khong")</f>
        <v>https://techcombank.com/thong-tin/blog/chung-chi-tien-gui-co-phai-la-trai-phieu-khong</v>
      </c>
      <c r="B437" s="25">
        <f>IFERROR(__xludf.DUMMYFUNCTION("""COMPUTED_VALUE"""),2.0)</f>
        <v>2</v>
      </c>
      <c r="C437" s="5" t="str">
        <f>IFERROR(__xludf.DUMMYFUNCTION("IF(A437="""","""",TEXTJOIN(CHAR(10),TRUE,FILTER('Chi tiết từng link'!$B$2:$B$2505,'Chi tiết từng link'!$D$2:$D$2505=A437)))"),"https://techcombank.com/thong-tin/blog/chung-chi-tien-gui-la-gi
https://techcombank.com/thong-tin/blog/lai-suat-chung-chi-tien-gui-cac-ngan-hang")</f>
        <v>https://techcombank.com/thong-tin/blog/chung-chi-tien-gui-la-gi
https://techcombank.com/thong-tin/blog/lai-suat-chung-chi-tien-gui-cac-ngan-hang</v>
      </c>
      <c r="D437" s="5" t="str">
        <f t="shared" si="1"/>
        <v>OK</v>
      </c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35" t="str">
        <f>IFERROR(__xludf.DUMMYFUNCTION("""COMPUTED_VALUE"""),"https://techcombank.com/thong-tin/blog/chuyen-doi-the-atm")</f>
        <v>https://techcombank.com/thong-tin/blog/chuyen-doi-the-atm</v>
      </c>
      <c r="B438" s="25">
        <f>IFERROR(__xludf.DUMMYFUNCTION("""COMPUTED_VALUE"""),2.0)</f>
        <v>2</v>
      </c>
      <c r="C438" s="5" t="str">
        <f>IFERROR(__xludf.DUMMYFUNCTION("IF(A438="""","""",TEXTJOIN(CHAR(10),TRUE,FILTER('Chi tiết từng link'!$B$2:$B$2505,'Chi tiết từng link'!$D$2:$D$2505=A438)))"),"https://techcombank.com/thong-tin/blog/nap-tien-vao-tai-khoan-ngan-hang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38" s="5" t="str">
        <f t="shared" si="1"/>
        <v>OK</v>
      </c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35" t="str">
        <f>IFERROR(__xludf.DUMMYFUNCTION("""COMPUTED_VALUE"""),"https://techcombank.com/thong-tin/blog/chuyen-tien-tro-cap-than-nhan-o-nuoc-ngoai")</f>
        <v>https://techcombank.com/thong-tin/blog/chuyen-tien-tro-cap-than-nhan-o-nuoc-ngoai</v>
      </c>
      <c r="B439" s="25">
        <f>IFERROR(__xludf.DUMMYFUNCTION("""COMPUTED_VALUE"""),2.0)</f>
        <v>2</v>
      </c>
      <c r="C439" s="5" t="str">
        <f>IFERROR(__xludf.DUMMYFUNCTION("IF(A439="""","""",TEXTJOIN(CHAR(10),TRUE,FILTER('Chi tiết từng link'!$B$2:$B$2505,'Chi tiết từng link'!$D$2:$D$2505=A439)))"),"https://techcombank.com/thong-tin/blog/chuyen-khoan-thanh-cong-nhung-khong-nhan-duoc-tien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39" s="5" t="str">
        <f t="shared" si="1"/>
        <v>OK</v>
      </c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35" t="str">
        <f>IFERROR(__xludf.DUMMYFUNCTION("""COMPUTED_VALUE"""),"https://techcombank.com/thong-tin/blog/cua-hang-tien-loi")</f>
        <v>https://techcombank.com/thong-tin/blog/cua-hang-tien-loi</v>
      </c>
      <c r="B440" s="25">
        <f>IFERROR(__xludf.DUMMYFUNCTION("""COMPUTED_VALUE"""),2.0)</f>
        <v>2</v>
      </c>
      <c r="C440" s="5" t="str">
        <f>IFERROR(__xludf.DUMMYFUNCTION("IF(A440="""","""",TEXTJOIN(CHAR(10),TRUE,FILTER('Chi tiết từng link'!$B$2:$B$2505,'Chi tiết từng link'!$D$2:$D$2505=A440)))"),"https://techcombank.com/thong-tin/blog/traveloka-voucher
https://techcombank.com/thong-tin/blog/mo-hinh-kinh-doanh-la-gi")</f>
        <v>https://techcombank.com/thong-tin/blog/traveloka-voucher
https://techcombank.com/thong-tin/blog/mo-hinh-kinh-doanh-la-gi</v>
      </c>
      <c r="D440" s="5" t="str">
        <f t="shared" si="1"/>
        <v>OK</v>
      </c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35" t="str">
        <f>IFERROR(__xludf.DUMMYFUNCTION("""COMPUTED_VALUE"""),"https://techcombank.com/thong-tin/blog/dat-xe-xanh-sm")</f>
        <v>https://techcombank.com/thong-tin/blog/dat-xe-xanh-sm</v>
      </c>
      <c r="B441" s="25">
        <f>IFERROR(__xludf.DUMMYFUNCTION("""COMPUTED_VALUE"""),2.0)</f>
        <v>2</v>
      </c>
      <c r="C441" s="5" t="str">
        <f>IFERROR(__xludf.DUMMYFUNCTION("IF(A441="""","""",TEXTJOIN(CHAR(10),TRUE,FILTER('Chi tiết từng link'!$B$2:$B$2505,'Chi tiết từng link'!$D$2:$D$2505=A441)))"),"https://techcombank.com/thong-tin/blog/eco-card
https://techcombank.com/thong-tin/blog/traveloka-voucher")</f>
        <v>https://techcombank.com/thong-tin/blog/eco-card
https://techcombank.com/thong-tin/blog/traveloka-voucher</v>
      </c>
      <c r="D441" s="5" t="str">
        <f t="shared" si="1"/>
        <v>OK</v>
      </c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35" t="str">
        <f>IFERROR(__xludf.DUMMYFUNCTION("""COMPUTED_VALUE"""),"https://techcombank.com/thong-tin/blog/dau-tu-ngan-han")</f>
        <v>https://techcombank.com/thong-tin/blog/dau-tu-ngan-han</v>
      </c>
      <c r="B442" s="25">
        <f>IFERROR(__xludf.DUMMYFUNCTION("""COMPUTED_VALUE"""),2.0)</f>
        <v>2</v>
      </c>
      <c r="C442" s="5" t="str">
        <f>IFERROR(__xludf.DUMMYFUNCTION("IF(A442="""","""",TEXTJOIN(CHAR(10),TRUE,FILTER('Chi tiết từng link'!$B$2:$B$2505,'Chi tiết từng link'!$D$2:$D$2505=A442)))"),"https://techcombank.com/thong-tin/blog/chung-chi-tien-gui-la-gi
https://techcombank.com/thong-tin/blog/phuong-phap-dau-tu-chung-chi-quy")</f>
        <v>https://techcombank.com/thong-tin/blog/chung-chi-tien-gui-la-gi
https://techcombank.com/thong-tin/blog/phuong-phap-dau-tu-chung-chi-quy</v>
      </c>
      <c r="D442" s="5" t="str">
        <f t="shared" si="1"/>
        <v>OK</v>
      </c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35" t="str">
        <f>IFERROR(__xludf.DUMMYFUNCTION("""COMPUTED_VALUE"""),"https://techcombank.com/thong-tin/blog/dau-tu-tai-chinh-ca-nhan")</f>
        <v>https://techcombank.com/thong-tin/blog/dau-tu-tai-chinh-ca-nhan</v>
      </c>
      <c r="B443" s="25">
        <f>IFERROR(__xludf.DUMMYFUNCTION("""COMPUTED_VALUE"""),2.0)</f>
        <v>2</v>
      </c>
      <c r="C443" s="5" t="str">
        <f>IFERROR(__xludf.DUMMYFUNCTION("IF(A443="""","""",TEXTJOIN(CHAR(10),TRUE,FILTER('Chi tiết từng link'!$B$2:$B$2505,'Chi tiết từng link'!$D$2:$D$2505=A443)))"),"https://techcombank.com/thong-tin/blog/cach-tiet-kiem-tien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43" s="5" t="str">
        <f t="shared" si="1"/>
        <v>OK</v>
      </c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35" t="str">
        <f>IFERROR(__xludf.DUMMYFUNCTION("""COMPUTED_VALUE"""),"https://techcombank.com/thong-tin/blog/diem-loyalty-la-gi")</f>
        <v>https://techcombank.com/thong-tin/blog/diem-loyalty-la-gi</v>
      </c>
      <c r="B444" s="25">
        <f>IFERROR(__xludf.DUMMYFUNCTION("""COMPUTED_VALUE"""),2.0)</f>
        <v>2</v>
      </c>
      <c r="C444" s="5" t="str">
        <f>IFERROR(__xludf.DUMMYFUNCTION("IF(A444="""","""",TEXTJOIN(CHAR(10),TRUE,FILTER('Chi tiết từng link'!$B$2:$B$2505,'Chi tiết từng link'!$D$2:$D$2505=A444)))"),"https://techcombank.com/thong-tin/blog/traveloka-voucher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444" s="5" t="str">
        <f t="shared" si="1"/>
        <v>OK</v>
      </c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35" t="str">
        <f>IFERROR(__xludf.DUMMYFUNCTION("""COMPUTED_VALUE"""),"https://techcombank.com/thong-tin/blog/dinh-cu-chau-au")</f>
        <v>https://techcombank.com/thong-tin/blog/dinh-cu-chau-au</v>
      </c>
      <c r="B445" s="25">
        <f>IFERROR(__xludf.DUMMYFUNCTION("""COMPUTED_VALUE"""),2.0)</f>
        <v>2</v>
      </c>
      <c r="C445" s="5" t="str">
        <f>IFERROR(__xludf.DUMMYFUNCTION("IF(A445="""","""",TEXTJOIN(CHAR(10),TRUE,FILTER('Chi tiết từng link'!$B$2:$B$2505,'Chi tiết từng link'!$D$2:$D$2505=A445)))"),"https://techcombank.com/thong-tin/blog/chuyen-khoan-thanh-cong-nhung-khong-nhan-duoc-tien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45" s="5" t="str">
        <f t="shared" si="1"/>
        <v>OK</v>
      </c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35" t="str">
        <f>IFERROR(__xludf.DUMMYFUNCTION("""COMPUTED_VALUE"""),"https://techcombank.com/thong-tin/blog/doanh-nghiep-moi-thanh-lap-duoc-uu-dai-gi")</f>
        <v>https://techcombank.com/thong-tin/blog/doanh-nghiep-moi-thanh-lap-duoc-uu-dai-gi</v>
      </c>
      <c r="B446" s="25">
        <f>IFERROR(__xludf.DUMMYFUNCTION("""COMPUTED_VALUE"""),2.0)</f>
        <v>2</v>
      </c>
      <c r="C446" s="5" t="str">
        <f>IFERROR(__xludf.DUMMYFUNCTION("IF(A446="""","""",TEXTJOIN(CHAR(10),TRUE,FILTER('Chi tiết từng link'!$B$2:$B$2505,'Chi tiết từng link'!$D$2:$D$2505=A446)))"),"https://techcombank.com/thong-tin/blog/thue-thu-nhap-doanh-nghiep
https://techcombank.com/thong-tin/blog/ho-kinh-doanh-dong-thue-nhu-nao")</f>
        <v>https://techcombank.com/thong-tin/blog/thue-thu-nhap-doanh-nghiep
https://techcombank.com/thong-tin/blog/ho-kinh-doanh-dong-thue-nhu-nao</v>
      </c>
      <c r="D446" s="5" t="str">
        <f t="shared" si="1"/>
        <v>OK</v>
      </c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35" t="str">
        <f>IFERROR(__xludf.DUMMYFUNCTION("""COMPUTED_VALUE"""),"https://techcombank.com/thong-tin/blog/doi-tien-do-o-dau")</f>
        <v>https://techcombank.com/thong-tin/blog/doi-tien-do-o-dau</v>
      </c>
      <c r="B447" s="25">
        <f>IFERROR(__xludf.DUMMYFUNCTION("""COMPUTED_VALUE"""),2.0)</f>
        <v>2</v>
      </c>
      <c r="C447" s="5" t="str">
        <f>IFERROR(__xludf.DUMMYFUNCTION("IF(A447="""","""",TEXTJOIN(CHAR(10),TRUE,FILTER('Chi tiết từng link'!$B$2:$B$2505,'Chi tiết từng link'!$D$2:$D$2505=A447)))"),"https://techcombank.com/thong-tin/blog/1-dong-do-la-my-bang-bao-nhieu-tien-viet-nam
https://techcombank.com/thong-tin/blog/1-trieu-do-bang-bao-nhieu-tien-viet")</f>
        <v>https://techcombank.com/thong-tin/blog/1-dong-do-la-my-bang-bao-nhieu-tien-viet-nam
https://techcombank.com/thong-tin/blog/1-trieu-do-bang-bao-nhieu-tien-viet</v>
      </c>
      <c r="D447" s="5" t="str">
        <f t="shared" si="1"/>
        <v>OK</v>
      </c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35" t="str">
        <f>IFERROR(__xludf.DUMMYFUNCTION("""COMPUTED_VALUE"""),"https://techcombank.com/thong-tin/blog/dong-tai-khoan-ngan-hang-cong-ty")</f>
        <v>https://techcombank.com/thong-tin/blog/dong-tai-khoan-ngan-hang-cong-ty</v>
      </c>
      <c r="B448" s="25">
        <f>IFERROR(__xludf.DUMMYFUNCTION("""COMPUTED_VALUE"""),2.0)</f>
        <v>2</v>
      </c>
      <c r="C448" s="5" t="str">
        <f>IFERROR(__xludf.DUMMYFUNCTION("IF(A448="""","""",TEXTJOIN(CHAR(10),TRUE,FILTER('Chi tiết từng link'!$B$2:$B$2505,'Chi tiết từng link'!$D$2:$D$2505=A448)))"),"https://techcombank.com/thong-tin/blog/cong-ty-su-dung-tai-khoan-ca-nhan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48" s="5" t="str">
        <f t="shared" si="1"/>
        <v>OK</v>
      </c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35" t="str">
        <f>IFERROR(__xludf.DUMMYFUNCTION("""COMPUTED_VALUE"""),"https://techcombank.com/thong-tin/blog/ghi-chep-chi-tieu")</f>
        <v>https://techcombank.com/thong-tin/blog/ghi-chep-chi-tieu</v>
      </c>
      <c r="B449" s="25">
        <f>IFERROR(__xludf.DUMMYFUNCTION("""COMPUTED_VALUE"""),2.0)</f>
        <v>2</v>
      </c>
      <c r="C449" s="5" t="str">
        <f>IFERROR(__xludf.DUMMYFUNCTION("IF(A449="""","""",TEXTJOIN(CHAR(10),TRUE,FILTER('Chi tiết từng link'!$B$2:$B$2505,'Chi tiết từng link'!$D$2:$D$2505=A449)))"),"https://techcombank.com/thong-tin/blog/cach-sao-ke-tai-khoan-ngan-hang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49" s="5" t="str">
        <f t="shared" si="1"/>
        <v>OK</v>
      </c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35" t="str">
        <f>IFERROR(__xludf.DUMMYFUNCTION("""COMPUTED_VALUE"""),"https://techcombank.com/thong-tin/blog/gia-ca-phe-hom-nay")</f>
        <v>https://techcombank.com/thong-tin/blog/gia-ca-phe-hom-nay</v>
      </c>
      <c r="B450" s="25">
        <f>IFERROR(__xludf.DUMMYFUNCTION("""COMPUTED_VALUE"""),2.0)</f>
        <v>2</v>
      </c>
      <c r="C450" s="5" t="str">
        <f>IFERROR(__xludf.DUMMYFUNCTION("IF(A450="""","""",TEXTJOIN(CHAR(10),TRUE,FILTER('Chi tiết từng link'!$B$2:$B$2505,'Chi tiết từng link'!$D$2:$D$2505=A450)))"),"https://techcombank.com/thong-tin/blog/cach-nhan-tien-tu-nuoc-ngoai-ve-viet-nam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0" s="5" t="str">
        <f t="shared" si="1"/>
        <v>OK</v>
      </c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35" t="str">
        <f>IFERROR(__xludf.DUMMYFUNCTION("""COMPUTED_VALUE"""),"https://techcombank.com/thong-tin/blog/gia-tri-tai-san-rong")</f>
        <v>https://techcombank.com/thong-tin/blog/gia-tri-tai-san-rong</v>
      </c>
      <c r="B451" s="25">
        <f>IFERROR(__xludf.DUMMYFUNCTION("""COMPUTED_VALUE"""),2.0)</f>
        <v>2</v>
      </c>
      <c r="C451" s="5" t="str">
        <f>IFERROR(__xludf.DUMMYFUNCTION("IF(A451="""","""",TEXTJOIN(CHAR(10),TRUE,FILTER('Chi tiết từng link'!$B$2:$B$2505,'Chi tiết từng link'!$D$2:$D$2505=A451)))"),"https://techcombank.com/thong-tin/blog/eco-card
https://techcombank.com/thong-tin/blog/1-trieu-do-bang-bao-nhieu-tien-viet")</f>
        <v>https://techcombank.com/thong-tin/blog/eco-card
https://techcombank.com/thong-tin/blog/1-trieu-do-bang-bao-nhieu-tien-viet</v>
      </c>
      <c r="D451" s="5" t="str">
        <f t="shared" si="1"/>
        <v>OK</v>
      </c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35" t="str">
        <f>IFERROR(__xludf.DUMMYFUNCTION("""COMPUTED_VALUE"""),"https://techcombank.com/thong-tin/blog/giao-thong-xanh")</f>
        <v>https://techcombank.com/thong-tin/blog/giao-thong-xanh</v>
      </c>
      <c r="B452" s="25">
        <f>IFERROR(__xludf.DUMMYFUNCTION("""COMPUTED_VALUE"""),2.0)</f>
        <v>2</v>
      </c>
      <c r="C452" s="5" t="str">
        <f>IFERROR(__xludf.DUMMYFUNCTION("IF(A452="""","""",TEXTJOIN(CHAR(10),TRUE,FILTER('Chi tiết từng link'!$B$2:$B$2505,'Chi tiết từng link'!$D$2:$D$2505=A452)))"),"https://techcombank.com/thong-tin/blog/eco-card
https://techcombank.com/thong-tin/blog/traveloka-voucher")</f>
        <v>https://techcombank.com/thong-tin/blog/eco-card
https://techcombank.com/thong-tin/blog/traveloka-voucher</v>
      </c>
      <c r="D452" s="5" t="str">
        <f t="shared" si="1"/>
        <v>OK</v>
      </c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35" t="str">
        <f>IFERROR(__xludf.DUMMYFUNCTION("""COMPUTED_VALUE"""),"https://techcombank.com/thong-tin/blog/gui-ma-qr-ngan-hang")</f>
        <v>https://techcombank.com/thong-tin/blog/gui-ma-qr-ngan-hang</v>
      </c>
      <c r="B453" s="25">
        <f>IFERROR(__xludf.DUMMYFUNCTION("""COMPUTED_VALUE"""),2.0)</f>
        <v>2</v>
      </c>
      <c r="C453" s="5" t="str">
        <f>IFERROR(__xludf.DUMMYFUNCTION("IF(A453="""","""",TEXTJOIN(CHAR(10),TRUE,FILTER('Chi tiết từng link'!$B$2:$B$2505,'Chi tiết từng link'!$D$2:$D$2505=A453)))"),"https://techcombank.com/thong-tin/blog/ten-dang-nhap-tai-khoan-ngan-hang-la-gi
https://techcombank.com/thong-tin/blog/rut-tien-bang-ma-qr-la-gi-cach-thuc-hien-nhu-the-nao")</f>
        <v>https://techcombank.com/thong-tin/blog/ten-dang-nhap-tai-khoan-ngan-hang-la-gi
https://techcombank.com/thong-tin/blog/rut-tien-bang-ma-qr-la-gi-cach-thuc-hien-nhu-the-nao</v>
      </c>
      <c r="D453" s="5" t="str">
        <f t="shared" si="1"/>
        <v>OK</v>
      </c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35" t="str">
        <f>IFERROR(__xludf.DUMMYFUNCTION("""COMPUTED_VALUE"""),"https://techcombank.com/thong-tin/blog/gui-them-tien-vao-so-tiet-kiem")</f>
        <v>https://techcombank.com/thong-tin/blog/gui-them-tien-vao-so-tiet-kiem</v>
      </c>
      <c r="B454" s="25">
        <f>IFERROR(__xludf.DUMMYFUNCTION("""COMPUTED_VALUE"""),2.0)</f>
        <v>2</v>
      </c>
      <c r="C454" s="5" t="str">
        <f>IFERROR(__xludf.DUMMYFUNCTION("IF(A454="""","""",TEXTJOIN(CHAR(10),TRUE,FILTER('Chi tiết từng link'!$B$2:$B$2505,'Chi tiết từng link'!$D$2:$D$2505=A454)))"),"https://techcombank.com/thong-tin/blog/rut-tien-tiet-kiem-truoc-thoi-han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54" s="5" t="str">
        <f t="shared" si="1"/>
        <v>OK</v>
      </c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35" t="str">
        <f>IFERROR(__xludf.DUMMYFUNCTION("""COMPUTED_VALUE"""),"https://techcombank.com/thong-tin/blog/gui-tien-du-hoc")</f>
        <v>https://techcombank.com/thong-tin/blog/gui-tien-du-hoc</v>
      </c>
      <c r="B455" s="25">
        <f>IFERROR(__xludf.DUMMYFUNCTION("""COMPUTED_VALUE"""),2.0)</f>
        <v>2</v>
      </c>
      <c r="C455" s="5" t="str">
        <f>IFERROR(__xludf.DUMMYFUNCTION("IF(A455="""","""",TEXTJOIN(CHAR(10),TRUE,FILTER('Chi tiết từng link'!$B$2:$B$2505,'Chi tiết từng link'!$D$2:$D$2505=A455)))"),"https://techcombank.com/thong-tin/blog/cach-nhan-tien-tu-nuoc-ngoai-ve-viet-nam
https://techcombank.com/thong-tin/blog/doi-tien-do-o-dau")</f>
        <v>https://techcombank.com/thong-tin/blog/cach-nhan-tien-tu-nuoc-ngoai-ve-viet-nam
https://techcombank.com/thong-tin/blog/doi-tien-do-o-dau</v>
      </c>
      <c r="D455" s="5" t="str">
        <f t="shared" si="1"/>
        <v>OK</v>
      </c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35" t="str">
        <f>IFERROR(__xludf.DUMMYFUNCTION("""COMPUTED_VALUE"""),"https://techcombank.com/thong-tin/blog/ho-so-thu-tuc-xoa-the-chap")</f>
        <v>https://techcombank.com/thong-tin/blog/ho-so-thu-tuc-xoa-the-chap</v>
      </c>
      <c r="B456" s="25">
        <f>IFERROR(__xludf.DUMMYFUNCTION("""COMPUTED_VALUE"""),2.0)</f>
        <v>2</v>
      </c>
      <c r="C456" s="5" t="str">
        <f>IFERROR(__xludf.DUMMYFUNCTION("IF(A456="""","""",TEXTJOIN(CHAR(10),TRUE,FILTER('Chi tiết từng link'!$B$2:$B$2505,'Chi tiết từng link'!$D$2:$D$2505=A456)))"),"https://techcombank.com/thong-tin/blog/nop-thue-dat-qua-ngan-hang
https://techcombank.com/thong-tin/blog/lai-suat-vay-the-chap-so-do")</f>
        <v>https://techcombank.com/thong-tin/blog/nop-thue-dat-qua-ngan-hang
https://techcombank.com/thong-tin/blog/lai-suat-vay-the-chap-so-do</v>
      </c>
      <c r="D456" s="5" t="str">
        <f t="shared" si="1"/>
        <v>OK</v>
      </c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35" t="str">
        <f>IFERROR(__xludf.DUMMYFUNCTION("""COMPUTED_VALUE"""),"https://techcombank.com/thong-tin/blog/ho-so-vay-tin-chap")</f>
        <v>https://techcombank.com/thong-tin/blog/ho-so-vay-tin-chap</v>
      </c>
      <c r="B457" s="25">
        <f>IFERROR(__xludf.DUMMYFUNCTION("""COMPUTED_VALUE"""),2.0)</f>
        <v>2</v>
      </c>
      <c r="C457" s="5" t="str">
        <f>IFERROR(__xludf.DUMMYFUNCTION("IF(A457="""","""",TEXTJOIN(CHAR(10),TRUE,FILTER('Chi tiết từng link'!$B$2:$B$2505,'Chi tiết từng link'!$D$2:$D$2505=A457)))"),"https://techcombank.com/thong-tin/blog/nen-vay-tin-chap-o-dau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457" s="5" t="str">
        <f t="shared" si="1"/>
        <v>OK</v>
      </c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35" t="str">
        <f>IFERROR(__xludf.DUMMYFUNCTION("""COMPUTED_VALUE"""),"https://techcombank.com/thong-tin/blog/hu-chi-tieu")</f>
        <v>https://techcombank.com/thong-tin/blog/hu-chi-tieu</v>
      </c>
      <c r="B458" s="25">
        <f>IFERROR(__xludf.DUMMYFUNCTION("""COMPUTED_VALUE"""),2.0)</f>
        <v>2</v>
      </c>
      <c r="C458" s="5" t="str">
        <f>IFERROR(__xludf.DUMMYFUNCTION("IF(A458="""","""",TEXTJOIN(CHAR(10),TRUE,FILTER('Chi tiết từng link'!$B$2:$B$2505,'Chi tiết từng link'!$D$2:$D$2505=A458)))"),"https://techcombank.com/thong-tin/blog/cach-sao-ke-tai-khoan-ngan-hang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58" s="5" t="str">
        <f t="shared" si="1"/>
        <v>OK</v>
      </c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35" t="str">
        <f>IFERROR(__xludf.DUMMYFUNCTION("""COMPUTED_VALUE"""),"https://techcombank.com/thong-tin/blog/huong-dan-dang-ky-thanh-lap-doanh-nghiep")</f>
        <v>https://techcombank.com/thong-tin/blog/huong-dan-dang-ky-thanh-lap-doanh-nghiep</v>
      </c>
      <c r="B459" s="25">
        <f>IFERROR(__xludf.DUMMYFUNCTION("""COMPUTED_VALUE"""),2.0)</f>
        <v>2</v>
      </c>
      <c r="C459" s="5" t="str">
        <f>IFERROR(__xludf.DUMMYFUNCTION("IF(A459="""","""",TEXTJOIN(CHAR(10),TRUE,FILTER('Chi tiết từng link'!$B$2:$B$2505,'Chi tiết từng link'!$D$2:$D$2505=A459)))"),"https://techcombank.com/thong-tin/blog/thue-doanh-nghiep
https://techcombank.com/thong-tin/blog/mo-hinh-kinh-doanh-la-gi")</f>
        <v>https://techcombank.com/thong-tin/blog/thue-doanh-nghiep
https://techcombank.com/thong-tin/blog/mo-hinh-kinh-doanh-la-gi</v>
      </c>
      <c r="D459" s="5" t="str">
        <f t="shared" si="1"/>
        <v>OK</v>
      </c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35" t="str">
        <f>IFERROR(__xludf.DUMMYFUNCTION("""COMPUTED_VALUE"""),"https://techcombank.com/thong-tin/blog/iban-la-gi")</f>
        <v>https://techcombank.com/thong-tin/blog/iban-la-gi</v>
      </c>
      <c r="B460" s="25">
        <f>IFERROR(__xludf.DUMMYFUNCTION("""COMPUTED_VALUE"""),2.0)</f>
        <v>2</v>
      </c>
      <c r="C460" s="5" t="str">
        <f>IFERROR(__xludf.DUMMYFUNCTION("IF(A460="""","""",TEXTJOIN(CHAR(10),TRUE,FILTER('Chi tiết từng link'!$B$2:$B$2505,'Chi tiết từng link'!$D$2:$D$2505=A460)))"),"https://techcombank.com/thong-tin/blog/chuyen-khoan-thanh-cong-nhung-khong-nhan-duoc-tien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60" s="5" t="str">
        <f t="shared" si="1"/>
        <v>OK</v>
      </c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35" t="str">
        <f>IFERROR(__xludf.DUMMYFUNCTION("""COMPUTED_VALUE"""),"https://techcombank.com/thong-tin/blog/in-ma-qr-ngan-hang")</f>
        <v>https://techcombank.com/thong-tin/blog/in-ma-qr-ngan-hang</v>
      </c>
      <c r="B461" s="25">
        <f>IFERROR(__xludf.DUMMYFUNCTION("""COMPUTED_VALUE"""),2.0)</f>
        <v>2</v>
      </c>
      <c r="C461" s="5" t="str">
        <f>IFERROR(__xludf.DUMMYFUNCTION("IF(A461="""","""",TEXTJOIN(CHAR(10),TRUE,FILTER('Chi tiết từng link'!$B$2:$B$2505,'Chi tiết từng link'!$D$2:$D$2505=A461)))"),"https://techcombank.com/thong-tin/blog/rut-tien-bang-ma-qr-la-gi-cach-thuc-hien-nhu-the-nao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1" s="5" t="str">
        <f t="shared" si="1"/>
        <v>OK</v>
      </c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35" t="str">
        <f>IFERROR(__xludf.DUMMYFUNCTION("""COMPUTED_VALUE"""),"https://techcombank.com/thong-tin/blog/khau-vi-nha-dau-tu-tpdn-thay-doi-the-nao-sau-nhung-bien-dong-vua-qua")</f>
        <v>https://techcombank.com/thong-tin/blog/khau-vi-nha-dau-tu-tpdn-thay-doi-the-nao-sau-nhung-bien-dong-vua-qua</v>
      </c>
      <c r="B462" s="25">
        <f>IFERROR(__xludf.DUMMYFUNCTION("""COMPUTED_VALUE"""),2.0)</f>
        <v>2</v>
      </c>
      <c r="C462" s="5" t="str">
        <f>IFERROR(__xludf.DUMMYFUNCTION("IF(A462="""","""",TEXTJOIN(CHAR(10),TRUE,FILTER('Chi tiết từng link'!$B$2:$B$2505,'Chi tiết từng link'!$D$2:$D$2505=A462)))"),"https://techcombank.com/thong-tin/blog/eco-card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62" s="5" t="str">
        <f t="shared" si="1"/>
        <v>OK</v>
      </c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35" t="str">
        <f>IFERROR(__xludf.DUMMYFUNCTION("""COMPUTED_VALUE"""),"https://techcombank.com/thong-tin/blog/khoi-nghiep-truoc-chinh-sach-thue-moi")</f>
        <v>https://techcombank.com/thong-tin/blog/khoi-nghiep-truoc-chinh-sach-thue-moi</v>
      </c>
      <c r="B463" s="25">
        <f>IFERROR(__xludf.DUMMYFUNCTION("""COMPUTED_VALUE"""),2.0)</f>
        <v>2</v>
      </c>
      <c r="C463" s="5" t="str">
        <f>IFERROR(__xludf.DUMMYFUNCTION("IF(A463="""","""",TEXTJOIN(CHAR(10),TRUE,FILTER('Chi tiết từng link'!$B$2:$B$2505,'Chi tiết từng link'!$D$2:$D$2505=A463)))"),"https://techcombank.com/thong-tin/blog/ho-kinh-doanh-dong-thue-nhu-nao
https://techcombank.com/thong-tin/blog/mo-hinh-kinh-doanh-la-gi")</f>
        <v>https://techcombank.com/thong-tin/blog/ho-kinh-doanh-dong-thue-nhu-nao
https://techcombank.com/thong-tin/blog/mo-hinh-kinh-doanh-la-gi</v>
      </c>
      <c r="D463" s="5" t="str">
        <f t="shared" si="1"/>
        <v>OK</v>
      </c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35" t="str">
        <f>IFERROR(__xludf.DUMMYFUNCTION("""COMPUTED_VALUE"""),"https://techcombank.com/thong-tin/blog/lai-kep-ngan-hang")</f>
        <v>https://techcombank.com/thong-tin/blog/lai-kep-ngan-hang</v>
      </c>
      <c r="B464" s="25">
        <f>IFERROR(__xludf.DUMMYFUNCTION("""COMPUTED_VALUE"""),2.0)</f>
        <v>2</v>
      </c>
      <c r="C464" s="5" t="str">
        <f>IFERROR(__xludf.DUMMYFUNCTION("IF(A464="""","""",TEXTJOIN(CHAR(10),TRUE,FILTER('Chi tiết từng link'!$B$2:$B$2505,'Chi tiết từng link'!$D$2:$D$2505=A464)))"),"https://techcombank.com/thong-tin/blog/cach-tinh-lai-suat-tien-gui-tiet-kiem
https://techcombank.com/cong-cu-tien-ich/cong-cu-tinh-toan/bang-tinh-lai-suat-tiet-kiem")</f>
        <v>https://techcombank.com/thong-tin/blog/cach-tinh-lai-suat-tien-gui-tiet-kiem
https://techcombank.com/cong-cu-tien-ich/cong-cu-tinh-toan/bang-tinh-lai-suat-tiet-kiem</v>
      </c>
      <c r="D464" s="5" t="str">
        <f t="shared" si="1"/>
        <v>OK</v>
      </c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35" t="str">
        <f>IFERROR(__xludf.DUMMYFUNCTION("""COMPUTED_VALUE"""),"https://techcombank.com/thong-tin/blog/lai-suat-chung-chi-tien-gui-cac-ngan-hang")</f>
        <v>https://techcombank.com/thong-tin/blog/lai-suat-chung-chi-tien-gui-cac-ngan-hang</v>
      </c>
      <c r="B465" s="25">
        <f>IFERROR(__xludf.DUMMYFUNCTION("""COMPUTED_VALUE"""),2.0)</f>
        <v>2</v>
      </c>
      <c r="C465" s="5" t="str">
        <f>IFERROR(__xludf.DUMMYFUNCTION("IF(A465="""","""",TEXTJOIN(CHAR(10),TRUE,FILTER('Chi tiết từng link'!$B$2:$B$2505,'Chi tiết từng link'!$D$2:$D$2505=A465)))"),"https://techcombank.com/thong-tin/blog/ngan-hang-uy-tin
https://techcombank.com/thong-tin/blog/chung-chi-tien-gui-la-gi")</f>
        <v>https://techcombank.com/thong-tin/blog/ngan-hang-uy-tin
https://techcombank.com/thong-tin/blog/chung-chi-tien-gui-la-gi</v>
      </c>
      <c r="D465" s="5" t="str">
        <f t="shared" si="1"/>
        <v>OK</v>
      </c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35" t="str">
        <f>IFERROR(__xludf.DUMMYFUNCTION("""COMPUTED_VALUE"""),"https://techcombank.com/thong-tin/blog/lam-ma-qr-ngan-hang-co-mat-phi-khong")</f>
        <v>https://techcombank.com/thong-tin/blog/lam-ma-qr-ngan-hang-co-mat-phi-khong</v>
      </c>
      <c r="B466" s="25">
        <f>IFERROR(__xludf.DUMMYFUNCTION("""COMPUTED_VALUE"""),2.0)</f>
        <v>2</v>
      </c>
      <c r="C466" s="5" t="str">
        <f>IFERROR(__xludf.DUMMYFUNCTION("IF(A466="""","""",TEXTJOIN(CHAR(10),TRUE,FILTER('Chi tiết từng link'!$B$2:$B$2505,'Chi tiết từng link'!$D$2:$D$2505=A466)))"),"https://techcombank.com/thong-tin/blog/rut-tien-bang-ma-qr-la-gi-cach-thuc-hien-nhu-the-nao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66" s="5" t="str">
        <f t="shared" si="1"/>
        <v>OK</v>
      </c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35" t="str">
        <f>IFERROR(__xludf.DUMMYFUNCTION("""COMPUTED_VALUE"""),"https://techcombank.com/thong-tin/blog/lam-the-visa-mat-bao-lau")</f>
        <v>https://techcombank.com/thong-tin/blog/lam-the-visa-mat-bao-lau</v>
      </c>
      <c r="B467" s="25">
        <f>IFERROR(__xludf.DUMMYFUNCTION("""COMPUTED_VALUE"""),2.0)</f>
        <v>2</v>
      </c>
      <c r="C467" s="5" t="str">
        <f>IFERROR(__xludf.DUMMYFUNCTION("IF(A467="""","""",TEXTJOIN(CHAR(10),TRUE,FILTER('Chi tiết từng link'!$B$2:$B$2505,'Chi tiết từng link'!$D$2:$D$2505=A467)))"),"https://techcombank.com/thong-tin/blog/bao-nhieu-tuoi-duoc-mo-tai-khoan-ngan-hang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7" s="5" t="str">
        <f t="shared" si="1"/>
        <v>OK</v>
      </c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35" t="str">
        <f>IFERROR(__xludf.DUMMYFUNCTION("""COMPUTED_VALUE"""),"https://techcombank.com/thong-tin/blog/lam-the-visa-online")</f>
        <v>https://techcombank.com/thong-tin/blog/lam-the-visa-online</v>
      </c>
      <c r="B468" s="25">
        <f>IFERROR(__xludf.DUMMYFUNCTION("""COMPUTED_VALUE"""),2.0)</f>
        <v>2</v>
      </c>
      <c r="C468" s="5" t="str">
        <f>IFERROR(__xludf.DUMMYFUNCTION("IF(A468="""","""",TEXTJOIN(CHAR(10),TRUE,FILTER('Chi tiết từng link'!$B$2:$B$2505,'Chi tiết từng link'!$D$2:$D$2505=A468)))"),"https://techcombank.com/thong-tin/blog/bao-nhieu-tuoi-duoc-mo-tai-khoan-ngan-hang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468" s="5" t="str">
        <f t="shared" si="1"/>
        <v>OK</v>
      </c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35" t="str">
        <f>IFERROR(__xludf.DUMMYFUNCTION("""COMPUTED_VALUE"""),"https://techcombank.com/thong-tin/blog/lap-ke-hoach-chi-tieu-ca-nhan")</f>
        <v>https://techcombank.com/thong-tin/blog/lap-ke-hoach-chi-tieu-ca-nhan</v>
      </c>
      <c r="B469" s="25">
        <f>IFERROR(__xludf.DUMMYFUNCTION("""COMPUTED_VALUE"""),2.0)</f>
        <v>2</v>
      </c>
      <c r="C469" s="5" t="str">
        <f>IFERROR(__xludf.DUMMYFUNCTION("IF(A469="""","""",TEXTJOIN(CHAR(10),TRUE,FILTER('Chi tiết từng link'!$B$2:$B$2505,'Chi tiết từng link'!$D$2:$D$2505=A469)))"),"https://techcombank.com/thong-tin/blog/eco-card
https://techcombank.com/thong-tin/blog/cach-tiet-kiem-tien")</f>
        <v>https://techcombank.com/thong-tin/blog/eco-card
https://techcombank.com/thong-tin/blog/cach-tiet-kiem-tien</v>
      </c>
      <c r="D469" s="5" t="str">
        <f t="shared" si="1"/>
        <v>OK</v>
      </c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35" t="str">
        <f>IFERROR(__xludf.DUMMYFUNCTION("""COMPUTED_VALUE"""),"https://techcombank.com/thong-tin/blog/lap-ke-hoach-tai-chinh-ca-nhan")</f>
        <v>https://techcombank.com/thong-tin/blog/lap-ke-hoach-tai-chinh-ca-nhan</v>
      </c>
      <c r="B470" s="25">
        <f>IFERROR(__xludf.DUMMYFUNCTION("""COMPUTED_VALUE"""),2.0)</f>
        <v>2</v>
      </c>
      <c r="C470" s="5" t="str">
        <f>IFERROR(__xludf.DUMMYFUNCTION("IF(A470="""","""",TEXTJOIN(CHAR(10),TRUE,FILTER('Chi tiết từng link'!$B$2:$B$2505,'Chi tiết từng link'!$D$2:$D$2505=A470)))"),"https://techcombank.com/thong-tin/blog/cach-tiet-kiem-tien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70" s="5" t="str">
        <f t="shared" si="1"/>
        <v>OK</v>
      </c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35" t="str">
        <f>IFERROR(__xludf.DUMMYFUNCTION("""COMPUTED_VALUE"""),"https://techcombank.com/thong-tin/blog/li-xi-so-dep")</f>
        <v>https://techcombank.com/thong-tin/blog/li-xi-so-dep</v>
      </c>
      <c r="B471" s="25">
        <f>IFERROR(__xludf.DUMMYFUNCTION("""COMPUTED_VALUE"""),2.0)</f>
        <v>2</v>
      </c>
      <c r="C471" s="5" t="str">
        <f>IFERROR(__xludf.DUMMYFUNCTION("IF(A471="""","""",TEXTJOIN(CHAR(10),TRUE,FILTER('Chi tiết từng link'!$B$2:$B$2505,'Chi tiết từng link'!$D$2:$D$2505=A471)))"),"https://techcombank.com/thong-tin/blog/bao-nhieu-tuoi-duoc-mo-tai-khoan-ngan-hang
https://techcombank.com/thong-tin/blog/day-so-phat-tai-phat-loc")</f>
        <v>https://techcombank.com/thong-tin/blog/bao-nhieu-tuoi-duoc-mo-tai-khoan-ngan-hang
https://techcombank.com/thong-tin/blog/day-so-phat-tai-phat-loc</v>
      </c>
      <c r="D471" s="5" t="str">
        <f t="shared" si="1"/>
        <v>OK</v>
      </c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35" t="str">
        <f>IFERROR(__xludf.DUMMYFUNCTION("""COMPUTED_VALUE"""),"https://techcombank.com/thong-tin/blog/loi-ich-cua-viec-tiet-kiem-tien")</f>
        <v>https://techcombank.com/thong-tin/blog/loi-ich-cua-viec-tiet-kiem-tien</v>
      </c>
      <c r="B472" s="25">
        <f>IFERROR(__xludf.DUMMYFUNCTION("""COMPUTED_VALUE"""),2.0)</f>
        <v>2</v>
      </c>
      <c r="C472" s="5" t="str">
        <f>IFERROR(__xludf.DUMMYFUNCTION("IF(A472="""","""",TEXTJOIN(CHAR(10),TRUE,FILTER('Chi tiết từng link'!$B$2:$B$2505,'Chi tiết từng link'!$D$2:$D$2505=A472)))"),"https://techcombank.com/thong-tin/blog/cach-sao-ke-tai-khoan-ngan-hang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2" s="5" t="str">
        <f t="shared" si="1"/>
        <v>OK</v>
      </c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35" t="str">
        <f>IFERROR(__xludf.DUMMYFUNCTION("""COMPUTED_VALUE"""),"https://techcombank.com/thong-tin/blog/luong-huu")</f>
        <v>https://techcombank.com/thong-tin/blog/luong-huu</v>
      </c>
      <c r="B473" s="25">
        <f>IFERROR(__xludf.DUMMYFUNCTION("""COMPUTED_VALUE"""),2.0)</f>
        <v>2</v>
      </c>
      <c r="C473" s="5" t="str">
        <f>IFERROR(__xludf.DUMMYFUNCTION("IF(A473="""","""",TEXTJOIN(CHAR(10),TRUE,FILTER('Chi tiết từng link'!$B$2:$B$2505,'Chi tiết từng link'!$D$2:$D$2505=A473)))"),"https://techcombank.com/thong-tin/blog/cach-tinh-thue-thu-nhap-ca-nhan-2025
https://techcombank.com/thong-tin/blog/thue-thu-nhap-ca-nhan")</f>
        <v>https://techcombank.com/thong-tin/blog/cach-tinh-thue-thu-nhap-ca-nhan-2025
https://techcombank.com/thong-tin/blog/thue-thu-nhap-ca-nhan</v>
      </c>
      <c r="D473" s="5" t="str">
        <f t="shared" si="1"/>
        <v>OK</v>
      </c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35" t="str">
        <f>IFERROR(__xludf.DUMMYFUNCTION("""COMPUTED_VALUE"""),"https://techcombank.com/thong-tin/blog/luu-y-khi-chuyen-tien-vao-tai-khoan-cong-ty")</f>
        <v>https://techcombank.com/thong-tin/blog/luu-y-khi-chuyen-tien-vao-tai-khoan-cong-ty</v>
      </c>
      <c r="B474" s="25">
        <f>IFERROR(__xludf.DUMMYFUNCTION("""COMPUTED_VALUE"""),2.0)</f>
        <v>2</v>
      </c>
      <c r="C474" s="5" t="str">
        <f>IFERROR(__xludf.DUMMYFUNCTION("IF(A474="""","""",TEXTJOIN(CHAR(10),TRUE,FILTER('Chi tiết từng link'!$B$2:$B$2505,'Chi tiết từng link'!$D$2:$D$2505=A474)))"),"https://techcombank.com/thong-tin/blog/cong-ty-su-dung-tai-khoan-ca-nhan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474" s="5" t="str">
        <f t="shared" si="1"/>
        <v>OK</v>
      </c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35" t="str">
        <f>IFERROR(__xludf.DUMMYFUNCTION("""COMPUTED_VALUE"""),"https://techcombank.com/thong-tin/blog/ma-giao-dich-la-gi")</f>
        <v>https://techcombank.com/thong-tin/blog/ma-giao-dich-la-gi</v>
      </c>
      <c r="B475" s="25">
        <f>IFERROR(__xludf.DUMMYFUNCTION("""COMPUTED_VALUE"""),2.0)</f>
        <v>2</v>
      </c>
      <c r="C475" s="5" t="str">
        <f>IFERROR(__xludf.DUMMYFUNCTION("IF(A475="""","""",TEXTJOIN(CHAR(10),TRUE,FILTER('Chi tiết từng link'!$B$2:$B$2505,'Chi tiết từng link'!$D$2:$D$2505=A475)))"),"https://techcombank.com/thong-tin/blog/cach-kiem-tra-tai-khoan-ngan-hang
https://techcombank.com/thong-tin/blog/chuyen-khoan-thanh-cong-nhung-khong-nhan-duoc-tien")</f>
        <v>https://techcombank.com/thong-tin/blog/cach-kiem-tra-tai-khoan-ngan-hang
https://techcombank.com/thong-tin/blog/chuyen-khoan-thanh-cong-nhung-khong-nhan-duoc-tien</v>
      </c>
      <c r="D475" s="5" t="str">
        <f t="shared" si="1"/>
        <v>OK</v>
      </c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35" t="str">
        <f>IFERROR(__xludf.DUMMYFUNCTION("""COMPUTED_VALUE"""),"https://techcombank.com/thong-tin/blog/ma-mcc")</f>
        <v>https://techcombank.com/thong-tin/blog/ma-mcc</v>
      </c>
      <c r="B476" s="25">
        <f>IFERROR(__xludf.DUMMYFUNCTION("""COMPUTED_VALUE"""),2.0)</f>
        <v>2</v>
      </c>
      <c r="C476" s="5" t="str">
        <f>IFERROR(__xludf.DUMMYFUNCTION("IF(A476="""","""",TEXTJOIN(CHAR(10),TRUE,FILTER('Chi tiết từng link'!$B$2:$B$2505,'Chi tiết từng link'!$D$2:$D$2505=A476)))"),"https://techcombank.com/thong-tin/blog/cach-sao-ke-tai-khoan-ngan-hang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476" s="5" t="str">
        <f t="shared" si="1"/>
        <v>OK</v>
      </c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35" t="str">
        <f>IFERROR(__xludf.DUMMYFUNCTION("""COMPUTED_VALUE"""),"https://techcombank.com/thong-tin/blog/ma-pin-the-atm")</f>
        <v>https://techcombank.com/thong-tin/blog/ma-pin-the-atm</v>
      </c>
      <c r="B477" s="25">
        <f>IFERROR(__xludf.DUMMYFUNCTION("""COMPUTED_VALUE"""),2.0)</f>
        <v>2</v>
      </c>
      <c r="C477" s="5" t="str">
        <f>IFERROR(__xludf.DUMMYFUNCTION("IF(A477="""","""",TEXTJOIN(CHAR(10),TRUE,FILTER('Chi tiết từng link'!$B$2:$B$2505,'Chi tiết từng link'!$D$2:$D$2505=A477)))"),"https://techcombank.com/thong-tin/blog/nap-tien-vao-tai-khoan-ngan-hang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477" s="5" t="str">
        <f t="shared" si="1"/>
        <v>OK</v>
      </c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35" t="str">
        <f>IFERROR(__xludf.DUMMYFUNCTION("""COMPUTED_VALUE"""),"https://techcombank.com/thong-tin/blog/ma-qr-lam-gia-duoc-khong")</f>
        <v>https://techcombank.com/thong-tin/blog/ma-qr-lam-gia-duoc-khong</v>
      </c>
      <c r="B478" s="25">
        <f>IFERROR(__xludf.DUMMYFUNCTION("""COMPUTED_VALUE"""),2.0)</f>
        <v>2</v>
      </c>
      <c r="C478" s="5" t="str">
        <f>IFERROR(__xludf.DUMMYFUNCTION("IF(A478="""","""",TEXTJOIN(CHAR(10),TRUE,FILTER('Chi tiết từng link'!$B$2:$B$2505,'Chi tiết từng link'!$D$2:$D$2505=A478)))"),"https://techcombank.com/thong-tin/blog/rut-tien-bang-ma-qr-la-gi-cach-thuc-hien-nhu-the-nao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8" s="5" t="str">
        <f t="shared" si="1"/>
        <v>OK</v>
      </c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35" t="str">
        <f>IFERROR(__xludf.DUMMYFUNCTION("""COMPUTED_VALUE"""),"https://techcombank.com/thong-tin/blog/ma-qr-techcombank")</f>
        <v>https://techcombank.com/thong-tin/blog/ma-qr-techcombank</v>
      </c>
      <c r="B479" s="25">
        <f>IFERROR(__xludf.DUMMYFUNCTION("""COMPUTED_VALUE"""),2.0)</f>
        <v>2</v>
      </c>
      <c r="C479" s="5" t="str">
        <f>IFERROR(__xludf.DUMMYFUNCTION("IF(A479="""","""",TEXTJOIN(CHAR(10),TRUE,FILTER('Chi tiết từng link'!$B$2:$B$2505,'Chi tiết từng link'!$D$2:$D$2505=A479)))"),"https://techcombank.com/thong-tin/blog/rut-tien-bang-ma-qr-la-gi-cach-thuc-hien-nhu-the-nao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79" s="5" t="str">
        <f t="shared" si="1"/>
        <v>OK</v>
      </c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35" t="str">
        <f>IFERROR(__xludf.DUMMYFUNCTION("""COMPUTED_VALUE"""),"https://techcombank.com/thong-tin/blog/ma-swift-ngan-hang")</f>
        <v>https://techcombank.com/thong-tin/blog/ma-swift-ngan-hang</v>
      </c>
      <c r="B480" s="25">
        <f>IFERROR(__xludf.DUMMYFUNCTION("""COMPUTED_VALUE"""),2.0)</f>
        <v>2</v>
      </c>
      <c r="C480" s="5" t="str">
        <f>IFERROR(__xludf.DUMMYFUNCTION("IF(A480="""","""",TEXTJOIN(CHAR(10),TRUE,FILTER('Chi tiết từng link'!$B$2:$B$2505,'Chi tiết từng link'!$D$2:$D$2505=A480)))"),"https://techcombank.com/thong-tin/blog/chuyen-khoan-thanh-cong-nhung-khong-nhan-duoc-tien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480" s="5" t="str">
        <f t="shared" si="1"/>
        <v>OK</v>
      </c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35" t="str">
        <f>IFERROR(__xludf.DUMMYFUNCTION("""COMPUTED_VALUE"""),"https://techcombank.com/thong-tin/blog/mat-so-tiet-kiem")</f>
        <v>https://techcombank.com/thong-tin/blog/mat-so-tiet-kiem</v>
      </c>
      <c r="B481" s="25">
        <f>IFERROR(__xludf.DUMMYFUNCTION("""COMPUTED_VALUE"""),2.0)</f>
        <v>2</v>
      </c>
      <c r="C481" s="5" t="str">
        <f>IFERROR(__xludf.DUMMYFUNCTION("IF(A481="""","""",TEXTJOIN(CHAR(10),TRUE,FILTER('Chi tiết từng link'!$B$2:$B$2505,'Chi tiết từng link'!$D$2:$D$2505=A481)))"),"https://techcombank.com/thong-tin/blog/rut-tien-tiet-kiem-truoc-thoi-han
https://techcombank.com/thong-tin/blog/so-tiet-kiem-ngan-hang")</f>
        <v>https://techcombank.com/thong-tin/blog/rut-tien-tiet-kiem-truoc-thoi-han
https://techcombank.com/thong-tin/blog/so-tiet-kiem-ngan-hang</v>
      </c>
      <c r="D481" s="5" t="str">
        <f t="shared" si="1"/>
        <v>OK</v>
      </c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35" t="str">
        <f>IFERROR(__xludf.DUMMYFUNCTION("""COMPUTED_VALUE"""),"https://techcombank.com/thong-tin/blog/mau-mo-tai-khoan-doanh-nghiep-techcombank")</f>
        <v>https://techcombank.com/thong-tin/blog/mau-mo-tai-khoan-doanh-nghiep-techcombank</v>
      </c>
      <c r="B482" s="25">
        <f>IFERROR(__xludf.DUMMYFUNCTION("""COMPUTED_VALUE"""),2.0)</f>
        <v>2</v>
      </c>
      <c r="C482" s="5" t="str">
        <f>IFERROR(__xludf.DUMMYFUNCTION("IF(A482="""","""",TEXTJOIN(CHAR(10),TRUE,FILTER('Chi tiết từng link'!$B$2:$B$2505,'Chi tiết từng link'!$D$2:$D$2505=A482)))"),"https://techcombank.com/thong-tin/blog/cong-ty-su-dung-tai-khoan-ca-nhan
https://techcombank.com/thong-tin/blog/cach-mo-tai-khoan")</f>
        <v>https://techcombank.com/thong-tin/blog/cong-ty-su-dung-tai-khoan-ca-nhan
https://techcombank.com/thong-tin/blog/cach-mo-tai-khoan</v>
      </c>
      <c r="D482" s="5" t="str">
        <f t="shared" si="1"/>
        <v>OK</v>
      </c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35" t="str">
        <f>IFERROR(__xludf.DUMMYFUNCTION("""COMPUTED_VALUE"""),"https://techcombank.com/thong-tin/blog/merchant-la-gi")</f>
        <v>https://techcombank.com/thong-tin/blog/merchant-la-gi</v>
      </c>
      <c r="B483" s="25">
        <f>IFERROR(__xludf.DUMMYFUNCTION("""COMPUTED_VALUE"""),2.0)</f>
        <v>2</v>
      </c>
      <c r="C483" s="5" t="str">
        <f>IFERROR(__xludf.DUMMYFUNCTION("IF(A483="""","""",TEXTJOIN(CHAR(10),TRUE,FILTER('Chi tiết từng link'!$B$2:$B$2505,'Chi tiết từng link'!$D$2:$D$2505=A483)))"),"https://techcombank.com/thong-tin/blog/mo-hinh-kinh-doanh-la-gi
https://techcombank.com/thong-tin/blog/gui-ma-qr-ngan-hang")</f>
        <v>https://techcombank.com/thong-tin/blog/mo-hinh-kinh-doanh-la-gi
https://techcombank.com/thong-tin/blog/gui-ma-qr-ngan-hang</v>
      </c>
      <c r="D483" s="5" t="str">
        <f t="shared" si="1"/>
        <v>OK</v>
      </c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35" t="str">
        <f>IFERROR(__xludf.DUMMYFUNCTION("""COMPUTED_VALUE"""),"https://techcombank.com/thong-tin/blog/mo-tai-khoan-ngan-hang-co-mat-phi-khong")</f>
        <v>https://techcombank.com/thong-tin/blog/mo-tai-khoan-ngan-hang-co-mat-phi-khong</v>
      </c>
      <c r="B484" s="25">
        <f>IFERROR(__xludf.DUMMYFUNCTION("""COMPUTED_VALUE"""),2.0)</f>
        <v>2</v>
      </c>
      <c r="C484" s="5" t="str">
        <f>IFERROR(__xludf.DUMMYFUNCTION("IF(A484="""","""",TEXTJOIN(CHAR(10),TRUE,FILTER('Chi tiết từng link'!$B$2:$B$2505,'Chi tiết từng link'!$D$2:$D$2505=A484)))"),"https://techcombank.com/thong-tin/blog/cach-mo-tai-khoan
https://techcombank.com/thong-tin/blog/chuyen-khoan-thanh-cong-nhung-khong-nhan-duoc-tien")</f>
        <v>https://techcombank.com/thong-tin/blog/cach-mo-tai-khoan
https://techcombank.com/thong-tin/blog/chuyen-khoan-thanh-cong-nhung-khong-nhan-duoc-tien</v>
      </c>
      <c r="D484" s="5" t="str">
        <f t="shared" si="1"/>
        <v>OK</v>
      </c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35" t="str">
        <f>IFERROR(__xludf.DUMMYFUNCTION("""COMPUTED_VALUE"""),"https://techcombank.com/thong-tin/blog/mo-tai-khoan-ngan-hang-duoi-18-tuoi")</f>
        <v>https://techcombank.com/thong-tin/blog/mo-tai-khoan-ngan-hang-duoi-18-tuoi</v>
      </c>
      <c r="B485" s="25">
        <f>IFERROR(__xludf.DUMMYFUNCTION("""COMPUTED_VALUE"""),2.0)</f>
        <v>2</v>
      </c>
      <c r="C485" s="5" t="str">
        <f>IFERROR(__xludf.DUMMYFUNCTION("IF(A485="""","""",TEXTJOIN(CHAR(10),TRUE,FILTER('Chi tiết từng link'!$B$2:$B$2505,'Chi tiết từng link'!$D$2:$D$2505=A485)))"),"https://techcombank.com/thong-tin/blog/cach-mo-tai-khoan
https://techcombank.com/thong-tin/blog/bao-nhieu-tuoi-duoc-mo-tai-khoan-ngan-hang")</f>
        <v>https://techcombank.com/thong-tin/blog/cach-mo-tai-khoan
https://techcombank.com/thong-tin/blog/bao-nhieu-tuoi-duoc-mo-tai-khoan-ngan-hang</v>
      </c>
      <c r="D485" s="5" t="str">
        <f t="shared" si="1"/>
        <v>OK</v>
      </c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35" t="str">
        <f>IFERROR(__xludf.DUMMYFUNCTION("""COMPUTED_VALUE"""),"https://techcombank.com/thong-tin/blog/mo-tai-khoan-ngan-hang-online-co-an-toan-khong")</f>
        <v>https://techcombank.com/thong-tin/blog/mo-tai-khoan-ngan-hang-online-co-an-toan-khong</v>
      </c>
      <c r="B486" s="25">
        <f>IFERROR(__xludf.DUMMYFUNCTION("""COMPUTED_VALUE"""),2.0)</f>
        <v>2</v>
      </c>
      <c r="C486" s="5" t="str">
        <f>IFERROR(__xludf.DUMMYFUNCTION("IF(A486="""","""",TEXTJOIN(CHAR(10),TRUE,FILTER('Chi tiết từng link'!$B$2:$B$2505,'Chi tiết từng link'!$D$2:$D$2505=A486)))"),"https://techcombank.com/thong-tin/blog/cach-mo-tai-khoan
https://techcombank.com/thong-tin/blog/rui-ro-khi-gui-tiet-kiem-online")</f>
        <v>https://techcombank.com/thong-tin/blog/cach-mo-tai-khoan
https://techcombank.com/thong-tin/blog/rui-ro-khi-gui-tiet-kiem-online</v>
      </c>
      <c r="D486" s="5" t="str">
        <f t="shared" si="1"/>
        <v>OK</v>
      </c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35" t="str">
        <f>IFERROR(__xludf.DUMMYFUNCTION("""COMPUTED_VALUE"""),"https://techcombank.com/thong-tin/blog/mo-the-ghi-no")</f>
        <v>https://techcombank.com/thong-tin/blog/mo-the-ghi-no</v>
      </c>
      <c r="B487" s="25">
        <f>IFERROR(__xludf.DUMMYFUNCTION("""COMPUTED_VALUE"""),2.0)</f>
        <v>2</v>
      </c>
      <c r="C487" s="5" t="str">
        <f>IFERROR(__xludf.DUMMYFUNCTION("IF(A487="""","""",TEXTJOIN(CHAR(10),TRUE,FILTER('Chi tiết từng link'!$B$2:$B$2505,'Chi tiết từng link'!$D$2:$D$2505=A487)))"),"https://techcombank.com/thong-tin/blog/eco-card
https://techcombank.com/thong-tin/blog/lam-the-tin-dung")</f>
        <v>https://techcombank.com/thong-tin/blog/eco-card
https://techcombank.com/thong-tin/blog/lam-the-tin-dung</v>
      </c>
      <c r="D487" s="5" t="str">
        <f t="shared" si="1"/>
        <v>OK</v>
      </c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35" t="str">
        <f>IFERROR(__xludf.DUMMYFUNCTION("""COMPUTED_VALUE"""),"https://techcombank.com/thong-tin/blog/mr-eco")</f>
        <v>https://techcombank.com/thong-tin/blog/mr-eco</v>
      </c>
      <c r="B488" s="25">
        <f>IFERROR(__xludf.DUMMYFUNCTION("""COMPUTED_VALUE"""),2.0)</f>
        <v>2</v>
      </c>
      <c r="C488" s="5" t="str">
        <f>IFERROR(__xludf.DUMMYFUNCTION("IF(A488="""","""",TEXTJOIN(CHAR(10),TRUE,FILTER('Chi tiết từng link'!$B$2:$B$2505,'Chi tiết từng link'!$D$2:$D$2505=A488)))"),"https://techcombank.com/thong-tin/blog/eco-card
https://techcombank.com/thong-tin/blog/traveloka-voucher")</f>
        <v>https://techcombank.com/thong-tin/blog/eco-card
https://techcombank.com/thong-tin/blog/traveloka-voucher</v>
      </c>
      <c r="D488" s="5" t="str">
        <f t="shared" si="1"/>
        <v>OK</v>
      </c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35" t="str">
        <f>IFERROR(__xludf.DUMMYFUNCTION("""COMPUTED_VALUE"""),"https://techcombank.com/thong-tin/blog/nap-tien-vao-tai-khoan-ngan-hang")</f>
        <v>https://techcombank.com/thong-tin/blog/nap-tien-vao-tai-khoan-ngan-hang</v>
      </c>
      <c r="B489" s="25">
        <f>IFERROR(__xludf.DUMMYFUNCTION("""COMPUTED_VALUE"""),2.0)</f>
        <v>2</v>
      </c>
      <c r="C489" s="5" t="str">
        <f>IFERROR(__xludf.DUMMYFUNCTION("IF(A489="""","""",TEXTJOIN(CHAR(10),TRUE,FILTER('Chi tiết từng link'!$B$2:$B$2505,'Chi tiết từng link'!$D$2:$D$2505=A489)))"),"https://techcombank.com/thong-tin/blog/cach-mo-tai-khoan
https://techcombank.com/thong-tin/blog/rut-tien-bang-ma-qr-la-gi-cach-thuc-hien-nhu-the-nao")</f>
        <v>https://techcombank.com/thong-tin/blog/cach-mo-tai-khoan
https://techcombank.com/thong-tin/blog/rut-tien-bang-ma-qr-la-gi-cach-thuc-hien-nhu-the-nao</v>
      </c>
      <c r="D489" s="5" t="str">
        <f t="shared" si="1"/>
        <v>OK</v>
      </c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35" t="str">
        <f>IFERROR(__xludf.DUMMYFUNCTION("""COMPUTED_VALUE"""),"https://techcombank.com/thong-tin/blog/nen-mo-tai-khoan-ngan-hang-nao-cho-doanh-nghiep")</f>
        <v>https://techcombank.com/thong-tin/blog/nen-mo-tai-khoan-ngan-hang-nao-cho-doanh-nghiep</v>
      </c>
      <c r="B490" s="25">
        <f>IFERROR(__xludf.DUMMYFUNCTION("""COMPUTED_VALUE"""),2.0)</f>
        <v>2</v>
      </c>
      <c r="C490" s="5" t="str">
        <f>IFERROR(__xludf.DUMMYFUNCTION("IF(A490="""","""",TEXTJOIN(CHAR(10),TRUE,FILTER('Chi tiết từng link'!$B$2:$B$2505,'Chi tiết từng link'!$D$2:$D$2505=A490)))"),"https://techcombank.com/thong-tin/blog/cach-mo-tai-khoan
https://techcombank.com/thong-tin/blog/ngan-hang-uy-tin")</f>
        <v>https://techcombank.com/thong-tin/blog/cach-mo-tai-khoan
https://techcombank.com/thong-tin/blog/ngan-hang-uy-tin</v>
      </c>
      <c r="D490" s="5" t="str">
        <f t="shared" si="1"/>
        <v>OK</v>
      </c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35" t="str">
        <f>IFERROR(__xludf.DUMMYFUNCTION("""COMPUTED_VALUE"""),"https://techcombank.com/thong-tin/blog/nen-vay-tin-chap-o-dau")</f>
        <v>https://techcombank.com/thong-tin/blog/nen-vay-tin-chap-o-dau</v>
      </c>
      <c r="B491" s="25">
        <f>IFERROR(__xludf.DUMMYFUNCTION("""COMPUTED_VALUE"""),2.0)</f>
        <v>2</v>
      </c>
      <c r="C491" s="5" t="str">
        <f>IFERROR(__xludf.DUMMYFUNCTION("IF(A491="""","""",TEXTJOIN(CHAR(10),TRUE,FILTER('Chi tiết từng link'!$B$2:$B$2505,'Chi tiết từng link'!$D$2:$D$2505=A491)))"),"https://techcombank.com/thong-tin/blog/ngan-hang-uy-tin
https://techcombank.com/thong-tin/blog/vay-tin-chap-khong-tra-duoc-co-sao-khong")</f>
        <v>https://techcombank.com/thong-tin/blog/ngan-hang-uy-tin
https://techcombank.com/thong-tin/blog/vay-tin-chap-khong-tra-duoc-co-sao-khong</v>
      </c>
      <c r="D491" s="5" t="str">
        <f t="shared" si="1"/>
        <v>OK</v>
      </c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35" t="str">
        <f>IFERROR(__xludf.DUMMYFUNCTION("""COMPUTED_VALUE"""),"https://techcombank.com/thong-tin/blog/ngan-hang-so-cho-doanh-nghiep")</f>
        <v>https://techcombank.com/thong-tin/blog/ngan-hang-so-cho-doanh-nghiep</v>
      </c>
      <c r="B492" s="25">
        <f>IFERROR(__xludf.DUMMYFUNCTION("""COMPUTED_VALUE"""),2.0)</f>
        <v>2</v>
      </c>
      <c r="C492" s="5" t="str">
        <f>IFERROR(__xludf.DUMMYFUNCTION("IF(A492="""","""",TEXTJOIN(CHAR(10),TRUE,FILTER('Chi tiết từng link'!$B$2:$B$2505,'Chi tiết từng link'!$D$2:$D$2505=A492)))"),"https://techcombank.com/thong-tin/blog/eco-card
https://techcombank.com/thong-tin/blog/cach-tiet-kiem-tien")</f>
        <v>https://techcombank.com/thong-tin/blog/eco-card
https://techcombank.com/thong-tin/blog/cach-tiet-kiem-tien</v>
      </c>
      <c r="D492" s="5" t="str">
        <f t="shared" si="1"/>
        <v>OK</v>
      </c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35" t="str">
        <f>IFERROR(__xludf.DUMMYFUNCTION("""COMPUTED_VALUE"""),"https://techcombank.com/thong-tin/blog/ngan-hang-thu-huong-la-gi")</f>
        <v>https://techcombank.com/thong-tin/blog/ngan-hang-thu-huong-la-gi</v>
      </c>
      <c r="B493" s="25">
        <f>IFERROR(__xludf.DUMMYFUNCTION("""COMPUTED_VALUE"""),2.0)</f>
        <v>2</v>
      </c>
      <c r="C493" s="5" t="str">
        <f>IFERROR(__xludf.DUMMYFUNCTION("IF(A493="""","""",TEXTJOIN(CHAR(10),TRUE,FILTER('Chi tiết từng link'!$B$2:$B$2505,'Chi tiết từng link'!$D$2:$D$2505=A493)))"),"https://techcombank.com/thong-tin/blog/chuyen-khoan-thanh-cong-nhung-khong-nhan-duoc-tien
https://techcombank.com/thong-tin/blog/ten-dang-nhap-tai-khoan-ngan-hang-la-gi")</f>
        <v>https://techcombank.com/thong-tin/blog/chuyen-khoan-thanh-cong-nhung-khong-nhan-duoc-tien
https://techcombank.com/thong-tin/blog/ten-dang-nhap-tai-khoan-ngan-hang-la-gi</v>
      </c>
      <c r="D493" s="5" t="str">
        <f t="shared" si="1"/>
        <v>OK</v>
      </c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35" t="str">
        <f>IFERROR(__xludf.DUMMYFUNCTION("""COMPUTED_VALUE"""),"https://techcombank.com/thong-tin/blog/ngan-hang-xanh")</f>
        <v>https://techcombank.com/thong-tin/blog/ngan-hang-xanh</v>
      </c>
      <c r="B494" s="25">
        <f>IFERROR(__xludf.DUMMYFUNCTION("""COMPUTED_VALUE"""),2.0)</f>
        <v>2</v>
      </c>
      <c r="C494" s="5" t="str">
        <f>IFERROR(__xludf.DUMMYFUNCTION("IF(A494="""","""",TEXTJOIN(CHAR(10),TRUE,FILTER('Chi tiết từng link'!$B$2:$B$2505,'Chi tiết từng link'!$D$2:$D$2505=A494)))"),"https://techcombank.com/thong-tin/blog/eco-card
https://techcombank.com/thong-tin/blog/phuong-phap-dau-tu-chung-chi-quy")</f>
        <v>https://techcombank.com/thong-tin/blog/eco-card
https://techcombank.com/thong-tin/blog/phuong-phap-dau-tu-chung-chi-quy</v>
      </c>
      <c r="D494" s="5" t="str">
        <f t="shared" si="1"/>
        <v>OK</v>
      </c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35" t="str">
        <f>IFERROR(__xludf.DUMMYFUNCTION("""COMPUTED_VALUE"""),"https://techcombank.com/thong-tin/blog/npv-la-gi")</f>
        <v>https://techcombank.com/thong-tin/blog/npv-la-gi</v>
      </c>
      <c r="B495" s="25">
        <f>IFERROR(__xludf.DUMMYFUNCTION("""COMPUTED_VALUE"""),2.0)</f>
        <v>2</v>
      </c>
      <c r="C495" s="5" t="str">
        <f>IFERROR(__xludf.DUMMYFUNCTION("IF(A495="""","""",TEXTJOIN(CHAR(10),TRUE,FILTER('Chi tiết từng link'!$B$2:$B$2505,'Chi tiết từng link'!$D$2:$D$2505=A495)))"),"https://techcombank.com/thong-tin/blog/cach-tiet-kiem-tien
https://techcombank.com/thong-tin/blog/phuong-phap-dau-tu-chung-chi-quy")</f>
        <v>https://techcombank.com/thong-tin/blog/cach-tiet-kiem-tien
https://techcombank.com/thong-tin/blog/phuong-phap-dau-tu-chung-chi-quy</v>
      </c>
      <c r="D495" s="5" t="str">
        <f t="shared" si="1"/>
        <v>OK</v>
      </c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35" t="str">
        <f>IFERROR(__xludf.DUMMYFUNCTION("""COMPUTED_VALUE"""),"https://techcombank.com/thong-tin/blog/phan-bo-tai-san")</f>
        <v>https://techcombank.com/thong-tin/blog/phan-bo-tai-san</v>
      </c>
      <c r="B496" s="25">
        <f>IFERROR(__xludf.DUMMYFUNCTION("""COMPUTED_VALUE"""),2.0)</f>
        <v>2</v>
      </c>
      <c r="C496" s="5" t="str">
        <f>IFERROR(__xludf.DUMMYFUNCTION("IF(A496="""","""",TEXTJOIN(CHAR(10),TRUE,FILTER('Chi tiết từng link'!$B$2:$B$2505,'Chi tiết từng link'!$D$2:$D$2505=A496)))"),"https://techcombank.com/thong-tin/blog/eco-card
https://techcombank.com/thong-tin/blog/rui-ro-khi-gui-tiet-kiem-online")</f>
        <v>https://techcombank.com/thong-tin/blog/eco-card
https://techcombank.com/thong-tin/blog/rui-ro-khi-gui-tiet-kiem-online</v>
      </c>
      <c r="D496" s="5" t="str">
        <f t="shared" si="1"/>
        <v>OK</v>
      </c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35" t="str">
        <f>IFERROR(__xludf.DUMMYFUNCTION("""COMPUTED_VALUE"""),"https://techcombank.com/thong-tin/blog/phi-chuyen-doi-ngoai-te")</f>
        <v>https://techcombank.com/thong-tin/blog/phi-chuyen-doi-ngoai-te</v>
      </c>
      <c r="B497" s="25">
        <f>IFERROR(__xludf.DUMMYFUNCTION("""COMPUTED_VALUE"""),2.0)</f>
        <v>2</v>
      </c>
      <c r="C497" s="5" t="str">
        <f>IFERROR(__xludf.DUMMYFUNCTION("IF(A497="""","""",TEXTJOIN(CHAR(10),TRUE,FILTER('Chi tiết từng link'!$B$2:$B$2505,'Chi tiết từng link'!$D$2:$D$2505=A497)))"),"https://techcombank.com/thong-tin/blog/1-te-bang-bao-nhieu-tien-viet-nam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497" s="5" t="str">
        <f t="shared" si="1"/>
        <v>OK</v>
      </c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35" t="str">
        <f>IFERROR(__xludf.DUMMYFUNCTION("""COMPUTED_VALUE"""),"https://techcombank.com/thong-tin/blog/pos")</f>
        <v>https://techcombank.com/thong-tin/blog/pos</v>
      </c>
      <c r="B498" s="25">
        <f>IFERROR(__xludf.DUMMYFUNCTION("""COMPUTED_VALUE"""),2.0)</f>
        <v>2</v>
      </c>
      <c r="C498" s="5" t="str">
        <f>IFERROR(__xludf.DUMMYFUNCTION("IF(A498="""","""",TEXTJOIN(CHAR(10),TRUE,FILTER('Chi tiết từng link'!$B$2:$B$2505,'Chi tiết từng link'!$D$2:$D$2505=A498)))"),"https://techcombank.com/thong-tin/blog/rut-tien-bang-ma-qr-la-gi-cach-thuc-hien-nhu-the-nao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8" s="5" t="str">
        <f t="shared" si="1"/>
        <v>OK</v>
      </c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35" t="str">
        <f>IFERROR(__xludf.DUMMYFUNCTION("""COMPUTED_VALUE"""),"https://techcombank.com/thong-tin/blog/qr-code-doanh-nghiep")</f>
        <v>https://techcombank.com/thong-tin/blog/qr-code-doanh-nghiep</v>
      </c>
      <c r="B499" s="25">
        <f>IFERROR(__xludf.DUMMYFUNCTION("""COMPUTED_VALUE"""),2.0)</f>
        <v>2</v>
      </c>
      <c r="C499" s="5" t="str">
        <f>IFERROR(__xludf.DUMMYFUNCTION("IF(A499="""","""",TEXTJOIN(CHAR(10),TRUE,FILTER('Chi tiết từng link'!$B$2:$B$2505,'Chi tiết từng link'!$D$2:$D$2505=A499)))"),"https://techcombank.com/thong-tin/blog/rut-tien-bang-ma-qr-la-gi-cach-thuc-hien-nhu-the-nao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499" s="5" t="str">
        <f t="shared" si="1"/>
        <v>OK</v>
      </c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35" t="str">
        <f>IFERROR(__xludf.DUMMYFUNCTION("""COMPUTED_VALUE"""),"https://techcombank.com/thong-tin/blog/qr-code-phuong-thuc-thanh-toan-toi-uu-trong-ky-nguyen-so")</f>
        <v>https://techcombank.com/thong-tin/blog/qr-code-phuong-thuc-thanh-toan-toi-uu-trong-ky-nguyen-so</v>
      </c>
      <c r="B500" s="25">
        <f>IFERROR(__xludf.DUMMYFUNCTION("""COMPUTED_VALUE"""),2.0)</f>
        <v>2</v>
      </c>
      <c r="C500" s="5" t="str">
        <f>IFERROR(__xludf.DUMMYFUNCTION("IF(A500="""","""",TEXTJOIN(CHAR(10),TRUE,FILTER('Chi tiết từng link'!$B$2:$B$2505,'Chi tiết từng link'!$D$2:$D$2505=A500)))"),"https://techcombank.com/thong-tin/blog/rut-tien-bang-ma-qr-la-gi-cach-thuc-hien-nhu-the-nao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0" s="5" t="str">
        <f t="shared" si="1"/>
        <v>OK</v>
      </c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35" t="str">
        <f>IFERROR(__xludf.DUMMYFUNCTION("""COMPUTED_VALUE"""),"https://techcombank.com/thong-tin/blog/qr-dong")</f>
        <v>https://techcombank.com/thong-tin/blog/qr-dong</v>
      </c>
      <c r="B501" s="25">
        <f>IFERROR(__xludf.DUMMYFUNCTION("""COMPUTED_VALUE"""),2.0)</f>
        <v>2</v>
      </c>
      <c r="C501" s="5" t="str">
        <f>IFERROR(__xludf.DUMMYFUNCTION("IF(A501="""","""",TEXTJOIN(CHAR(10),TRUE,FILTER('Chi tiết từng link'!$B$2:$B$2505,'Chi tiết từng link'!$D$2:$D$2505=A501)))"),"https://techcombank.com/thong-tin/blog/rut-tien-bang-ma-qr-la-gi-cach-thuc-hien-nhu-the-nao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1" s="5" t="str">
        <f t="shared" si="1"/>
        <v>OK</v>
      </c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35" t="str">
        <f>IFERROR(__xludf.DUMMYFUNCTION("""COMPUTED_VALUE"""),"https://techcombank.com/thong-tin/blog/quan-ly-tai-chinh-cho-dan-van-phong")</f>
        <v>https://techcombank.com/thong-tin/blog/quan-ly-tai-chinh-cho-dan-van-phong</v>
      </c>
      <c r="B502" s="25">
        <f>IFERROR(__xludf.DUMMYFUNCTION("""COMPUTED_VALUE"""),2.0)</f>
        <v>2</v>
      </c>
      <c r="C502" s="5" t="str">
        <f>IFERROR(__xludf.DUMMYFUNCTION("IF(A502="""","""",TEXTJOIN(CHAR(10),TRUE,FILTER('Chi tiết từng link'!$B$2:$B$2505,'Chi tiết từng link'!$D$2:$D$2505=A502)))"),"https://techcombank.com/thong-tin/blog/chung-chi-tien-gui-la-gi
https://techcombank.com/thong-tin/blog/cach-tiet-kiem-tien")</f>
        <v>https://techcombank.com/thong-tin/blog/chung-chi-tien-gui-la-gi
https://techcombank.com/thong-tin/blog/cach-tiet-kiem-tien</v>
      </c>
      <c r="D502" s="5" t="str">
        <f t="shared" si="1"/>
        <v>OK</v>
      </c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35" t="str">
        <f>IFERROR(__xludf.DUMMYFUNCTION("""COMPUTED_VALUE"""),"https://techcombank.com/thong-tin/blog/quet-ma-qr-techcombank")</f>
        <v>https://techcombank.com/thong-tin/blog/quet-ma-qr-techcombank</v>
      </c>
      <c r="B503" s="25">
        <f>IFERROR(__xludf.DUMMYFUNCTION("""COMPUTED_VALUE"""),2.0)</f>
        <v>2</v>
      </c>
      <c r="C503" s="5" t="str">
        <f>IFERROR(__xludf.DUMMYFUNCTION("IF(A503="""","""",TEXTJOIN(CHAR(10),TRUE,FILTER('Chi tiết từng link'!$B$2:$B$2505,'Chi tiết từng link'!$D$2:$D$2505=A503)))"),"https://techcombank.com/thong-tin/blog/rut-tien-bang-ma-qr-la-gi-cach-thuc-hien-nhu-the-nao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03" s="5" t="str">
        <f t="shared" si="1"/>
        <v>OK</v>
      </c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35" t="str">
        <f>IFERROR(__xludf.DUMMYFUNCTION("""COMPUTED_VALUE"""),"https://techcombank.com/thong-tin/blog/quy-dinh-ve-mua-ban-ngoai-te-cua-doanh-nghiep")</f>
        <v>https://techcombank.com/thong-tin/blog/quy-dinh-ve-mua-ban-ngoai-te-cua-doanh-nghiep</v>
      </c>
      <c r="B504" s="25">
        <f>IFERROR(__xludf.DUMMYFUNCTION("""COMPUTED_VALUE"""),2.0)</f>
        <v>2</v>
      </c>
      <c r="C504" s="5" t="str">
        <f>IFERROR(__xludf.DUMMYFUNCTION("IF(A504="""","""",TEXTJOIN(CHAR(10),TRUE,FILTER('Chi tiết từng link'!$B$2:$B$2505,'Chi tiết từng link'!$D$2:$D$2505=A504)))"),"https://techcombank.com/thong-tin/blog/1-te-bang-bao-nhieu-tien-viet-nam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04" s="5" t="str">
        <f t="shared" si="1"/>
        <v>OK</v>
      </c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35" t="str">
        <f>IFERROR(__xludf.DUMMYFUNCTION("""COMPUTED_VALUE"""),"https://techcombank.com/thong-tin/blog/quy-gia-dinh")</f>
        <v>https://techcombank.com/thong-tin/blog/quy-gia-dinh</v>
      </c>
      <c r="B505" s="25">
        <f>IFERROR(__xludf.DUMMYFUNCTION("""COMPUTED_VALUE"""),2.0)</f>
        <v>2</v>
      </c>
      <c r="C505" s="5" t="str">
        <f>IFERROR(__xludf.DUMMYFUNCTION("IF(A505="""","""",TEXTJOIN(CHAR(10),TRUE,FILTER('Chi tiết từng link'!$B$2:$B$2505,'Chi tiết từng link'!$D$2:$D$2505=A505)))"),"https://techcombank.com/thong-tin/blog/mo-tai-khoan-ngan-hang-duoi-18-tuoi
https://techcombank.com/cong-cu-tien-ich/cong-cu-tinh-toan/bang-tinh-lai-suat-tiet-kiem")</f>
        <v>https://techcombank.com/thong-tin/blog/mo-tai-khoan-ngan-hang-duoi-18-tuoi
https://techcombank.com/cong-cu-tien-ich/cong-cu-tinh-toan/bang-tinh-lai-suat-tiet-kiem</v>
      </c>
      <c r="D505" s="5" t="str">
        <f t="shared" si="1"/>
        <v>OK</v>
      </c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35" t="str">
        <f>IFERROR(__xludf.DUMMYFUNCTION("""COMPUTED_VALUE"""),"https://techcombank.com/thong-tin/blog/remittance-la-gi")</f>
        <v>https://techcombank.com/thong-tin/blog/remittance-la-gi</v>
      </c>
      <c r="B506" s="25">
        <f>IFERROR(__xludf.DUMMYFUNCTION("""COMPUTED_VALUE"""),2.0)</f>
        <v>2</v>
      </c>
      <c r="C506" s="5" t="str">
        <f>IFERROR(__xludf.DUMMYFUNCTION("IF(A506="""","""",TEXTJOIN(CHAR(10),TRUE,FILTER('Chi tiết từng link'!$B$2:$B$2505,'Chi tiết từng link'!$D$2:$D$2505=A506)))"),"https://techcombank.com/thong-tin/blog/chuyen-khoan-thanh-cong-nhung-khong-nhan-duoc-tien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06" s="5" t="str">
        <f t="shared" si="1"/>
        <v>OK</v>
      </c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35" t="str">
        <f>IFERROR(__xludf.DUMMYFUNCTION("""COMPUTED_VALUE"""),"https://techcombank.com/thong-tin/blog/rut-tien-tiet-kiem-truoc-thoi-han")</f>
        <v>https://techcombank.com/thong-tin/blog/rut-tien-tiet-kiem-truoc-thoi-han</v>
      </c>
      <c r="B507" s="25">
        <f>IFERROR(__xludf.DUMMYFUNCTION("""COMPUTED_VALUE"""),2.0)</f>
        <v>2</v>
      </c>
      <c r="C507" s="5" t="str">
        <f>IFERROR(__xludf.DUMMYFUNCTION("IF(A507="""","""",TEXTJOIN(CHAR(10),TRUE,FILTER('Chi tiết từng link'!$B$2:$B$2505,'Chi tiết từng link'!$D$2:$D$2505=A507)))"),"https://techcombank.com/thong-tin/blog/rut-tien-bang-ma-qr-la-gi-cach-thuc-hien-nhu-the-nao
https://techcombank.com/thong-tin/blog/rut-tien-mat-tu-the-tin-dung")</f>
        <v>https://techcombank.com/thong-tin/blog/rut-tien-bang-ma-qr-la-gi-cach-thuc-hien-nhu-the-nao
https://techcombank.com/thong-tin/blog/rut-tien-mat-tu-the-tin-dung</v>
      </c>
      <c r="D507" s="5" t="str">
        <f t="shared" si="1"/>
        <v>OK</v>
      </c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35" t="str">
        <f>IFERROR(__xludf.DUMMYFUNCTION("""COMPUTED_VALUE"""),"https://techcombank.com/thong-tin/blog/sai-lam-ve-tai-chinh-ca-nhan")</f>
        <v>https://techcombank.com/thong-tin/blog/sai-lam-ve-tai-chinh-ca-nhan</v>
      </c>
      <c r="B508" s="25">
        <f>IFERROR(__xludf.DUMMYFUNCTION("""COMPUTED_VALUE"""),2.0)</f>
        <v>2</v>
      </c>
      <c r="C508" s="5" t="str">
        <f>IFERROR(__xludf.DUMMYFUNCTION("IF(A508="""","""",TEXTJOIN(CHAR(10),TRUE,FILTER('Chi tiết từng link'!$B$2:$B$2505,'Chi tiết từng link'!$D$2:$D$2505=A508)))"),"https://techcombank.com/thong-tin/blog/bao-nhieu-tuoi-duoc-mo-tai-khoan-ngan-hang
https://techcombank.com/thong-tin/blog/cach-tiet-kiem-tien")</f>
        <v>https://techcombank.com/thong-tin/blog/bao-nhieu-tuoi-duoc-mo-tai-khoan-ngan-hang
https://techcombank.com/thong-tin/blog/cach-tiet-kiem-tien</v>
      </c>
      <c r="D508" s="5" t="str">
        <f t="shared" si="1"/>
        <v>OK</v>
      </c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35" t="str">
        <f>IFERROR(__xludf.DUMMYFUNCTION("""COMPUTED_VALUE"""),"https://techcombank.com/thong-tin/blog/shang-chi")</f>
        <v>https://techcombank.com/thong-tin/blog/shang-chi</v>
      </c>
      <c r="B509" s="25">
        <f>IFERROR(__xludf.DUMMYFUNCTION("""COMPUTED_VALUE"""),2.0)</f>
        <v>2</v>
      </c>
      <c r="C509" s="5" t="str">
        <f>IFERROR(__xludf.DUMMYFUNCTION("IF(A509="""","""",TEXTJOIN(CHAR(10),TRUE,FILTER('Chi tiết từng link'!$B$2:$B$2505,'Chi tiết từng link'!$D$2:$D$2505=A509)))"),"https://techcombank.com/thong-tin/blog/tien-dai-loan
https://techcombank.com/thong-tin/blog/traveloka-voucher")</f>
        <v>https://techcombank.com/thong-tin/blog/tien-dai-loan
https://techcombank.com/thong-tin/blog/traveloka-voucher</v>
      </c>
      <c r="D509" s="5" t="str">
        <f t="shared" si="1"/>
        <v>OK</v>
      </c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35" t="str">
        <f>IFERROR(__xludf.DUMMYFUNCTION("""COMPUTED_VALUE"""),"https://techcombank.com/thong-tin/blog/sms-banking")</f>
        <v>https://techcombank.com/thong-tin/blog/sms-banking</v>
      </c>
      <c r="B510" s="25">
        <f>IFERROR(__xludf.DUMMYFUNCTION("""COMPUTED_VALUE"""),2.0)</f>
        <v>2</v>
      </c>
      <c r="C510" s="5" t="str">
        <f>IFERROR(__xludf.DUMMYFUNCTION("IF(A510="""","""",TEXTJOIN(CHAR(10),TRUE,FILTER('Chi tiết từng link'!$B$2:$B$2505,'Chi tiết từng link'!$D$2:$D$2505=A510)))"),"https://techcombank.com/thong-tin/blog/cach-kiem-tra-tai-khoan-ngan-hang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0" s="5" t="str">
        <f t="shared" si="1"/>
        <v>OK</v>
      </c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35" t="str">
        <f>IFERROR(__xludf.DUMMYFUNCTION("""COMPUTED_VALUE"""),"https://techcombank.com/thong-tin/blog/so-6868")</f>
        <v>https://techcombank.com/thong-tin/blog/so-6868</v>
      </c>
      <c r="B511" s="25">
        <f>IFERROR(__xludf.DUMMYFUNCTION("""COMPUTED_VALUE"""),2.0)</f>
        <v>2</v>
      </c>
      <c r="C511" s="5" t="str">
        <f>IFERROR(__xludf.DUMMYFUNCTION("IF(A511="""","""",TEXTJOIN(CHAR(10),TRUE,FILTER('Chi tiết từng link'!$B$2:$B$2505,'Chi tiết từng link'!$D$2:$D$2505=A511)))"),"https://techcombank.com/thong-tin/blog/cach-kiem-tra-tai-khoan-ngan-hang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1" s="5" t="str">
        <f t="shared" si="1"/>
        <v>OK</v>
      </c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35" t="str">
        <f>IFERROR(__xludf.DUMMYFUNCTION("""COMPUTED_VALUE"""),"https://techcombank.com/thong-tin/blog/so-8386")</f>
        <v>https://techcombank.com/thong-tin/blog/so-8386</v>
      </c>
      <c r="B512" s="25">
        <f>IFERROR(__xludf.DUMMYFUNCTION("""COMPUTED_VALUE"""),2.0)</f>
        <v>2</v>
      </c>
      <c r="C512" s="5" t="str">
        <f>IFERROR(__xludf.DUMMYFUNCTION("IF(A512="""","""",TEXTJOIN(CHAR(10),TRUE,FILTER('Chi tiết từng link'!$B$2:$B$2505,'Chi tiết từng link'!$D$2:$D$2505=A512)))"),"https://techcombank.com/thong-tin/blog/cach-kiem-tra-tai-khoan-ngan-hang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2" s="5" t="str">
        <f t="shared" si="1"/>
        <v>OK</v>
      </c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35" t="str">
        <f>IFERROR(__xludf.DUMMYFUNCTION("""COMPUTED_VALUE"""),"https://techcombank.com/thong-tin/blog/so-du-kha-dung")</f>
        <v>https://techcombank.com/thong-tin/blog/so-du-kha-dung</v>
      </c>
      <c r="B513" s="25">
        <f>IFERROR(__xludf.DUMMYFUNCTION("""COMPUTED_VALUE"""),2.0)</f>
        <v>2</v>
      </c>
      <c r="C513" s="5" t="str">
        <f>IFERROR(__xludf.DUMMYFUNCTION("IF(A513="""","""",TEXTJOIN(CHAR(10),TRUE,FILTER('Chi tiết từng link'!$B$2:$B$2505,'Chi tiết từng link'!$D$2:$D$2505=A513)))"),"https://techcombank.com/thong-tin/blog/cach-kiem-tra-tai-khoan-ngan-hang
https://techcombank.com/thong-tin/blog/ten-dang-nhap-tai-khoan-ngan-hang-la-gi")</f>
        <v>https://techcombank.com/thong-tin/blog/cach-kiem-tra-tai-khoan-ngan-hang
https://techcombank.com/thong-tin/blog/ten-dang-nhap-tai-khoan-ngan-hang-la-gi</v>
      </c>
      <c r="D513" s="5" t="str">
        <f t="shared" si="1"/>
        <v>OK</v>
      </c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35" t="str">
        <f>IFERROR(__xludf.DUMMYFUNCTION("""COMPUTED_VALUE"""),"https://techcombank.com/thong-tin/blog/so-du-tai-khoan-thanh-toan")</f>
        <v>https://techcombank.com/thong-tin/blog/so-du-tai-khoan-thanh-toan</v>
      </c>
      <c r="B514" s="25">
        <f>IFERROR(__xludf.DUMMYFUNCTION("""COMPUTED_VALUE"""),2.0)</f>
        <v>2</v>
      </c>
      <c r="C514" s="5" t="str">
        <f>IFERROR(__xludf.DUMMYFUNCTION("IF(A514="""","""",TEXTJOIN(CHAR(10),TRUE,FILTER('Chi tiết từng link'!$B$2:$B$2505,'Chi tiết từng link'!$D$2:$D$2505=A514)))"),"https://techcombank.com/thong-tin/blog/cach-kiem-tra-tai-khoan-ngan-hang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4" s="5" t="str">
        <f t="shared" si="1"/>
        <v>OK</v>
      </c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35" t="str">
        <f>IFERROR(__xludf.DUMMYFUNCTION("""COMPUTED_VALUE"""),"https://techcombank.com/thong-tin/blog/so-sanh-ma-qr-va-ma-vach")</f>
        <v>https://techcombank.com/thong-tin/blog/so-sanh-ma-qr-va-ma-vach</v>
      </c>
      <c r="B515" s="25">
        <f>IFERROR(__xludf.DUMMYFUNCTION("""COMPUTED_VALUE"""),2.0)</f>
        <v>2</v>
      </c>
      <c r="C515" s="5" t="str">
        <f>IFERROR(__xludf.DUMMYFUNCTION("IF(A515="""","""",TEXTJOIN(CHAR(10),TRUE,FILTER('Chi tiết từng link'!$B$2:$B$2505,'Chi tiết từng link'!$D$2:$D$2505=A515)))"),"https://techcombank.com/thong-tin/blog/rut-tien-bang-ma-qr-la-gi-cach-thuc-hien-nhu-the-nao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15" s="5" t="str">
        <f t="shared" si="1"/>
        <v>OK</v>
      </c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35" t="str">
        <f>IFERROR(__xludf.DUMMYFUNCTION("""COMPUTED_VALUE"""),"https://techcombank.com/thong-tin/blog/so-tai-khoan-dep")</f>
        <v>https://techcombank.com/thong-tin/blog/so-tai-khoan-dep</v>
      </c>
      <c r="B516" s="25">
        <f>IFERROR(__xludf.DUMMYFUNCTION("""COMPUTED_VALUE"""),2.0)</f>
        <v>2</v>
      </c>
      <c r="C516" s="5" t="str">
        <f>IFERROR(__xludf.DUMMYFUNCTION("IF(A516="""","""",TEXTJOIN(CHAR(10),TRUE,FILTER('Chi tiết từng link'!$B$2:$B$2505,'Chi tiết từng link'!$D$2:$D$2505=A516)))"),"https://techcombank.com/thong-tin/blog/cach-kiem-tra-tai-khoan-ngan-hang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16" s="5" t="str">
        <f t="shared" si="1"/>
        <v>OK</v>
      </c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35" t="str">
        <f>IFERROR(__xludf.DUMMYFUNCTION("""COMPUTED_VALUE"""),"https://techcombank.com/thong-tin/blog/so-tai-khoan-ngan-hang")</f>
        <v>https://techcombank.com/thong-tin/blog/so-tai-khoan-ngan-hang</v>
      </c>
      <c r="B517" s="25">
        <f>IFERROR(__xludf.DUMMYFUNCTION("""COMPUTED_VALUE"""),2.0)</f>
        <v>2</v>
      </c>
      <c r="C517" s="5" t="str">
        <f>IFERROR(__xludf.DUMMYFUNCTION("IF(A517="""","""",TEXTJOIN(CHAR(10),TRUE,FILTER('Chi tiết từng link'!$B$2:$B$2505,'Chi tiết từng link'!$D$2:$D$2505=A517)))"),"https://techcombank.com/thong-tin/blog/cach-kiem-tra-tai-khoan-ngan-hang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7" s="5" t="str">
        <f t="shared" si="1"/>
        <v>OK</v>
      </c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35" t="str">
        <f>IFERROR(__xludf.DUMMYFUNCTION("""COMPUTED_VALUE"""),"https://techcombank.com/thong-tin/blog/so-the-ngan-hang")</f>
        <v>https://techcombank.com/thong-tin/blog/so-the-ngan-hang</v>
      </c>
      <c r="B518" s="25">
        <f>IFERROR(__xludf.DUMMYFUNCTION("""COMPUTED_VALUE"""),2.0)</f>
        <v>2</v>
      </c>
      <c r="C518" s="5" t="str">
        <f>IFERROR(__xludf.DUMMYFUNCTION("IF(A518="""","""",TEXTJOIN(CHAR(10),TRUE,FILTER('Chi tiết từng link'!$B$2:$B$2505,'Chi tiết từng link'!$D$2:$D$2505=A518)))"),"https://techcombank.com/thong-tin/blog/cach-kiem-tra-tai-khoan-ngan-hang
https://techcombank.com/thong-tin/blog/cach-mo-tai-khoan")</f>
        <v>https://techcombank.com/thong-tin/blog/cach-kiem-tra-tai-khoan-ngan-hang
https://techcombank.com/thong-tin/blog/cach-mo-tai-khoan</v>
      </c>
      <c r="D518" s="5" t="str">
        <f t="shared" si="1"/>
        <v>OK</v>
      </c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35" t="str">
        <f>IFERROR(__xludf.DUMMYFUNCTION("""COMPUTED_VALUE"""),"https://techcombank.com/thong-tin/blog/so-tiet-kiem-ngan-hang")</f>
        <v>https://techcombank.com/thong-tin/blog/so-tiet-kiem-ngan-hang</v>
      </c>
      <c r="B519" s="25">
        <f>IFERROR(__xludf.DUMMYFUNCTION("""COMPUTED_VALUE"""),2.0)</f>
        <v>2</v>
      </c>
      <c r="C519" s="5" t="str">
        <f>IFERROR(__xludf.DUMMYFUNCTION("IF(A519="""","""",TEXTJOIN(CHAR(10),TRUE,FILTER('Chi tiết từng link'!$B$2:$B$2505,'Chi tiết từng link'!$D$2:$D$2505=A519)))"),"https://techcombank.com/thong-tin/blog/lai-suat-tiet-kiem
https://techcombank.com/thong-tin/blog/rut-tien-tiet-kiem-truoc-thoi-han")</f>
        <v>https://techcombank.com/thong-tin/blog/lai-suat-tiet-kiem
https://techcombank.com/thong-tin/blog/rut-tien-tiet-kiem-truoc-thoi-han</v>
      </c>
      <c r="D519" s="5" t="str">
        <f t="shared" si="1"/>
        <v>OK</v>
      </c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35" t="str">
        <f>IFERROR(__xludf.DUMMYFUNCTION("""COMPUTED_VALUE"""),"https://techcombank.com/thong-tin/blog/tactical-asset-allocation")</f>
        <v>https://techcombank.com/thong-tin/blog/tactical-asset-allocation</v>
      </c>
      <c r="B520" s="25">
        <f>IFERROR(__xludf.DUMMYFUNCTION("""COMPUTED_VALUE"""),2.0)</f>
        <v>2</v>
      </c>
      <c r="C520" s="5" t="str">
        <f>IFERROR(__xludf.DUMMYFUNCTION("IF(A520="""","""",TEXTJOIN(CHAR(10),TRUE,FILTER('Chi tiết từng link'!$B$2:$B$2505,'Chi tiết từng link'!$D$2:$D$2505=A520)))"),"https://techcombank.com/thong-tin/blog/rui-ro-khi-gui-tiet-kiem-online
https://techcombank.com/thong-tin/blog/phuong-phap-dau-tu-chung-chi-quy")</f>
        <v>https://techcombank.com/thong-tin/blog/rui-ro-khi-gui-tiet-kiem-online
https://techcombank.com/thong-tin/blog/phuong-phap-dau-tu-chung-chi-quy</v>
      </c>
      <c r="D520" s="5" t="str">
        <f t="shared" si="1"/>
        <v>OK</v>
      </c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35" t="str">
        <f>IFERROR(__xludf.DUMMYFUNCTION("""COMPUTED_VALUE"""),"https://techcombank.com/thong-tin/blog/tai-khoan-cong-ty-co-chuyen-online-duoc-khong")</f>
        <v>https://techcombank.com/thong-tin/blog/tai-khoan-cong-ty-co-chuyen-online-duoc-khong</v>
      </c>
      <c r="B521" s="25">
        <f>IFERROR(__xludf.DUMMYFUNCTION("""COMPUTED_VALUE"""),2.0)</f>
        <v>2</v>
      </c>
      <c r="C521" s="5" t="str">
        <f>IFERROR(__xludf.DUMMYFUNCTION("IF(A521="""","""",TEXTJOIN(CHAR(10),TRUE,FILTER('Chi tiết từng link'!$B$2:$B$2505,'Chi tiết từng link'!$D$2:$D$2505=A521)))"),"https://techcombank.com/thong-tin/blog/cong-ty-su-dung-tai-khoan-ca-nhan
https://techcombank.com/thong-tin/blog/chuyen-khoan-thanh-cong-nhung-khong-nhan-duoc-tien")</f>
        <v>https://techcombank.com/thong-tin/blog/cong-ty-su-dung-tai-khoan-ca-nhan
https://techcombank.com/thong-tin/blog/chuyen-khoan-thanh-cong-nhung-khong-nhan-duoc-tien</v>
      </c>
      <c r="D521" s="5" t="str">
        <f t="shared" si="1"/>
        <v>OK</v>
      </c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35" t="str">
        <f>IFERROR(__xludf.DUMMYFUNCTION("""COMPUTED_VALUE"""),"https://techcombank.com/thong-tin/blog/tai-khoan-ngan-hang-bi-khoa")</f>
        <v>https://techcombank.com/thong-tin/blog/tai-khoan-ngan-hang-bi-khoa</v>
      </c>
      <c r="B522" s="25">
        <f>IFERROR(__xludf.DUMMYFUNCTION("""COMPUTED_VALUE"""),2.0)</f>
        <v>2</v>
      </c>
      <c r="C522" s="5" t="str">
        <f>IFERROR(__xludf.DUMMYFUNCTION("IF(A522="""","""",TEXTJOIN(CHAR(10),TRUE,FILTER('Chi tiết từng link'!$B$2:$B$2505,'Chi tiết từng link'!$D$2:$D$2505=A522)))"),"https://techcombank.com/thong-tin/blog/cach-mo-tai-khoan
https://techcombank.com/thong-tin/blog/ten-dang-nhap-tai-khoan-ngan-hang-la-gi")</f>
        <v>https://techcombank.com/thong-tin/blog/cach-mo-tai-khoan
https://techcombank.com/thong-tin/blog/ten-dang-nhap-tai-khoan-ngan-hang-la-gi</v>
      </c>
      <c r="D522" s="5" t="str">
        <f t="shared" si="1"/>
        <v>OK</v>
      </c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35" t="str">
        <f>IFERROR(__xludf.DUMMYFUNCTION("""COMPUTED_VALUE"""),"https://techcombank.com/thong-tin/blog/tai-khoan-ngan-hang-con-0-dong-co-sao-khong")</f>
        <v>https://techcombank.com/thong-tin/blog/tai-khoan-ngan-hang-con-0-dong-co-sao-khong</v>
      </c>
      <c r="B523" s="25">
        <f>IFERROR(__xludf.DUMMYFUNCTION("""COMPUTED_VALUE"""),2.0)</f>
        <v>2</v>
      </c>
      <c r="C523" s="5" t="str">
        <f>IFERROR(__xludf.DUMMYFUNCTION("IF(A523="""","""",TEXTJOIN(CHAR(10),TRUE,FILTER('Chi tiết từng link'!$B$2:$B$2505,'Chi tiết từng link'!$D$2:$D$2505=A523)))"),"https://techcombank.com/thong-tin/blog/cach-mo-tai-khoan
https://techcombank.com/thong-tin/blog/nap-tien-vao-tai-khoan-ngan-hang")</f>
        <v>https://techcombank.com/thong-tin/blog/cach-mo-tai-khoan
https://techcombank.com/thong-tin/blog/nap-tien-vao-tai-khoan-ngan-hang</v>
      </c>
      <c r="D523" s="5" t="str">
        <f t="shared" si="1"/>
        <v>OK</v>
      </c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35" t="str">
        <f>IFERROR(__xludf.DUMMYFUNCTION("""COMPUTED_VALUE"""),"https://techcombank.com/thong-tin/blog/tai-khoan-thanh-toan-la-gi")</f>
        <v>https://techcombank.com/thong-tin/blog/tai-khoan-thanh-toan-la-gi</v>
      </c>
      <c r="B524" s="25">
        <f>IFERROR(__xludf.DUMMYFUNCTION("""COMPUTED_VALUE"""),2.0)</f>
        <v>2</v>
      </c>
      <c r="C524" s="5" t="str">
        <f>IFERROR(__xludf.DUMMYFUNCTION("IF(A524="""","""",TEXTJOIN(CHAR(10),TRUE,FILTER('Chi tiết từng link'!$B$2:$B$2505,'Chi tiết từng link'!$D$2:$D$2505=A524)))"),"https://techcombank.com/thong-tin/blog/cach-mo-tai-khoan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4" s="5" t="str">
        <f t="shared" si="1"/>
        <v>OK</v>
      </c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35" t="str">
        <f>IFERROR(__xludf.DUMMYFUNCTION("""COMPUTED_VALUE"""),"https://techcombank.com/thong-tin/blog/tai-khoan-tiet-kiem")</f>
        <v>https://techcombank.com/thong-tin/blog/tai-khoan-tiet-kiem</v>
      </c>
      <c r="B525" s="25">
        <f>IFERROR(__xludf.DUMMYFUNCTION("""COMPUTED_VALUE"""),2.0)</f>
        <v>2</v>
      </c>
      <c r="C525" s="5" t="str">
        <f>IFERROR(__xludf.DUMMYFUNCTION("IF(A525="""","""",TEXTJOIN(CHAR(10),TRUE,FILTER('Chi tiết từng link'!$B$2:$B$2505,'Chi tiết từng link'!$D$2:$D$2505=A525)))"),"https://techcombank.com/thong-tin/blog/cach-mo-tai-khoan
https://techcombank.com/thong-tin/blog/so-tiet-kiem-ngan-hang")</f>
        <v>https://techcombank.com/thong-tin/blog/cach-mo-tai-khoan
https://techcombank.com/thong-tin/blog/so-tiet-kiem-ngan-hang</v>
      </c>
      <c r="D525" s="5" t="str">
        <f t="shared" si="1"/>
        <v>OK</v>
      </c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35" t="str">
        <f>IFERROR(__xludf.DUMMYFUNCTION("""COMPUTED_VALUE"""),"https://techcombank.com/thong-tin/blog/tao-ma-qr-thanh-toan-cho-cua-hang")</f>
        <v>https://techcombank.com/thong-tin/blog/tao-ma-qr-thanh-toan-cho-cua-hang</v>
      </c>
      <c r="B526" s="25">
        <f>IFERROR(__xludf.DUMMYFUNCTION("""COMPUTED_VALUE"""),2.0)</f>
        <v>2</v>
      </c>
      <c r="C526" s="5" t="str">
        <f>IFERROR(__xludf.DUMMYFUNCTION("IF(A526="""","""",TEXTJOIN(CHAR(10),TRUE,FILTER('Chi tiết từng link'!$B$2:$B$2505,'Chi tiết từng link'!$D$2:$D$2505=A526)))"),"https://techcombank.com/thong-tin/blog/rut-tien-bang-ma-qr-la-gi-cach-thuc-hien-nhu-the-nao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6" s="5" t="str">
        <f t="shared" si="1"/>
        <v>OK</v>
      </c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35" t="str">
        <f>IFERROR(__xludf.DUMMYFUNCTION("""COMPUTED_VALUE"""),"https://techcombank.com/thong-tin/blog/techcombank-oneu")</f>
        <v>https://techcombank.com/thong-tin/blog/techcombank-oneu</v>
      </c>
      <c r="B527" s="25">
        <f>IFERROR(__xludf.DUMMYFUNCTION("""COMPUTED_VALUE"""),2.0)</f>
        <v>2</v>
      </c>
      <c r="C527" s="5" t="str">
        <f>IFERROR(__xludf.DUMMYFUNCTION("IF(A527="""","""",TEXTJOIN(CHAR(10),TRUE,FILTER('Chi tiết từng link'!$B$2:$B$2505,'Chi tiết từng link'!$D$2:$D$2505=A527)))"),"https://techcombank.com/thong-tin/blog/traveloka-voucher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27" s="5" t="str">
        <f t="shared" si="1"/>
        <v>OK</v>
      </c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35" t="str">
        <f>IFERROR(__xludf.DUMMYFUNCTION("""COMPUTED_VALUE"""),"https://techcombank.com/thong-tin/blog/thanh-toan-bang-ma-qr")</f>
        <v>https://techcombank.com/thong-tin/blog/thanh-toan-bang-ma-qr</v>
      </c>
      <c r="B528" s="25">
        <f>IFERROR(__xludf.DUMMYFUNCTION("""COMPUTED_VALUE"""),2.0)</f>
        <v>2</v>
      </c>
      <c r="C528" s="5" t="str">
        <f>IFERROR(__xludf.DUMMYFUNCTION("IF(A528="""","""",TEXTJOIN(CHAR(10),TRUE,FILTER('Chi tiết từng link'!$B$2:$B$2505,'Chi tiết từng link'!$D$2:$D$2505=A528)))"),"https://techcombank.com/thong-tin/blog/rut-tien-bang-ma-qr-la-gi-cach-thuc-hien-nhu-the-nao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28" s="5" t="str">
        <f t="shared" si="1"/>
        <v>OK</v>
      </c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35" t="str">
        <f>IFERROR(__xludf.DUMMYFUNCTION("""COMPUTED_VALUE"""),"https://techcombank.com/thong-tin/blog/thanh-toan-hoc-phi-online")</f>
        <v>https://techcombank.com/thong-tin/blog/thanh-toan-hoc-phi-online</v>
      </c>
      <c r="B529" s="25">
        <f>IFERROR(__xludf.DUMMYFUNCTION("""COMPUTED_VALUE"""),2.0)</f>
        <v>2</v>
      </c>
      <c r="C529" s="5" t="str">
        <f>IFERROR(__xludf.DUMMYFUNCTION("IF(A529="""","""",TEXTJOIN(CHAR(10),TRUE,FILTER('Chi tiết từng link'!$B$2:$B$2505,'Chi tiết từng link'!$D$2:$D$2505=A529)))"),"https://techcombank.com/thong-tin/blog/bao-nhieu-tuoi-duoc-mo-tai-khoan-ngan-hang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29" s="5" t="str">
        <f t="shared" si="1"/>
        <v>OK</v>
      </c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35" t="str">
        <f>IFERROR(__xludf.DUMMYFUNCTION("""COMPUTED_VALUE"""),"https://techcombank.com/thong-tin/blog/thanh-toan-khi-du-lich-thai-lan")</f>
        <v>https://techcombank.com/thong-tin/blog/thanh-toan-khi-du-lich-thai-lan</v>
      </c>
      <c r="B530" s="25">
        <f>IFERROR(__xludf.DUMMYFUNCTION("""COMPUTED_VALUE"""),2.0)</f>
        <v>2</v>
      </c>
      <c r="C530" s="5" t="str">
        <f>IFERROR(__xludf.DUMMYFUNCTION("IF(A530="""","""",TEXTJOIN(CHAR(10),TRUE,FILTER('Chi tiết từng link'!$B$2:$B$2505,'Chi tiết từng link'!$D$2:$D$2505=A530)))"),"https://techcombank.com/thong-tin/blog/tien-thai-lan
https://techcombank.com/thong-tin/blog/traveloka-voucher")</f>
        <v>https://techcombank.com/thong-tin/blog/tien-thai-lan
https://techcombank.com/thong-tin/blog/traveloka-voucher</v>
      </c>
      <c r="D530" s="5" t="str">
        <f t="shared" si="1"/>
        <v>OK</v>
      </c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35" t="str">
        <f>IFERROR(__xludf.DUMMYFUNCTION("""COMPUTED_VALUE"""),"https://techcombank.com/thong-tin/blog/thanh-toan-khi-du-lich-trung-quoc")</f>
        <v>https://techcombank.com/thong-tin/blog/thanh-toan-khi-du-lich-trung-quoc</v>
      </c>
      <c r="B531" s="25">
        <f>IFERROR(__xludf.DUMMYFUNCTION("""COMPUTED_VALUE"""),2.0)</f>
        <v>2</v>
      </c>
      <c r="C531" s="5" t="str">
        <f>IFERROR(__xludf.DUMMYFUNCTION("IF(A531="""","""",TEXTJOIN(CHAR(10),TRUE,FILTER('Chi tiết từng link'!$B$2:$B$2505,'Chi tiết từng link'!$D$2:$D$2505=A531)))"),"https://techcombank.com/thong-tin/blog/1-te-bang-bao-nhieu-tien-viet-nam
https://techcombank.com/thong-tin/blog/traveloka-voucher")</f>
        <v>https://techcombank.com/thong-tin/blog/1-te-bang-bao-nhieu-tien-viet-nam
https://techcombank.com/thong-tin/blog/traveloka-voucher</v>
      </c>
      <c r="D531" s="5" t="str">
        <f t="shared" si="1"/>
        <v>OK</v>
      </c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35" t="str">
        <f>IFERROR(__xludf.DUMMYFUNCTION("""COMPUTED_VALUE"""),"https://techcombank.com/thong-tin/blog/thanh-toan-khoan-vay")</f>
        <v>https://techcombank.com/thong-tin/blog/thanh-toan-khoan-vay</v>
      </c>
      <c r="B532" s="25">
        <f>IFERROR(__xludf.DUMMYFUNCTION("""COMPUTED_VALUE"""),2.0)</f>
        <v>2</v>
      </c>
      <c r="C532" s="5" t="str">
        <f>IFERROR(__xludf.DUMMYFUNCTION("IF(A532="""","""",TEXTJOIN(CHAR(10),TRUE,FILTER('Chi tiết từng link'!$B$2:$B$2505,'Chi tiết từng link'!$D$2:$D$2505=A532)))"),"https://techcombank.com/thong-tin/blog/cach-tinh-lai-vay-ngan-hang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32" s="5" t="str">
        <f t="shared" si="1"/>
        <v>OK</v>
      </c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35" t="str">
        <f>IFERROR(__xludf.DUMMYFUNCTION("""COMPUTED_VALUE"""),"https://techcombank.com/thong-tin/blog/thanh-toan-ma-qr-tro-thanh-phuong-thuc-duoc-ua-chuong-va-trien-khai-manh-me")</f>
        <v>https://techcombank.com/thong-tin/blog/thanh-toan-ma-qr-tro-thanh-phuong-thuc-duoc-ua-chuong-va-trien-khai-manh-me</v>
      </c>
      <c r="B533" s="25">
        <f>IFERROR(__xludf.DUMMYFUNCTION("""COMPUTED_VALUE"""),2.0)</f>
        <v>2</v>
      </c>
      <c r="C533" s="5" t="str">
        <f>IFERROR(__xludf.DUMMYFUNCTION("IF(A533="""","""",TEXTJOIN(CHAR(10),TRUE,FILTER('Chi tiết từng link'!$B$2:$B$2505,'Chi tiết từng link'!$D$2:$D$2505=A533)))"),"https://techcombank.com/thong-tin/blog/rut-tien-bang-ma-qr-la-gi-cach-thuc-hien-nhu-the-nao
https://techcombank.com/thong-tin/blog/gui-ma-qr-ngan-hang")</f>
        <v>https://techcombank.com/thong-tin/blog/rut-tien-bang-ma-qr-la-gi-cach-thuc-hien-nhu-the-nao
https://techcombank.com/thong-tin/blog/gui-ma-qr-ngan-hang</v>
      </c>
      <c r="D533" s="5" t="str">
        <f t="shared" si="1"/>
        <v>OK</v>
      </c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35" t="str">
        <f>IFERROR(__xludf.DUMMYFUNCTION("""COMPUTED_VALUE"""),"https://techcombank.com/thong-tin/blog/thanh-toan-qr-thai-lan")</f>
        <v>https://techcombank.com/thong-tin/blog/thanh-toan-qr-thai-lan</v>
      </c>
      <c r="B534" s="25">
        <f>IFERROR(__xludf.DUMMYFUNCTION("""COMPUTED_VALUE"""),2.0)</f>
        <v>2</v>
      </c>
      <c r="C534" s="5" t="str">
        <f>IFERROR(__xludf.DUMMYFUNCTION("IF(A534="""","""",TEXTJOIN(CHAR(10),TRUE,FILTER('Chi tiết từng link'!$B$2:$B$2505,'Chi tiết từng link'!$D$2:$D$2505=A534)))"),"https://techcombank.com/thong-tin/blog/tien-thai-lan
https://techcombank.com/thong-tin/blog/gui-ma-qr-ngan-hang")</f>
        <v>https://techcombank.com/thong-tin/blog/tien-thai-lan
https://techcombank.com/thong-tin/blog/gui-ma-qr-ngan-hang</v>
      </c>
      <c r="D534" s="5" t="str">
        <f t="shared" si="1"/>
        <v>OK</v>
      </c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35" t="str">
        <f>IFERROR(__xludf.DUMMYFUNCTION("""COMPUTED_VALUE"""),"https://techcombank.com/thong-tin/blog/thanh-toan-ve-may-bay-online")</f>
        <v>https://techcombank.com/thong-tin/blog/thanh-toan-ve-may-bay-online</v>
      </c>
      <c r="B535" s="25">
        <f>IFERROR(__xludf.DUMMYFUNCTION("""COMPUTED_VALUE"""),2.0)</f>
        <v>2</v>
      </c>
      <c r="C535" s="5" t="str">
        <f>IFERROR(__xludf.DUMMYFUNCTION("IF(A535="""","""",TEXTJOIN(CHAR(10),TRUE,FILTER('Chi tiết từng link'!$B$2:$B$2505,'Chi tiết từng link'!$D$2:$D$2505=A535)))"),"https://techcombank.com/thong-tin/blog/ten-dang-nhap-tai-khoan-ngan-hang-la-gi
https://techcombank.com/thong-tin/blog/traveloka-voucher")</f>
        <v>https://techcombank.com/thong-tin/blog/ten-dang-nhap-tai-khoan-ngan-hang-la-gi
https://techcombank.com/thong-tin/blog/traveloka-voucher</v>
      </c>
      <c r="D535" s="5" t="str">
        <f t="shared" si="1"/>
        <v>OK</v>
      </c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35" t="str">
        <f>IFERROR(__xludf.DUMMYFUNCTION("""COMPUTED_VALUE"""),"https://techcombank.com/thong-tin/blog/the-atm-gan-chip")</f>
        <v>https://techcombank.com/thong-tin/blog/the-atm-gan-chip</v>
      </c>
      <c r="B536" s="25">
        <f>IFERROR(__xludf.DUMMYFUNCTION("""COMPUTED_VALUE"""),2.0)</f>
        <v>2</v>
      </c>
      <c r="C536" s="5" t="str">
        <f>IFERROR(__xludf.DUMMYFUNCTION("IF(A536="""","""",TEXTJOIN(CHAR(10),TRUE,FILTER('Chi tiết từng link'!$B$2:$B$2505,'Chi tiết từng link'!$D$2:$D$2505=A536)))"),"https://techcombank.com/thong-tin/blog/nap-tien-vao-tai-khoan-ngan-hang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6" s="5" t="str">
        <f t="shared" si="1"/>
        <v>OK</v>
      </c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35" t="str">
        <f>IFERROR(__xludf.DUMMYFUNCTION("""COMPUTED_VALUE"""),"https://techcombank.com/thong-tin/blog/the-atm-tu")</f>
        <v>https://techcombank.com/thong-tin/blog/the-atm-tu</v>
      </c>
      <c r="B537" s="25">
        <f>IFERROR(__xludf.DUMMYFUNCTION("""COMPUTED_VALUE"""),2.0)</f>
        <v>2</v>
      </c>
      <c r="C537" s="5" t="str">
        <f>IFERROR(__xludf.DUMMYFUNCTION("IF(A537="""","""",TEXTJOIN(CHAR(10),TRUE,FILTER('Chi tiết từng link'!$B$2:$B$2505,'Chi tiết từng link'!$D$2:$D$2505=A537)))"),"https://techcombank.com/thong-tin/blog/nap-tien-vao-tai-khoan-ngan-hang
https://techcombank.com/thong-tin/blog/rut-tien-bang-ma-qr-la-gi-cach-thuc-hien-nhu-the-nao")</f>
        <v>https://techcombank.com/thong-tin/blog/nap-tien-vao-tai-khoan-ngan-hang
https://techcombank.com/thong-tin/blog/rut-tien-bang-ma-qr-la-gi-cach-thuc-hien-nhu-the-nao</v>
      </c>
      <c r="D537" s="5" t="str">
        <f t="shared" si="1"/>
        <v>OK</v>
      </c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35" t="str">
        <f>IFERROR(__xludf.DUMMYFUNCTION("""COMPUTED_VALUE"""),"https://techcombank.com/thong-tin/blog/the-debit")</f>
        <v>https://techcombank.com/thong-tin/blog/the-debit</v>
      </c>
      <c r="B538" s="25">
        <f>IFERROR(__xludf.DUMMYFUNCTION("""COMPUTED_VALUE"""),2.0)</f>
        <v>2</v>
      </c>
      <c r="C538" s="5" t="str">
        <f>IFERROR(__xludf.DUMMYFUNCTION("IF(A538="""","""",TEXTJOIN(CHAR(10),TRUE,FILTER('Chi tiết từng link'!$B$2:$B$2505,'Chi tiết từng link'!$D$2:$D$2505=A538)))"),"https://techcombank.com/thong-tin/blog/cach-sao-ke-tai-khoan-ngan-hang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38" s="5" t="str">
        <f t="shared" si="1"/>
        <v>OK</v>
      </c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35" t="str">
        <f>IFERROR(__xludf.DUMMYFUNCTION("""COMPUTED_VALUE"""),"https://techcombank.com/thong-tin/blog/the-ghi-no-la-gi")</f>
        <v>https://techcombank.com/thong-tin/blog/the-ghi-no-la-gi</v>
      </c>
      <c r="B539" s="25">
        <f>IFERROR(__xludf.DUMMYFUNCTION("""COMPUTED_VALUE"""),2.0)</f>
        <v>2</v>
      </c>
      <c r="C539" s="5" t="str">
        <f>IFERROR(__xludf.DUMMYFUNCTION("IF(A539="""","""",TEXTJOIN(CHAR(10),TRUE,FILTER('Chi tiết từng link'!$B$2:$B$2505,'Chi tiết từng link'!$D$2:$D$2505=A539)))"),"https://techcombank.com/thong-tin/blog/eco-card
https://techcombank.com/thong-tin/blog/lam-the-tin-dung")</f>
        <v>https://techcombank.com/thong-tin/blog/eco-card
https://techcombank.com/thong-tin/blog/lam-the-tin-dung</v>
      </c>
      <c r="D539" s="5" t="str">
        <f t="shared" si="1"/>
        <v>OK</v>
      </c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35" t="str">
        <f>IFERROR(__xludf.DUMMYFUNCTION("""COMPUTED_VALUE"""),"https://techcombank.com/thong-tin/blog/the-ghi-no-noi-dia")</f>
        <v>https://techcombank.com/thong-tin/blog/the-ghi-no-noi-dia</v>
      </c>
      <c r="B540" s="25">
        <f>IFERROR(__xludf.DUMMYFUNCTION("""COMPUTED_VALUE"""),2.0)</f>
        <v>2</v>
      </c>
      <c r="C540" s="5" t="str">
        <f>IFERROR(__xludf.DUMMYFUNCTION("IF(A540="""","""",TEXTJOIN(CHAR(10),TRUE,FILTER('Chi tiết từng link'!$B$2:$B$2505,'Chi tiết từng link'!$D$2:$D$2505=A540)))"),"https://techcombank.com/thong-tin/blog/eco-card
https://techcombank.com/thong-tin/blog/cach-nhan-tien-tu-nuoc-ngoai-ve-viet-nam")</f>
        <v>https://techcombank.com/thong-tin/blog/eco-card
https://techcombank.com/thong-tin/blog/cach-nhan-tien-tu-nuoc-ngoai-ve-viet-nam</v>
      </c>
      <c r="D540" s="5" t="str">
        <f t="shared" si="1"/>
        <v>OK</v>
      </c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35" t="str">
        <f>IFERROR(__xludf.DUMMYFUNCTION("""COMPUTED_VALUE"""),"https://techcombank.com/thong-tin/blog/the-he-ke-can")</f>
        <v>https://techcombank.com/thong-tin/blog/the-he-ke-can</v>
      </c>
      <c r="B541" s="25">
        <f>IFERROR(__xludf.DUMMYFUNCTION("""COMPUTED_VALUE"""),2.0)</f>
        <v>2</v>
      </c>
      <c r="C541" s="5" t="str">
        <f>IFERROR(__xludf.DUMMYFUNCTION("IF(A541="""","""",TEXTJOIN(CHAR(10),TRUE,FILTER('Chi tiết từng link'!$B$2:$B$2505,'Chi tiết từng link'!$D$2:$D$2505=A541)))"),"https://techcombank.com/thong-tin/blog/bao-nhieu-tuoi-duoc-mo-tai-khoan-ngan-hang
https://techcombank.com/thong-tin/blog/mo-tai-khoan-ngan-hang-duoi-18-tuoi")</f>
        <v>https://techcombank.com/thong-tin/blog/bao-nhieu-tuoi-duoc-mo-tai-khoan-ngan-hang
https://techcombank.com/thong-tin/blog/mo-tai-khoan-ngan-hang-duoi-18-tuoi</v>
      </c>
      <c r="D541" s="5" t="str">
        <f t="shared" si="1"/>
        <v>OK</v>
      </c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35" t="str">
        <f>IFERROR(__xludf.DUMMYFUNCTION("""COMPUTED_VALUE"""),"https://techcombank.com/thong-tin/blog/the-mastercard-la-gi")</f>
        <v>https://techcombank.com/thong-tin/blog/the-mastercard-la-gi</v>
      </c>
      <c r="B542" s="25">
        <f>IFERROR(__xludf.DUMMYFUNCTION("""COMPUTED_VALUE"""),2.0)</f>
        <v>2</v>
      </c>
      <c r="C542" s="5" t="str">
        <f>IFERROR(__xludf.DUMMYFUNCTION("IF(A542="""","""",TEXTJOIN(CHAR(10),TRUE,FILTER('Chi tiết từng link'!$B$2:$B$2505,'Chi tiết từng link'!$D$2:$D$2505=A542)))"),"https://techcombank.com/thong-tin/blog/bao-nhieu-tuoi-duoc-mo-tai-khoan-ngan-hang
https://techcombank.com/thong-tin/blog/lam-the-tin-dung")</f>
        <v>https://techcombank.com/thong-tin/blog/bao-nhieu-tuoi-duoc-mo-tai-khoan-ngan-hang
https://techcombank.com/thong-tin/blog/lam-the-tin-dung</v>
      </c>
      <c r="D542" s="5" t="str">
        <f t="shared" si="1"/>
        <v>OK</v>
      </c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35" t="str">
        <f>IFERROR(__xludf.DUMMYFUNCTION("""COMPUTED_VALUE"""),"https://techcombank.com/thong-tin/blog/the-nao-la-tiet-kiem")</f>
        <v>https://techcombank.com/thong-tin/blog/the-nao-la-tiet-kiem</v>
      </c>
      <c r="B543" s="25">
        <f>IFERROR(__xludf.DUMMYFUNCTION("""COMPUTED_VALUE"""),2.0)</f>
        <v>2</v>
      </c>
      <c r="C543" s="5" t="str">
        <f>IFERROR(__xludf.DUMMYFUNCTION("IF(A543="""","""",TEXTJOIN(CHAR(10),TRUE,FILTER('Chi tiết từng link'!$B$2:$B$2505,'Chi tiết từng link'!$D$2:$D$2505=A543)))"),"https://techcombank.com/thong-tin/blog/eco-card
https://techcombank.com/thong-tin/blog/cach-tiet-kiem-tien")</f>
        <v>https://techcombank.com/thong-tin/blog/eco-card
https://techcombank.com/thong-tin/blog/cach-tiet-kiem-tien</v>
      </c>
      <c r="D543" s="5" t="str">
        <f t="shared" si="1"/>
        <v>OK</v>
      </c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35" t="str">
        <f>IFERROR(__xludf.DUMMYFUNCTION("""COMPUTED_VALUE"""),"https://techcombank.com/thong-tin/blog/the-visa-ao-la-gi")</f>
        <v>https://techcombank.com/thong-tin/blog/the-visa-ao-la-gi</v>
      </c>
      <c r="B544" s="25">
        <f>IFERROR(__xludf.DUMMYFUNCTION("""COMPUTED_VALUE"""),2.0)</f>
        <v>2</v>
      </c>
      <c r="C544" s="5" t="str">
        <f>IFERROR(__xludf.DUMMYFUNCTION("IF(A544="""","""",TEXTJOIN(CHAR(10),TRUE,FILTER('Chi tiết từng link'!$B$2:$B$2505,'Chi tiết từng link'!$D$2:$D$2505=A544)))"),"https://techcombank.com/thong-tin/blog/nap-tien-vao-tai-khoan-ngan-hang
https://techcombank.com/thong-tin/blog/lam-the-tin-dung")</f>
        <v>https://techcombank.com/thong-tin/blog/nap-tien-vao-tai-khoan-ngan-hang
https://techcombank.com/thong-tin/blog/lam-the-tin-dung</v>
      </c>
      <c r="D544" s="5" t="str">
        <f t="shared" si="1"/>
        <v>OK</v>
      </c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35" t="str">
        <f>IFERROR(__xludf.DUMMYFUNCTION("""COMPUTED_VALUE"""),"https://techcombank.com/thong-tin/blog/the-visa-co-may-loai")</f>
        <v>https://techcombank.com/thong-tin/blog/the-visa-co-may-loai</v>
      </c>
      <c r="B545" s="25">
        <f>IFERROR(__xludf.DUMMYFUNCTION("""COMPUTED_VALUE"""),2.0)</f>
        <v>2</v>
      </c>
      <c r="C545" s="5" t="str">
        <f>IFERROR(__xludf.DUMMYFUNCTION("IF(A545="""","""",TEXTJOIN(CHAR(10),TRUE,FILTER('Chi tiết từng link'!$B$2:$B$2505,'Chi tiết từng link'!$D$2:$D$2505=A545)))"),"https://techcombank.com/thong-tin/blog/cach-sao-ke-tai-khoan-ngan-hang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45" s="5" t="str">
        <f t="shared" si="1"/>
        <v>OK</v>
      </c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35" t="str">
        <f>IFERROR(__xludf.DUMMYFUNCTION("""COMPUTED_VALUE"""),"https://techcombank.com/thong-tin/blog/thu-tuc-chuyen-tien-ra-nuoc-ngoai")</f>
        <v>https://techcombank.com/thong-tin/blog/thu-tuc-chuyen-tien-ra-nuoc-ngoai</v>
      </c>
      <c r="B546" s="25">
        <f>IFERROR(__xludf.DUMMYFUNCTION("""COMPUTED_VALUE"""),2.0)</f>
        <v>2</v>
      </c>
      <c r="C546" s="5" t="str">
        <f>IFERROR(__xludf.DUMMYFUNCTION("IF(A546="""","""",TEXTJOIN(CHAR(10),TRUE,FILTER('Chi tiết từng link'!$B$2:$B$2505,'Chi tiết từng link'!$D$2:$D$2505=A546)))"),"https://techcombank.com/thong-tin/blog/chuyen-khoan-thanh-cong-nhung-khong-nhan-duoc-tien
https://techcombank.com/thong-tin/blog/cach-nhan-tien-tu-nuoc-ngoai-ve-viet-nam")</f>
        <v>https://techcombank.com/thong-tin/blog/chuyen-khoan-thanh-cong-nhung-khong-nhan-duoc-tien
https://techcombank.com/thong-tin/blog/cach-nhan-tien-tu-nuoc-ngoai-ve-viet-nam</v>
      </c>
      <c r="D546" s="5" t="str">
        <f t="shared" si="1"/>
        <v>OK</v>
      </c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35" t="str">
        <f>IFERROR(__xludf.DUMMYFUNCTION("""COMPUTED_VALUE"""),"https://techcombank.com/thong-tin/blog/thu-tuc-vay-ngan-hang-mua-nha")</f>
        <v>https://techcombank.com/thong-tin/blog/thu-tuc-vay-ngan-hang-mua-nha</v>
      </c>
      <c r="B547" s="25">
        <f>IFERROR(__xludf.DUMMYFUNCTION("""COMPUTED_VALUE"""),2.0)</f>
        <v>2</v>
      </c>
      <c r="C547" s="5" t="str">
        <f>IFERROR(__xludf.DUMMYFUNCTION("IF(A547="""","""",TEXTJOIN(CHAR(10),TRUE,FILTER('Chi tiết từng link'!$B$2:$B$2505,'Chi tiết từng link'!$D$2:$D$2505=A547)))"),"https://techcombank.com/thong-tin/blog/xep-hang-tin-dung
https://techcombank.com/thong-tin/blog/vay-ngan-hang-1-ty-moi-thang-tra-bao-nhieu")</f>
        <v>https://techcombank.com/thong-tin/blog/xep-hang-tin-dung
https://techcombank.com/thong-tin/blog/vay-ngan-hang-1-ty-moi-thang-tra-bao-nhieu</v>
      </c>
      <c r="D547" s="5" t="str">
        <f t="shared" si="1"/>
        <v>OK</v>
      </c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35" t="str">
        <f>IFERROR(__xludf.DUMMYFUNCTION("""COMPUTED_VALUE"""),"https://techcombank.com/thong-tin/blog/thu-tuc-vay-von-ngan-hang-de-xay-nha")</f>
        <v>https://techcombank.com/thong-tin/blog/thu-tuc-vay-von-ngan-hang-de-xay-nha</v>
      </c>
      <c r="B548" s="25">
        <f>IFERROR(__xludf.DUMMYFUNCTION("""COMPUTED_VALUE"""),2.0)</f>
        <v>2</v>
      </c>
      <c r="C548" s="5" t="str">
        <f>IFERROR(__xludf.DUMMYFUNCTION("IF(A548="""","""",TEXTJOIN(CHAR(10),TRUE,FILTER('Chi tiết từng link'!$B$2:$B$2505,'Chi tiết từng link'!$D$2:$D$2505=A548)))"),"https://techcombank.com/thong-tin/blog/cach-tinh-lai-vay-ngan-hang
https://techcombank.com/cong-cu-tien-ich/cong-cu-tinh-toan/bang-tinh-lai-suat-vay")</f>
        <v>https://techcombank.com/thong-tin/blog/cach-tinh-lai-vay-ngan-hang
https://techcombank.com/cong-cu-tien-ich/cong-cu-tinh-toan/bang-tinh-lai-suat-vay</v>
      </c>
      <c r="D548" s="5" t="str">
        <f t="shared" si="1"/>
        <v>OK</v>
      </c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35" t="str">
        <f>IFERROR(__xludf.DUMMYFUNCTION("""COMPUTED_VALUE"""),"https://techcombank.com/thong-tin/blog/thue-doanh-nghiep-2025")</f>
        <v>https://techcombank.com/thong-tin/blog/thue-doanh-nghiep-2025</v>
      </c>
      <c r="B549" s="25">
        <f>IFERROR(__xludf.DUMMYFUNCTION("""COMPUTED_VALUE"""),2.0)</f>
        <v>2</v>
      </c>
      <c r="C549" s="5" t="str">
        <f>IFERROR(__xludf.DUMMYFUNCTION("IF(A549="""","""",TEXTJOIN(CHAR(10),TRUE,FILTER('Chi tiết từng link'!$B$2:$B$2505,'Chi tiết từng link'!$D$2:$D$2505=A549)))"),"https://techcombank.com/thong-tin/blog/thue-doanh-nghiep
https://techcombank.com/thong-tin/blog/ho-kinh-doanh-dong-thue-nhu-nao")</f>
        <v>https://techcombank.com/thong-tin/blog/thue-doanh-nghiep
https://techcombank.com/thong-tin/blog/ho-kinh-doanh-dong-thue-nhu-nao</v>
      </c>
      <c r="D549" s="5" t="str">
        <f t="shared" si="1"/>
        <v>OK</v>
      </c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35" t="str">
        <f>IFERROR(__xludf.DUMMYFUNCTION("""COMPUTED_VALUE"""),"https://techcombank.com/thong-tin/blog/tich-diem-doi-qua")</f>
        <v>https://techcombank.com/thong-tin/blog/tich-diem-doi-qua</v>
      </c>
      <c r="B550" s="25">
        <f>IFERROR(__xludf.DUMMYFUNCTION("""COMPUTED_VALUE"""),2.0)</f>
        <v>2</v>
      </c>
      <c r="C550" s="5" t="str">
        <f>IFERROR(__xludf.DUMMYFUNCTION("IF(A550="""","""",TEXTJOIN(CHAR(10),TRUE,FILTER('Chi tiết từng link'!$B$2:$B$2505,'Chi tiết từng link'!$D$2:$D$2505=A550)))"),"https://techcombank.com/thong-tin/blog/traveloka-voucher
https://techcombank.com/cong-cu-tien-ich/cong-cu-tinh-toan/bang-tinh-lai-suat-tiet-kiem")</f>
        <v>https://techcombank.com/thong-tin/blog/traveloka-voucher
https://techcombank.com/cong-cu-tien-ich/cong-cu-tinh-toan/bang-tinh-lai-suat-tiet-kiem</v>
      </c>
      <c r="D550" s="5" t="str">
        <f t="shared" si="1"/>
        <v>OK</v>
      </c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35" t="str">
        <f>IFERROR(__xludf.DUMMYFUNCTION("""COMPUTED_VALUE"""),"https://techcombank.com/thong-tin/blog/tien-dai-loan")</f>
        <v>https://techcombank.com/thong-tin/blog/tien-dai-loan</v>
      </c>
      <c r="B551" s="25">
        <f>IFERROR(__xludf.DUMMYFUNCTION("""COMPUTED_VALUE"""),2.0)</f>
        <v>2</v>
      </c>
      <c r="C551" s="5" t="str">
        <f>IFERROR(__xludf.DUMMYFUNCTION("IF(A551="""","""",TEXTJOIN(CHAR(10),TRUE,FILTER('Chi tiết từng link'!$B$2:$B$2505,'Chi tiết từng link'!$D$2:$D$2505=A551)))"),"https://techcombank.com/thong-tin/blog/1-te-bang-bao-nhieu-tien-viet-nam
https://techcombank.com/thong-tin/blog/doi-tien-do-o-dau")</f>
        <v>https://techcombank.com/thong-tin/blog/1-te-bang-bao-nhieu-tien-viet-nam
https://techcombank.com/thong-tin/blog/doi-tien-do-o-dau</v>
      </c>
      <c r="D551" s="5" t="str">
        <f t="shared" si="1"/>
        <v>OK</v>
      </c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35" t="str">
        <f>IFERROR(__xludf.DUMMYFUNCTION("""COMPUTED_VALUE"""),"https://techcombank.com/thong-tin/blog/tien-indonesia")</f>
        <v>https://techcombank.com/thong-tin/blog/tien-indonesia</v>
      </c>
      <c r="B552" s="25">
        <f>IFERROR(__xludf.DUMMYFUNCTION("""COMPUTED_VALUE"""),2.0)</f>
        <v>2</v>
      </c>
      <c r="C552" s="5" t="str">
        <f>IFERROR(__xludf.DUMMYFUNCTION("IF(A552="""","""",TEXTJOIN(CHAR(10),TRUE,FILTER('Chi tiết từng link'!$B$2:$B$2505,'Chi tiết từng link'!$D$2:$D$2505=A552)))"),"https://techcombank.com/thong-tin/blog/doi-tien-do-o-dau
https://techcombank.com/thong-tin/blog/traveloka-voucher")</f>
        <v>https://techcombank.com/thong-tin/blog/doi-tien-do-o-dau
https://techcombank.com/thong-tin/blog/traveloka-voucher</v>
      </c>
      <c r="D552" s="5" t="str">
        <f t="shared" si="1"/>
        <v>OK</v>
      </c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35" t="str">
        <f>IFERROR(__xludf.DUMMYFUNCTION("""COMPUTED_VALUE"""),"https://techcombank.com/thong-tin/blog/tien-lao")</f>
        <v>https://techcombank.com/thong-tin/blog/tien-lao</v>
      </c>
      <c r="B553" s="25">
        <f>IFERROR(__xludf.DUMMYFUNCTION("""COMPUTED_VALUE"""),2.0)</f>
        <v>2</v>
      </c>
      <c r="C553" s="5" t="str">
        <f>IFERROR(__xludf.DUMMYFUNCTION("IF(A553="""","""",TEXTJOIN(CHAR(10),TRUE,FILTER('Chi tiết từng link'!$B$2:$B$2505,'Chi tiết từng link'!$D$2:$D$2505=A553)))"),"https://techcombank.com/thong-tin/blog/chuyen-khoan-thanh-cong-nhung-khong-nhan-duoc-tien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3" s="5" t="str">
        <f t="shared" si="1"/>
        <v>OK</v>
      </c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35" t="str">
        <f>IFERROR(__xludf.DUMMYFUNCTION("""COMPUTED_VALUE"""),"https://techcombank.com/thong-tin/blog/tien-thai-lan")</f>
        <v>https://techcombank.com/thong-tin/blog/tien-thai-lan</v>
      </c>
      <c r="B554" s="25">
        <f>IFERROR(__xludf.DUMMYFUNCTION("""COMPUTED_VALUE"""),2.0)</f>
        <v>2</v>
      </c>
      <c r="C554" s="5" t="str">
        <f>IFERROR(__xludf.DUMMYFUNCTION("IF(A554="""","""",TEXTJOIN(CHAR(10),TRUE,FILTER('Chi tiết từng link'!$B$2:$B$2505,'Chi tiết từng link'!$D$2:$D$2505=A554)))"),"https://techcombank.com/thong-tin/blog/chuyen-khoan-thanh-cong-nhung-khong-nhan-duoc-tien
https://techcombank.com/thong-tin/blog/doi-tien-do-o-dau")</f>
        <v>https://techcombank.com/thong-tin/blog/chuyen-khoan-thanh-cong-nhung-khong-nhan-duoc-tien
https://techcombank.com/thong-tin/blog/doi-tien-do-o-dau</v>
      </c>
      <c r="D554" s="5" t="str">
        <f t="shared" si="1"/>
        <v>OK</v>
      </c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35" t="str">
        <f>IFERROR(__xludf.DUMMYFUNCTION("""COMPUTED_VALUE"""),"https://techcombank.com/thong-tin/blog/tieu-dung-ben-vung")</f>
        <v>https://techcombank.com/thong-tin/blog/tieu-dung-ben-vung</v>
      </c>
      <c r="B555" s="25">
        <f>IFERROR(__xludf.DUMMYFUNCTION("""COMPUTED_VALUE"""),2.0)</f>
        <v>2</v>
      </c>
      <c r="C555" s="5" t="str">
        <f>IFERROR(__xludf.DUMMYFUNCTION("IF(A555="""","""",TEXTJOIN(CHAR(10),TRUE,FILTER('Chi tiết từng link'!$B$2:$B$2505,'Chi tiết từng link'!$D$2:$D$2505=A555)))"),"https://techcombank.com/thong-tin/blog/eco-card
https://techcombank.com/thong-tin/blog/mo-hinh-kinh-doanh-la-gi")</f>
        <v>https://techcombank.com/thong-tin/blog/eco-card
https://techcombank.com/thong-tin/blog/mo-hinh-kinh-doanh-la-gi</v>
      </c>
      <c r="D555" s="5" t="str">
        <f t="shared" si="1"/>
        <v>OK</v>
      </c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35" t="str">
        <f>IFERROR(__xludf.DUMMYFUNCTION("""COMPUTED_VALUE"""),"https://techcombank.com/thong-tin/blog/tin-chap-doanh-nghiep")</f>
        <v>https://techcombank.com/thong-tin/blog/tin-chap-doanh-nghiep</v>
      </c>
      <c r="B556" s="25">
        <f>IFERROR(__xludf.DUMMYFUNCTION("""COMPUTED_VALUE"""),2.0)</f>
        <v>2</v>
      </c>
      <c r="C556" s="5" t="str">
        <f>IFERROR(__xludf.DUMMYFUNCTION("IF(A556="""","""",TEXTJOIN(CHAR(10),TRUE,FILTER('Chi tiết từng link'!$B$2:$B$2505,'Chi tiết từng link'!$D$2:$D$2505=A556)))"),"https://techcombank.com/thong-tin/blog/nen-vay-tin-chap-o-dau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56" s="5" t="str">
        <f t="shared" si="1"/>
        <v>OK</v>
      </c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35" t="str">
        <f>IFERROR(__xludf.DUMMYFUNCTION("""COMPUTED_VALUE"""),"https://techcombank.com/thong-tin/blog/tra-cuu-hoa-don-tien-dien")</f>
        <v>https://techcombank.com/thong-tin/blog/tra-cuu-hoa-don-tien-dien</v>
      </c>
      <c r="B557" s="25">
        <f>IFERROR(__xludf.DUMMYFUNCTION("""COMPUTED_VALUE"""),2.0)</f>
        <v>2</v>
      </c>
      <c r="C557" s="5" t="str">
        <f>IFERROR(__xludf.DUMMYFUNCTION("IF(A557="""","""",TEXTJOIN(CHAR(10),TRUE,FILTER('Chi tiết từng link'!$B$2:$B$2505,'Chi tiết từng link'!$D$2:$D$2505=A557)))"),"https://techcombank.com/thong-tin/blog/thue-vat-la-gi
https://techcombank.com/thong-tin/blog/cach-tinh-tien-dien-sinh-hoat")</f>
        <v>https://techcombank.com/thong-tin/blog/thue-vat-la-gi
https://techcombank.com/thong-tin/blog/cach-tinh-tien-dien-sinh-hoat</v>
      </c>
      <c r="D557" s="5" t="str">
        <f t="shared" si="1"/>
        <v>OK</v>
      </c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35" t="str">
        <f>IFERROR(__xludf.DUMMYFUNCTION("""COMPUTED_VALUE"""),"https://techcombank.com/thong-tin/blog/ung-dung-cong-nghe")</f>
        <v>https://techcombank.com/thong-tin/blog/ung-dung-cong-nghe</v>
      </c>
      <c r="B558" s="25">
        <f>IFERROR(__xludf.DUMMYFUNCTION("""COMPUTED_VALUE"""),2.0)</f>
        <v>2</v>
      </c>
      <c r="C558" s="5" t="str">
        <f>IFERROR(__xludf.DUMMYFUNCTION("IF(A558="""","""",TEXTJOIN(CHAR(10),TRUE,FILTER('Chi tiết từng link'!$B$2:$B$2505,'Chi tiết từng link'!$D$2:$D$2505=A558)))"),"https://techcombank.com/thong-tin/blog/cach-sao-ke-tai-khoan-ngan-hang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58" s="5" t="str">
        <f t="shared" si="1"/>
        <v>OK</v>
      </c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35" t="str">
        <f>IFERROR(__xludf.DUMMYFUNCTION("""COMPUTED_VALUE"""),"https://techcombank.com/thong-tin/blog/vay-50-trieu")</f>
        <v>https://techcombank.com/thong-tin/blog/vay-50-trieu</v>
      </c>
      <c r="B559" s="25">
        <f>IFERROR(__xludf.DUMMYFUNCTION("""COMPUTED_VALUE"""),2.0)</f>
        <v>2</v>
      </c>
      <c r="C559" s="5" t="str">
        <f>IFERROR(__xludf.DUMMYFUNCTION("IF(A559="""","""",TEXTJOIN(CHAR(10),TRUE,FILTER('Chi tiết từng link'!$B$2:$B$2505,'Chi tiết từng link'!$D$2:$D$2505=A559)))"),"https://techcombank.com/thong-tin/blog/cach-quet-nfc-cccd-tren-iphone
https://techcombank.com/thong-tin/blog/app-vay-tien-nhanh")</f>
        <v>https://techcombank.com/thong-tin/blog/cach-quet-nfc-cccd-tren-iphone
https://techcombank.com/thong-tin/blog/app-vay-tien-nhanh</v>
      </c>
      <c r="D559" s="5" t="str">
        <f t="shared" si="1"/>
        <v>OK</v>
      </c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35" t="str">
        <f>IFERROR(__xludf.DUMMYFUNCTION("""COMPUTED_VALUE"""),"https://techcombank.com/thong-tin/blog/vay-kinh-doanh-online")</f>
        <v>https://techcombank.com/thong-tin/blog/vay-kinh-doanh-online</v>
      </c>
      <c r="B560" s="25">
        <f>IFERROR(__xludf.DUMMYFUNCTION("""COMPUTED_VALUE"""),2.0)</f>
        <v>2</v>
      </c>
      <c r="C560" s="5" t="str">
        <f>IFERROR(__xludf.DUMMYFUNCTION("IF(A560="""","""",TEXTJOIN(CHAR(10),TRUE,FILTER('Chi tiết từng link'!$B$2:$B$2505,'Chi tiết từng link'!$D$2:$D$2505=A560)))"),"https://techcombank.com/thong-tin/blog/mo-hinh-kinh-doanh-la-gi
https://techcombank.com/thong-tin/blog/app-vay-tien-nhanh")</f>
        <v>https://techcombank.com/thong-tin/blog/mo-hinh-kinh-doanh-la-gi
https://techcombank.com/thong-tin/blog/app-vay-tien-nhanh</v>
      </c>
      <c r="D560" s="5" t="str">
        <f t="shared" si="1"/>
        <v>OK</v>
      </c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35" t="str">
        <f>IFERROR(__xludf.DUMMYFUNCTION("""COMPUTED_VALUE"""),"https://techcombank.com/thong-tin/blog/vay-ngan-han")</f>
        <v>https://techcombank.com/thong-tin/blog/vay-ngan-han</v>
      </c>
      <c r="B561" s="25">
        <f>IFERROR(__xludf.DUMMYFUNCTION("""COMPUTED_VALUE"""),2.0)</f>
        <v>2</v>
      </c>
      <c r="C561" s="5" t="str">
        <f>IFERROR(__xludf.DUMMYFUNCTION("IF(A561="""","""",TEXTJOIN(CHAR(10),TRUE,FILTER('Chi tiết từng link'!$B$2:$B$2505,'Chi tiết từng link'!$D$2:$D$2505=A561)))"),"https://techcombank.com/thong-tin/blog/lai-suat-vay-the-chap-so-do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1" s="5" t="str">
        <f t="shared" si="1"/>
        <v>OK</v>
      </c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35" t="str">
        <f>IFERROR(__xludf.DUMMYFUNCTION("""COMPUTED_VALUE"""),"https://techcombank.com/thong-tin/blog/vay-sinh-vien")</f>
        <v>https://techcombank.com/thong-tin/blog/vay-sinh-vien</v>
      </c>
      <c r="B562" s="25">
        <f>IFERROR(__xludf.DUMMYFUNCTION("""COMPUTED_VALUE"""),2.0)</f>
        <v>2</v>
      </c>
      <c r="C562" s="5" t="str">
        <f>IFERROR(__xludf.DUMMYFUNCTION("IF(A562="""","""",TEXTJOIN(CHAR(10),TRUE,FILTER('Chi tiết từng link'!$B$2:$B$2505,'Chi tiết từng link'!$D$2:$D$2505=A562)))"),"https://techcombank.com/thong-tin/blog/ngan-hang-uy-tin
https://techcombank.com/thong-tin/blog/bao-nhieu-tuoi-duoc-mo-tai-khoan-ngan-hang")</f>
        <v>https://techcombank.com/thong-tin/blog/ngan-hang-uy-tin
https://techcombank.com/thong-tin/blog/bao-nhieu-tuoi-duoc-mo-tai-khoan-ngan-hang</v>
      </c>
      <c r="D562" s="5" t="str">
        <f t="shared" si="1"/>
        <v>OK</v>
      </c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35" t="str">
        <f>IFERROR(__xludf.DUMMYFUNCTION("""COMPUTED_VALUE"""),"https://techcombank.com/thong-tin/blog/vay-tin-chap-cho-doanh-nghiep-moi-thanh-lap")</f>
        <v>https://techcombank.com/thong-tin/blog/vay-tin-chap-cho-doanh-nghiep-moi-thanh-lap</v>
      </c>
      <c r="B563" s="25">
        <f>IFERROR(__xludf.DUMMYFUNCTION("""COMPUTED_VALUE"""),2.0)</f>
        <v>2</v>
      </c>
      <c r="C563" s="5" t="str">
        <f>IFERROR(__xludf.DUMMYFUNCTION("IF(A563="""","""",TEXTJOIN(CHAR(10),TRUE,FILTER('Chi tiết từng link'!$B$2:$B$2505,'Chi tiết từng link'!$D$2:$D$2505=A563)))"),"https://techcombank.com/thong-tin/blog/nen-vay-tin-chap-o-dau
https://techcombank.com/thong-tin/blog/vay-tin-chap-khong-tra-duoc-co-sao-khong")</f>
        <v>https://techcombank.com/thong-tin/blog/nen-vay-tin-chap-o-dau
https://techcombank.com/thong-tin/blog/vay-tin-chap-khong-tra-duoc-co-sao-khong</v>
      </c>
      <c r="D563" s="5" t="str">
        <f t="shared" si="1"/>
        <v>OK</v>
      </c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35" t="str">
        <f>IFERROR(__xludf.DUMMYFUNCTION("""COMPUTED_VALUE"""),"https://techcombank.com/thong-tin/blog/vay-tin-chap-khong-tra-duoc-co-sao-khong")</f>
        <v>https://techcombank.com/thong-tin/blog/vay-tin-chap-khong-tra-duoc-co-sao-khong</v>
      </c>
      <c r="B564" s="25">
        <f>IFERROR(__xludf.DUMMYFUNCTION("""COMPUTED_VALUE"""),2.0)</f>
        <v>2</v>
      </c>
      <c r="C564" s="5" t="str">
        <f>IFERROR(__xludf.DUMMYFUNCTION("IF(A564="""","""",TEXTJOIN(CHAR(10),TRUE,FILTER('Chi tiết từng link'!$B$2:$B$2505,'Chi tiết từng link'!$D$2:$D$2505=A564)))"),"https://techcombank.com/thong-tin/blog/rui-ro-khi-gui-tiet-kiem-online
https://techcombank.com/thong-tin/blog/nen-vay-tin-chap-o-dau")</f>
        <v>https://techcombank.com/thong-tin/blog/rui-ro-khi-gui-tiet-kiem-online
https://techcombank.com/thong-tin/blog/nen-vay-tin-chap-o-dau</v>
      </c>
      <c r="D564" s="5" t="str">
        <f t="shared" si="1"/>
        <v>OK</v>
      </c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35" t="str">
        <f>IFERROR(__xludf.DUMMYFUNCTION("""COMPUTED_VALUE"""),"https://techcombank.com/thong-tin/blog/vay-von-doanh-nghiep-khong-the-chap")</f>
        <v>https://techcombank.com/thong-tin/blog/vay-von-doanh-nghiep-khong-the-chap</v>
      </c>
      <c r="B565" s="25">
        <f>IFERROR(__xludf.DUMMYFUNCTION("""COMPUTED_VALUE"""),2.0)</f>
        <v>2</v>
      </c>
      <c r="C565" s="5" t="str">
        <f>IFERROR(__xludf.DUMMYFUNCTION("IF(A565="""","""",TEXTJOIN(CHAR(10),TRUE,FILTER('Chi tiết từng link'!$B$2:$B$2505,'Chi tiết từng link'!$D$2:$D$2505=A565)))"),"https://techcombank.com/thong-tin/blog/lai-suat-vay-the-chap-so-do
https://techcombank.com/thong-tin/blog/ho-so-thu-tuc-xoa-the-chap")</f>
        <v>https://techcombank.com/thong-tin/blog/lai-suat-vay-the-chap-so-do
https://techcombank.com/thong-tin/blog/ho-so-thu-tuc-xoa-the-chap</v>
      </c>
      <c r="D565" s="5" t="str">
        <f t="shared" si="1"/>
        <v>OK</v>
      </c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35" t="str">
        <f>IFERROR(__xludf.DUMMYFUNCTION("""COMPUTED_VALUE"""),"https://techcombank.com/thong-tin/blog/vi-dien-tu")</f>
        <v>https://techcombank.com/thong-tin/blog/vi-dien-tu</v>
      </c>
      <c r="B566" s="25">
        <f>IFERROR(__xludf.DUMMYFUNCTION("""COMPUTED_VALUE"""),2.0)</f>
        <v>2</v>
      </c>
      <c r="C566" s="5" t="str">
        <f>IFERROR(__xludf.DUMMYFUNCTION("IF(A566="""","""",TEXTJOIN(CHAR(10),TRUE,FILTER('Chi tiết từng link'!$B$2:$B$2505,'Chi tiết từng link'!$D$2:$D$2505=A566)))"),"https://techcombank.com/thong-tin/blog/rut-tien-mat-tu-the-tin-dung
https://techcombank.com/thong-tin/blog/cach-tiet-kiem-tien")</f>
        <v>https://techcombank.com/thong-tin/blog/rut-tien-mat-tu-the-tin-dung
https://techcombank.com/thong-tin/blog/cach-tiet-kiem-tien</v>
      </c>
      <c r="D566" s="5" t="str">
        <f t="shared" si="1"/>
        <v>OK</v>
      </c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35" t="str">
        <f>IFERROR(__xludf.DUMMYFUNCTION("""COMPUTED_VALUE"""),"https://techcombank.com/thong-tin/blog/vi-tra-sau")</f>
        <v>https://techcombank.com/thong-tin/blog/vi-tra-sau</v>
      </c>
      <c r="B567" s="25">
        <f>IFERROR(__xludf.DUMMYFUNCTION("""COMPUTED_VALUE"""),2.0)</f>
        <v>2</v>
      </c>
      <c r="C567" s="5" t="str">
        <f>IFERROR(__xludf.DUMMYFUNCTION("IF(A567="""","""",TEXTJOIN(CHAR(10),TRUE,FILTER('Chi tiết từng link'!$B$2:$B$2505,'Chi tiết từng link'!$D$2:$D$2505=A567)))"),"https://techcombank.com/thong-tin/blog/cach-sao-ke-tai-khoan-ngan-hang
https://techcombank.com/thong-tin/blog/cach-tiet-kiem-tien")</f>
        <v>https://techcombank.com/thong-tin/blog/cach-sao-ke-tai-khoan-ngan-hang
https://techcombank.com/thong-tin/blog/cach-tiet-kiem-tien</v>
      </c>
      <c r="D567" s="5" t="str">
        <f t="shared" si="1"/>
        <v>OK</v>
      </c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35" t="str">
        <f>IFERROR(__xludf.DUMMYFUNCTION("""COMPUTED_VALUE"""),"https://techcombank.com/thong-tin/blog/viet-kieu-co-mo-duoc-tai-khoan-ngan-hang-khong")</f>
        <v>https://techcombank.com/thong-tin/blog/viet-kieu-co-mo-duoc-tai-khoan-ngan-hang-khong</v>
      </c>
      <c r="B568" s="25">
        <f>IFERROR(__xludf.DUMMYFUNCTION("""COMPUTED_VALUE"""),2.0)</f>
        <v>2</v>
      </c>
      <c r="C568" s="5" t="str">
        <f>IFERROR(__xludf.DUMMYFUNCTION("IF(A568="""","""",TEXTJOIN(CHAR(10),TRUE,FILTER('Chi tiết từng link'!$B$2:$B$2505,'Chi tiết từng link'!$D$2:$D$2505=A568)))"),"https://techcombank.com/thong-tin/blog/cach-mo-tai-khoan
https://techcombank.com/thong-tin/blog/ngan-hang-uy-tin")</f>
        <v>https://techcombank.com/thong-tin/blog/cach-mo-tai-khoan
https://techcombank.com/thong-tin/blog/ngan-hang-uy-tin</v>
      </c>
      <c r="D568" s="5" t="str">
        <f t="shared" si="1"/>
        <v>OK</v>
      </c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35" t="str">
        <f>IFERROR(__xludf.DUMMYFUNCTION("""COMPUTED_VALUE"""),"https://techcombank.com/thong-tin/blog/voucher-phuc-long")</f>
        <v>https://techcombank.com/thong-tin/blog/voucher-phuc-long</v>
      </c>
      <c r="B569" s="25">
        <f>IFERROR(__xludf.DUMMYFUNCTION("""COMPUTED_VALUE"""),2.0)</f>
        <v>2</v>
      </c>
      <c r="C569" s="5" t="str">
        <f>IFERROR(__xludf.DUMMYFUNCTION("IF(A569="""","""",TEXTJOIN(CHAR(10),TRUE,FILTER('Chi tiết từng link'!$B$2:$B$2505,'Chi tiết từng link'!$D$2:$D$2505=A569)))"),"https://techcombank.com/thong-tin/blog/thue-vat-la-gi
https://techcombank.com/thong-tin/blog/traveloka-voucher")</f>
        <v>https://techcombank.com/thong-tin/blog/thue-vat-la-gi
https://techcombank.com/thong-tin/blog/traveloka-voucher</v>
      </c>
      <c r="D569" s="5" t="str">
        <f t="shared" si="1"/>
        <v>OK</v>
      </c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35" t="str">
        <f>IFERROR(__xludf.DUMMYFUNCTION("""COMPUTED_VALUE"""),"https://techcombank.com/thong-tin/blog/voucher-xanh-sm")</f>
        <v>https://techcombank.com/thong-tin/blog/voucher-xanh-sm</v>
      </c>
      <c r="B570" s="25">
        <f>IFERROR(__xludf.DUMMYFUNCTION("""COMPUTED_VALUE"""),2.0)</f>
        <v>2</v>
      </c>
      <c r="C570" s="5" t="str">
        <f>IFERROR(__xludf.DUMMYFUNCTION("IF(A570="""","""",TEXTJOIN(CHAR(10),TRUE,FILTER('Chi tiết từng link'!$B$2:$B$2505,'Chi tiết từng link'!$D$2:$D$2505=A570)))"),"https://techcombank.com/thong-tin/blog/eco-card
https://techcombank.com/thong-tin/blog/traveloka-voucher")</f>
        <v>https://techcombank.com/thong-tin/blog/eco-card
https://techcombank.com/thong-tin/blog/traveloka-voucher</v>
      </c>
      <c r="D570" s="5" t="str">
        <f t="shared" si="1"/>
        <v>OK</v>
      </c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35" t="str">
        <f>IFERROR(__xludf.DUMMYFUNCTION("""COMPUTED_VALUE"""),"https://techcombank.com/thong-tin/blog/xac-thuc-sinh-trac-hoc-khi-chuyen-tien")</f>
        <v>https://techcombank.com/thong-tin/blog/xac-thuc-sinh-trac-hoc-khi-chuyen-tien</v>
      </c>
      <c r="B571" s="25">
        <f>IFERROR(__xludf.DUMMYFUNCTION("""COMPUTED_VALUE"""),2.0)</f>
        <v>2</v>
      </c>
      <c r="C571" s="5" t="str">
        <f>IFERROR(__xludf.DUMMYFUNCTION("IF(A571="""","""",TEXTJOIN(CHAR(10),TRUE,FILTER('Chi tiết từng link'!$B$2:$B$2505,'Chi tiết từng link'!$D$2:$D$2505=A571)))"),"https://techcombank.com/thong-tin/blog/chuyen-khoan-thanh-cong-nhung-khong-nhan-duoc-tien
https://techcombank.com/thong-tin/blog/cach-quet-nfc-cccd-tren-iphone")</f>
        <v>https://techcombank.com/thong-tin/blog/chuyen-khoan-thanh-cong-nhung-khong-nhan-duoc-tien
https://techcombank.com/thong-tin/blog/cach-quet-nfc-cccd-tren-iphone</v>
      </c>
      <c r="D571" s="5" t="str">
        <f t="shared" si="1"/>
        <v>OK</v>
      </c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35" t="str">
        <f>IFERROR(__xludf.DUMMYFUNCTION("""COMPUTED_VALUE"""),"https://techcombank.com/thong-tin/blog/xu-huong-dau-tu-trai-phieu-ky-han-duoi-mot-nam-lua-chon-an-toan-khi-thi-truong-bien-dong")</f>
        <v>https://techcombank.com/thong-tin/blog/xu-huong-dau-tu-trai-phieu-ky-han-duoi-mot-nam-lua-chon-an-toan-khi-thi-truong-bien-dong</v>
      </c>
      <c r="B572" s="25">
        <f>IFERROR(__xludf.DUMMYFUNCTION("""COMPUTED_VALUE"""),2.0)</f>
        <v>2</v>
      </c>
      <c r="C572" s="5" t="str">
        <f>IFERROR(__xludf.DUMMYFUNCTION("IF(A572="""","""",TEXTJOIN(CHAR(10),TRUE,FILTER('Chi tiết từng link'!$B$2:$B$2505,'Chi tiết từng link'!$D$2:$D$2505=A572)))"),"https://techcombank.com/thong-tin/blog/lai-suat-tiet-kiem
https://techcombank.com/thong-tin/blog/phuong-phap-dau-tu-chung-chi-quy")</f>
        <v>https://techcombank.com/thong-tin/blog/lai-suat-tiet-kiem
https://techcombank.com/thong-tin/blog/phuong-phap-dau-tu-chung-chi-quy</v>
      </c>
      <c r="D572" s="5" t="str">
        <f t="shared" si="1"/>
        <v>OK</v>
      </c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35" t="str">
        <f>IFERROR(__xludf.DUMMYFUNCTION("""COMPUTED_VALUE"""),"https://techcombank.com/thong-tin/blog/y-nghia-so-68")</f>
        <v>https://techcombank.com/thong-tin/blog/y-nghia-so-68</v>
      </c>
      <c r="B573" s="25">
        <f>IFERROR(__xludf.DUMMYFUNCTION("""COMPUTED_VALUE"""),2.0)</f>
        <v>2</v>
      </c>
      <c r="C573" s="5" t="str">
        <f>IFERROR(__xludf.DUMMYFUNCTION("IF(A573="""","""",TEXTJOIN(CHAR(10),TRUE,FILTER('Chi tiết từng link'!$B$2:$B$2505,'Chi tiết từng link'!$D$2:$D$2505=A573)))"),"https://techcombank.com/thong-tin/blog/cach-kiem-tra-tai-khoan-ngan-hang
https://techcombank.com/thong-tin/blog/day-so-phat-tai-phat-loc")</f>
        <v>https://techcombank.com/thong-tin/blog/cach-kiem-tra-tai-khoan-ngan-hang
https://techcombank.com/thong-tin/blog/day-so-phat-tai-phat-loc</v>
      </c>
      <c r="D573" s="5" t="str">
        <f t="shared" si="1"/>
        <v>OK</v>
      </c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35" t="str">
        <f>IFERROR(__xludf.DUMMYFUNCTION("""COMPUTED_VALUE"""),"https://techcombank.com/thong-tin/blog/1-euro-bang-bao-nhieu-tien-viet")</f>
        <v>https://techcombank.com/thong-tin/blog/1-euro-bang-bao-nhieu-tien-viet</v>
      </c>
      <c r="B574" s="25">
        <f>IFERROR(__xludf.DUMMYFUNCTION("""COMPUTED_VALUE"""),1.0)</f>
        <v>1</v>
      </c>
      <c r="C574" s="35" t="str">
        <f>IFERROR(__xludf.DUMMYFUNCTION("IF(A574="""","""",TEXTJOIN(CHAR(10),TRUE,FILTER('Chi tiết từng link'!$B$2:$B$2505,'Chi tiết từng link'!$D$2:$D$2505=A574)))"),"https://techcombank.com/thong-tin/blog/doi-tien-do-o-dau")</f>
        <v>https://techcombank.com/thong-tin/blog/doi-tien-do-o-dau</v>
      </c>
      <c r="D574" s="5" t="str">
        <f t="shared" si="1"/>
        <v>OK</v>
      </c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35" t="str">
        <f>IFERROR(__xludf.DUMMYFUNCTION("""COMPUTED_VALUE"""),"https://techcombank.com/thong-tin/blog/1-te-bang-bao-nhieu-tien-viet-nam")</f>
        <v>https://techcombank.com/thong-tin/blog/1-te-bang-bao-nhieu-tien-viet-nam</v>
      </c>
      <c r="B575" s="25">
        <f>IFERROR(__xludf.DUMMYFUNCTION("""COMPUTED_VALUE"""),1.0)</f>
        <v>1</v>
      </c>
      <c r="C575" s="35" t="str">
        <f>IFERROR(__xludf.DUMMYFUNCTION("IF(A575="""","""",TEXTJOIN(CHAR(10),TRUE,FILTER('Chi tiết từng link'!$B$2:$B$2505,'Chi tiết từng link'!$D$2:$D$2505=A575)))"),"https://techcombank.com/thong-tin/blog/doi-tien-do-o-dau")</f>
        <v>https://techcombank.com/thong-tin/blog/doi-tien-do-o-dau</v>
      </c>
      <c r="D575" s="5" t="str">
        <f t="shared" si="1"/>
        <v>OK</v>
      </c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35" t="str">
        <f>IFERROR(__xludf.DUMMYFUNCTION("""COMPUTED_VALUE"""),"https://techcombank.com/thong-tin/blog/4p-pizza")</f>
        <v>https://techcombank.com/thong-tin/blog/4p-pizza</v>
      </c>
      <c r="B576" s="25">
        <f>IFERROR(__xludf.DUMMYFUNCTION("""COMPUTED_VALUE"""),1.0)</f>
        <v>1</v>
      </c>
      <c r="C576" s="35" t="str">
        <f>IFERROR(__xludf.DUMMYFUNCTION("IF(A576="""","""",TEXTJOIN(CHAR(10),TRUE,FILTER('Chi tiết từng link'!$B$2:$B$2505,'Chi tiết từng link'!$D$2:$D$2505=A576)))"),"https://techcombank.com/thong-tin/blog/traveloka-voucher")</f>
        <v>https://techcombank.com/thong-tin/blog/traveloka-voucher</v>
      </c>
      <c r="D576" s="5" t="str">
        <f t="shared" si="1"/>
        <v>OK</v>
      </c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35" t="str">
        <f>IFERROR(__xludf.DUMMYFUNCTION("""COMPUTED_VALUE"""),"https://techcombank.com/thong-tin/blog/5-trieu-mua-duoc-bao-nhieu-vang")</f>
        <v>https://techcombank.com/thong-tin/blog/5-trieu-mua-duoc-bao-nhieu-vang</v>
      </c>
      <c r="B577" s="25">
        <f>IFERROR(__xludf.DUMMYFUNCTION("""COMPUTED_VALUE"""),1.0)</f>
        <v>1</v>
      </c>
      <c r="C577" s="35" t="str">
        <f>IFERROR(__xludf.DUMMYFUNCTION("IF(A577="""","""",TEXTJOIN(CHAR(10),TRUE,FILTER('Chi tiết từng link'!$B$2:$B$2505,'Chi tiết từng link'!$D$2:$D$2505=A577)))"),"https://techcombank.com/thong-tin/blog/phuong-phap-dau-tu-chung-chi-quy")</f>
        <v>https://techcombank.com/thong-tin/blog/phuong-phap-dau-tu-chung-chi-quy</v>
      </c>
      <c r="D577" s="5" t="str">
        <f t="shared" si="1"/>
        <v>OK</v>
      </c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35" t="str">
        <f>IFERROR(__xludf.DUMMYFUNCTION("""COMPUTED_VALUE"""),"https://techcombank.com/thong-tin/blog/an-han-no-goc-la-gi")</f>
        <v>https://techcombank.com/thong-tin/blog/an-han-no-goc-la-gi</v>
      </c>
      <c r="B578" s="25">
        <f>IFERROR(__xludf.DUMMYFUNCTION("""COMPUTED_VALUE"""),1.0)</f>
        <v>1</v>
      </c>
      <c r="C578" s="35" t="str">
        <f>IFERROR(__xludf.DUMMYFUNCTION("IF(A578="""","""",TEXTJOIN(CHAR(10),TRUE,FILTER('Chi tiết từng link'!$B$2:$B$2505,'Chi tiết từng link'!$D$2:$D$2505=A578)))"),"https://techcombank.com/thong-tin/blog/cach-tinh-lai-vay-ngan-hang")</f>
        <v>https://techcombank.com/thong-tin/blog/cach-tinh-lai-vay-ngan-hang</v>
      </c>
      <c r="D578" s="5" t="str">
        <f t="shared" si="1"/>
        <v>OK</v>
      </c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35" t="str">
        <f>IFERROR(__xludf.DUMMYFUNCTION("""COMPUTED_VALUE"""),"https://techcombank.com/thong-tin/blog/anh-sang-cuoi-duong-ham-xuat-hien-trai-phieu-doanh-nghiep-tot-va-an-toan-se-duoc-nha-dau-tu-chon")</f>
        <v>https://techcombank.com/thong-tin/blog/anh-sang-cuoi-duong-ham-xuat-hien-trai-phieu-doanh-nghiep-tot-va-an-toan-se-duoc-nha-dau-tu-chon</v>
      </c>
      <c r="B579" s="25">
        <f>IFERROR(__xludf.DUMMYFUNCTION("""COMPUTED_VALUE"""),1.0)</f>
        <v>1</v>
      </c>
      <c r="C579" s="35" t="str">
        <f>IFERROR(__xludf.DUMMYFUNCTION("IF(A579="""","""",TEXTJOIN(CHAR(10),TRUE,FILTER('Chi tiết từng link'!$B$2:$B$2505,'Chi tiết từng link'!$D$2:$D$2505=A579)))"),"https://techcombank.com/thong-tin/blog/phuong-phap-dau-tu-chung-chi-quy")</f>
        <v>https://techcombank.com/thong-tin/blog/phuong-phap-dau-tu-chung-chi-quy</v>
      </c>
      <c r="D579" s="5" t="str">
        <f t="shared" si="1"/>
        <v>OK</v>
      </c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35" t="str">
        <f>IFERROR(__xludf.DUMMYFUNCTION("""COMPUTED_VALUE"""),"https://techcombank.com/thong-tin/blog/app-chia-tien")</f>
        <v>https://techcombank.com/thong-tin/blog/app-chia-tien</v>
      </c>
      <c r="B580" s="25">
        <f>IFERROR(__xludf.DUMMYFUNCTION("""COMPUTED_VALUE"""),1.0)</f>
        <v>1</v>
      </c>
      <c r="C580" s="35" t="str">
        <f>IFERROR(__xludf.DUMMYFUNCTION("IF(A580="""","""",TEXTJOIN(CHAR(10),TRUE,FILTER('Chi tiết từng link'!$B$2:$B$2505,'Chi tiết từng link'!$D$2:$D$2505=A580)))"),"https://techcombank.com/thong-tin/blog/thue-vat-la-gi")</f>
        <v>https://techcombank.com/thong-tin/blog/thue-vat-la-gi</v>
      </c>
      <c r="D580" s="5" t="str">
        <f t="shared" si="1"/>
        <v>OK</v>
      </c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35" t="str">
        <f>IFERROR(__xludf.DUMMYFUNCTION("""COMPUTED_VALUE"""),"https://techcombank.com/thong-tin/blog/app-ngan-hang-co-dung-duoc-o-nuoc-ngoai")</f>
        <v>https://techcombank.com/thong-tin/blog/app-ngan-hang-co-dung-duoc-o-nuoc-ngoai</v>
      </c>
      <c r="B581" s="25">
        <f>IFERROR(__xludf.DUMMYFUNCTION("""COMPUTED_VALUE"""),1.0)</f>
        <v>1</v>
      </c>
      <c r="C581" s="35" t="str">
        <f>IFERROR(__xludf.DUMMYFUNCTION("IF(A581="""","""",TEXTJOIN(CHAR(10),TRUE,FILTER('Chi tiết từng link'!$B$2:$B$2505,'Chi tiết từng link'!$D$2:$D$2505=A581)))"),"https://techcombank.com/thong-tin/blog/cach-nhan-tien-tu-nuoc-ngoai-ve-viet-nam")</f>
        <v>https://techcombank.com/thong-tin/blog/cach-nhan-tien-tu-nuoc-ngoai-ve-viet-nam</v>
      </c>
      <c r="D581" s="5" t="str">
        <f t="shared" si="1"/>
        <v>OK</v>
      </c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35" t="str">
        <f>IFERROR(__xludf.DUMMYFUNCTION("""COMPUTED_VALUE"""),"https://techcombank.com/thong-tin/blog/app-ngan-hang-uy-tin")</f>
        <v>https://techcombank.com/thong-tin/blog/app-ngan-hang-uy-tin</v>
      </c>
      <c r="B582" s="25">
        <f>IFERROR(__xludf.DUMMYFUNCTION("""COMPUTED_VALUE"""),1.0)</f>
        <v>1</v>
      </c>
      <c r="C582" s="35" t="str">
        <f>IFERROR(__xludf.DUMMYFUNCTION("IF(A582="""","""",TEXTJOIN(CHAR(10),TRUE,FILTER('Chi tiết từng link'!$B$2:$B$2505,'Chi tiết từng link'!$D$2:$D$2505=A582)))"),"https://techcombank.com/thong-tin/blog/ngan-hang-uy-tin")</f>
        <v>https://techcombank.com/thong-tin/blog/ngan-hang-uy-tin</v>
      </c>
      <c r="D582" s="5" t="str">
        <f t="shared" si="1"/>
        <v>OK</v>
      </c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35" t="str">
        <f>IFERROR(__xludf.DUMMYFUNCTION("""COMPUTED_VALUE"""),"https://techcombank.com/thong-tin/blog/app-theo-doi-chung-chi-quy")</f>
        <v>https://techcombank.com/thong-tin/blog/app-theo-doi-chung-chi-quy</v>
      </c>
      <c r="B583" s="25">
        <f>IFERROR(__xludf.DUMMYFUNCTION("""COMPUTED_VALUE"""),1.0)</f>
        <v>1</v>
      </c>
      <c r="C583" s="35" t="str">
        <f>IFERROR(__xludf.DUMMYFUNCTION("IF(A583="""","""",TEXTJOIN(CHAR(10),TRUE,FILTER('Chi tiết từng link'!$B$2:$B$2505,'Chi tiết từng link'!$D$2:$D$2505=A583)))"),"https://techcombank.com/thong-tin/blog/phuong-phap-dau-tu-chung-chi-quy")</f>
        <v>https://techcombank.com/thong-tin/blog/phuong-phap-dau-tu-chung-chi-quy</v>
      </c>
      <c r="D583" s="5" t="str">
        <f t="shared" si="1"/>
        <v>OK</v>
      </c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35" t="str">
        <f>IFERROR(__xludf.DUMMYFUNCTION("""COMPUTED_VALUE"""),"https://techcombank.com/thong-tin/blog/ban-do-du-lich")</f>
        <v>https://techcombank.com/thong-tin/blog/ban-do-du-lich</v>
      </c>
      <c r="B584" s="25">
        <f>IFERROR(__xludf.DUMMYFUNCTION("""COMPUTED_VALUE"""),1.0)</f>
        <v>1</v>
      </c>
      <c r="C584" s="35" t="str">
        <f>IFERROR(__xludf.DUMMYFUNCTION("IF(A584="""","""",TEXTJOIN(CHAR(10),TRUE,FILTER('Chi tiết từng link'!$B$2:$B$2505,'Chi tiết từng link'!$D$2:$D$2505=A584)))"),"https://techcombank.com/thong-tin/blog/traveloka-voucher")</f>
        <v>https://techcombank.com/thong-tin/blog/traveloka-voucher</v>
      </c>
      <c r="D584" s="5" t="str">
        <f t="shared" si="1"/>
        <v>OK</v>
      </c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35" t="str">
        <f>IFERROR(__xludf.DUMMYFUNCTION("""COMPUTED_VALUE"""),"https://techcombank.com/thong-tin/blog/bang-can-doi-tai-chinh")</f>
        <v>https://techcombank.com/thong-tin/blog/bang-can-doi-tai-chinh</v>
      </c>
      <c r="B585" s="25">
        <f>IFERROR(__xludf.DUMMYFUNCTION("""COMPUTED_VALUE"""),1.0)</f>
        <v>1</v>
      </c>
      <c r="C585" s="35" t="str">
        <f>IFERROR(__xludf.DUMMYFUNCTION("IF(A585="""","""",TEXTJOIN(CHAR(10),TRUE,FILTER('Chi tiết từng link'!$B$2:$B$2505,'Chi tiết từng link'!$D$2:$D$2505=A585)))"),"https://techcombank.com/thong-tin/blog/cach-tiet-kiem-tien")</f>
        <v>https://techcombank.com/thong-tin/blog/cach-tiet-kiem-tien</v>
      </c>
      <c r="D585" s="5" t="str">
        <f t="shared" si="1"/>
        <v>OK</v>
      </c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35" t="str">
        <f>IFERROR(__xludf.DUMMYFUNCTION("""COMPUTED_VALUE"""),"https://techcombank.com/thong-tin/blog/bang-gia-chung-chi-quy")</f>
        <v>https://techcombank.com/thong-tin/blog/bang-gia-chung-chi-quy</v>
      </c>
      <c r="B586" s="25">
        <f>IFERROR(__xludf.DUMMYFUNCTION("""COMPUTED_VALUE"""),1.0)</f>
        <v>1</v>
      </c>
      <c r="C586" s="35" t="str">
        <f>IFERROR(__xludf.DUMMYFUNCTION("IF(A586="""","""",TEXTJOIN(CHAR(10),TRUE,FILTER('Chi tiết từng link'!$B$2:$B$2505,'Chi tiết từng link'!$D$2:$D$2505=A586)))"),"https://techcombank.com/thong-tin/blog/phuong-phap-dau-tu-chung-chi-quy")</f>
        <v>https://techcombank.com/thong-tin/blog/phuong-phap-dau-tu-chung-chi-quy</v>
      </c>
      <c r="D586" s="5" t="str">
        <f t="shared" si="1"/>
        <v>OK</v>
      </c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35" t="str">
        <f>IFERROR(__xludf.DUMMYFUNCTION("""COMPUTED_VALUE"""),"https://techcombank.com/thong-tin/blog/bao-hiem-hanh-ly")</f>
        <v>https://techcombank.com/thong-tin/blog/bao-hiem-hanh-ly</v>
      </c>
      <c r="B587" s="25">
        <f>IFERROR(__xludf.DUMMYFUNCTION("""COMPUTED_VALUE"""),1.0)</f>
        <v>1</v>
      </c>
      <c r="C587" s="35" t="str">
        <f>IFERROR(__xludf.DUMMYFUNCTION("IF(A587="""","""",TEXTJOIN(CHAR(10),TRUE,FILTER('Chi tiết từng link'!$B$2:$B$2505,'Chi tiết từng link'!$D$2:$D$2505=A587)))"),"https://techcombank.com/thong-tin/blog/traveloka-voucher")</f>
        <v>https://techcombank.com/thong-tin/blog/traveloka-voucher</v>
      </c>
      <c r="D587" s="5" t="str">
        <f t="shared" si="1"/>
        <v>OK</v>
      </c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35" t="str">
        <f>IFERROR(__xludf.DUMMYFUNCTION("""COMPUTED_VALUE"""),"https://techcombank.com/thong-tin/blog/bao-hiem-lien-ket-dau-tu")</f>
        <v>https://techcombank.com/thong-tin/blog/bao-hiem-lien-ket-dau-tu</v>
      </c>
      <c r="B588" s="25">
        <f>IFERROR(__xludf.DUMMYFUNCTION("""COMPUTED_VALUE"""),1.0)</f>
        <v>1</v>
      </c>
      <c r="C588" s="35" t="str">
        <f>IFERROR(__xludf.DUMMYFUNCTION("IF(A588="""","""",TEXTJOIN(CHAR(10),TRUE,FILTER('Chi tiết từng link'!$B$2:$B$2505,'Chi tiết từng link'!$D$2:$D$2505=A588)))"),"https://techcombank.com/thong-tin/blog/phuong-phap-dau-tu-chung-chi-quy")</f>
        <v>https://techcombank.com/thong-tin/blog/phuong-phap-dau-tu-chung-chi-quy</v>
      </c>
      <c r="D588" s="5" t="str">
        <f t="shared" si="1"/>
        <v>OK</v>
      </c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35" t="str">
        <f>IFERROR(__xludf.DUMMYFUNCTION("""COMPUTED_VALUE"""),"https://techcombank.com/thong-tin/blog/bao-hiem-nhan-tho-la-gi")</f>
        <v>https://techcombank.com/thong-tin/blog/bao-hiem-nhan-tho-la-gi</v>
      </c>
      <c r="B589" s="25">
        <f>IFERROR(__xludf.DUMMYFUNCTION("""COMPUTED_VALUE"""),1.0)</f>
        <v>1</v>
      </c>
      <c r="C589" s="35" t="str">
        <f>IFERROR(__xludf.DUMMYFUNCTION("IF(A589="""","""",TEXTJOIN(CHAR(10),TRUE,FILTER('Chi tiết từng link'!$B$2:$B$2505,'Chi tiết từng link'!$D$2:$D$2505=A589)))"),"https://techcombank.com/thong-tin/blog/mo-tai-khoan-ngan-hang-duoi-18-tuoi")</f>
        <v>https://techcombank.com/thong-tin/blog/mo-tai-khoan-ngan-hang-duoi-18-tuoi</v>
      </c>
      <c r="D589" s="5" t="str">
        <f t="shared" si="1"/>
        <v>OK</v>
      </c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35" t="str">
        <f>IFERROR(__xludf.DUMMYFUNCTION("""COMPUTED_VALUE"""),"https://techcombank.com/thong-tin/blog/bao-hiem-pin-xe-dien")</f>
        <v>https://techcombank.com/thong-tin/blog/bao-hiem-pin-xe-dien</v>
      </c>
      <c r="B590" s="25">
        <f>IFERROR(__xludf.DUMMYFUNCTION("""COMPUTED_VALUE"""),1.0)</f>
        <v>1</v>
      </c>
      <c r="C590" s="35" t="str">
        <f>IFERROR(__xludf.DUMMYFUNCTION("IF(A590="""","""",TEXTJOIN(CHAR(10),TRUE,FILTER('Chi tiết từng link'!$B$2:$B$2505,'Chi tiết từng link'!$D$2:$D$2505=A590)))"),"https://techcombank.com/thong-tin/blog/eco-card")</f>
        <v>https://techcombank.com/thong-tin/blog/eco-card</v>
      </c>
      <c r="D590" s="5" t="str">
        <f t="shared" si="1"/>
        <v>OK</v>
      </c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35" t="str">
        <f>IFERROR(__xludf.DUMMYFUNCTION("""COMPUTED_VALUE"""),"https://techcombank.com/thong-tin/blog/bao-hiem-sinh-ky-la-gi")</f>
        <v>https://techcombank.com/thong-tin/blog/bao-hiem-sinh-ky-la-gi</v>
      </c>
      <c r="B591" s="25">
        <f>IFERROR(__xludf.DUMMYFUNCTION("""COMPUTED_VALUE"""),1.0)</f>
        <v>1</v>
      </c>
      <c r="C591" s="35" t="str">
        <f>IFERROR(__xludf.DUMMYFUNCTION("IF(A591="""","""",TEXTJOIN(CHAR(10),TRUE,FILTER('Chi tiết từng link'!$B$2:$B$2505,'Chi tiết từng link'!$D$2:$D$2505=A591)))"),"https://techcombank.com/thong-tin/blog/phuong-phap-dau-tu-chung-chi-quy")</f>
        <v>https://techcombank.com/thong-tin/blog/phuong-phap-dau-tu-chung-chi-quy</v>
      </c>
      <c r="D591" s="5" t="str">
        <f t="shared" si="1"/>
        <v>OK</v>
      </c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35" t="str">
        <f>IFERROR(__xludf.DUMMYFUNCTION("""COMPUTED_VALUE"""),"https://techcombank.com/thong-tin/blog/bao-hiem-suc-khoe-la-gi")</f>
        <v>https://techcombank.com/thong-tin/blog/bao-hiem-suc-khoe-la-gi</v>
      </c>
      <c r="B592" s="25">
        <f>IFERROR(__xludf.DUMMYFUNCTION("""COMPUTED_VALUE"""),1.0)</f>
        <v>1</v>
      </c>
      <c r="C592" s="35" t="str">
        <f>IFERROR(__xludf.DUMMYFUNCTION("IF(A592="""","""",TEXTJOIN(CHAR(10),TRUE,FILTER('Chi tiết từng link'!$B$2:$B$2505,'Chi tiết từng link'!$D$2:$D$2505=A592)))"),"https://techcombank.com/thong-tin/blog/mo-tai-khoan-ngan-hang-duoi-18-tuoi")</f>
        <v>https://techcombank.com/thong-tin/blog/mo-tai-khoan-ngan-hang-duoi-18-tuoi</v>
      </c>
      <c r="D592" s="5" t="str">
        <f t="shared" si="1"/>
        <v>OK</v>
      </c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35" t="str">
        <f>IFERROR(__xludf.DUMMYFUNCTION("""COMPUTED_VALUE"""),"https://techcombank.com/thong-tin/blog/bao-hiem-tu-ky-la-gi")</f>
        <v>https://techcombank.com/thong-tin/blog/bao-hiem-tu-ky-la-gi</v>
      </c>
      <c r="B593" s="25">
        <f>IFERROR(__xludf.DUMMYFUNCTION("""COMPUTED_VALUE"""),1.0)</f>
        <v>1</v>
      </c>
      <c r="C593" s="35" t="str">
        <f>IFERROR(__xludf.DUMMYFUNCTION("IF(A593="""","""",TEXTJOIN(CHAR(10),TRUE,FILTER('Chi tiết từng link'!$B$2:$B$2505,'Chi tiết từng link'!$D$2:$D$2505=A593)))"),"https://techcombank.com/thong-tin/blog/phuong-phap-dau-tu-chung-chi-quy")</f>
        <v>https://techcombank.com/thong-tin/blog/phuong-phap-dau-tu-chung-chi-quy</v>
      </c>
      <c r="D593" s="5" t="str">
        <f t="shared" si="1"/>
        <v>OK</v>
      </c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35" t="str">
        <f>IFERROR(__xludf.DUMMYFUNCTION("""COMPUTED_VALUE"""),"https://techcombank.com/thong-tin/blog/bao-nhieu-tuoi-duoc-mo-tai-khoan-ngan-hang")</f>
        <v>https://techcombank.com/thong-tin/blog/bao-nhieu-tuoi-duoc-mo-tai-khoan-ngan-hang</v>
      </c>
      <c r="B594" s="25">
        <f>IFERROR(__xludf.DUMMYFUNCTION("""COMPUTED_VALUE"""),1.0)</f>
        <v>1</v>
      </c>
      <c r="C594" s="35" t="str">
        <f>IFERROR(__xludf.DUMMYFUNCTION("IF(A594="""","""",TEXTJOIN(CHAR(10),TRUE,FILTER('Chi tiết từng link'!$B$2:$B$2505,'Chi tiết từng link'!$D$2:$D$2505=A594)))"),"https://techcombank.com/thong-tin/blog/cach-mo-tai-khoan")</f>
        <v>https://techcombank.com/thong-tin/blog/cach-mo-tai-khoan</v>
      </c>
      <c r="D594" s="5" t="str">
        <f t="shared" si="1"/>
        <v>OK</v>
      </c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35" t="str">
        <f>IFERROR(__xludf.DUMMYFUNCTION("""COMPUTED_VALUE"""),"https://techcombank.com/thong-tin/blog/bi-quyet-lua-chon-trai-phieu-an-toan-cho-nha-dau-tu")</f>
        <v>https://techcombank.com/thong-tin/blog/bi-quyet-lua-chon-trai-phieu-an-toan-cho-nha-dau-tu</v>
      </c>
      <c r="B595" s="25">
        <f>IFERROR(__xludf.DUMMYFUNCTION("""COMPUTED_VALUE"""),1.0)</f>
        <v>1</v>
      </c>
      <c r="C595" s="35" t="str">
        <f>IFERROR(__xludf.DUMMYFUNCTION("IF(A595="""","""",TEXTJOIN(CHAR(10),TRUE,FILTER('Chi tiết từng link'!$B$2:$B$2505,'Chi tiết từng link'!$D$2:$D$2505=A595)))"),"https://techcombank.com/thong-tin/blog/phuong-phap-dau-tu-chung-chi-quy")</f>
        <v>https://techcombank.com/thong-tin/blog/phuong-phap-dau-tu-chung-chi-quy</v>
      </c>
      <c r="D595" s="5" t="str">
        <f t="shared" si="1"/>
        <v>OK</v>
      </c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35" t="str">
        <f>IFERROR(__xludf.DUMMYFUNCTION("""COMPUTED_VALUE"""),"https://techcombank.com/thong-tin/blog/cac-loai-hinh-doanh-nghiep")</f>
        <v>https://techcombank.com/thong-tin/blog/cac-loai-hinh-doanh-nghiep</v>
      </c>
      <c r="B596" s="25">
        <f>IFERROR(__xludf.DUMMYFUNCTION("""COMPUTED_VALUE"""),1.0)</f>
        <v>1</v>
      </c>
      <c r="C596" s="35" t="str">
        <f>IFERROR(__xludf.DUMMYFUNCTION("IF(A596="""","""",TEXTJOIN(CHAR(10),TRUE,FILTER('Chi tiết từng link'!$B$2:$B$2505,'Chi tiết từng link'!$D$2:$D$2505=A596)))"),"https://techcombank.com/thong-tin/blog/mo-hinh-kinh-doanh-la-gi")</f>
        <v>https://techcombank.com/thong-tin/blog/mo-hinh-kinh-doanh-la-gi</v>
      </c>
      <c r="D596" s="5" t="str">
        <f t="shared" si="1"/>
        <v>OK</v>
      </c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35" t="str">
        <f>IFERROR(__xludf.DUMMYFUNCTION("""COMPUTED_VALUE"""),"https://techcombank.com/thong-tin/blog/cach-dang-ky-dinh-danh-muc-2")</f>
        <v>https://techcombank.com/thong-tin/blog/cach-dang-ky-dinh-danh-muc-2</v>
      </c>
      <c r="B597" s="25">
        <f>IFERROR(__xludf.DUMMYFUNCTION("""COMPUTED_VALUE"""),1.0)</f>
        <v>1</v>
      </c>
      <c r="C597" s="35" t="str">
        <f>IFERROR(__xludf.DUMMYFUNCTION("IF(A597="""","""",TEXTJOIN(CHAR(10),TRUE,FILTER('Chi tiết từng link'!$B$2:$B$2505,'Chi tiết từng link'!$D$2:$D$2505=A597)))"),"https://techcombank.com/thong-tin/blog/cach-quet-nfc-cccd-tren-iphone")</f>
        <v>https://techcombank.com/thong-tin/blog/cach-quet-nfc-cccd-tren-iphone</v>
      </c>
      <c r="D597" s="5" t="str">
        <f t="shared" si="1"/>
        <v>OK</v>
      </c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35" t="str">
        <f>IFERROR(__xludf.DUMMYFUNCTION("""COMPUTED_VALUE"""),"https://techcombank.com/thong-tin/blog/cach-dang-ky-the-visa")</f>
        <v>https://techcombank.com/thong-tin/blog/cach-dang-ky-the-visa</v>
      </c>
      <c r="B598" s="25">
        <f>IFERROR(__xludf.DUMMYFUNCTION("""COMPUTED_VALUE"""),1.0)</f>
        <v>1</v>
      </c>
      <c r="C598" s="35" t="str">
        <f>IFERROR(__xludf.DUMMYFUNCTION("IF(A598="""","""",TEXTJOIN(CHAR(10),TRUE,FILTER('Chi tiết từng link'!$B$2:$B$2505,'Chi tiết từng link'!$D$2:$D$2505=A598)))"),"https://techcombank.com/thong-tin/blog/lam-the-tin-dung")</f>
        <v>https://techcombank.com/thong-tin/blog/lam-the-tin-dung</v>
      </c>
      <c r="D598" s="5" t="str">
        <f t="shared" si="1"/>
        <v>OK</v>
      </c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35" t="str">
        <f>IFERROR(__xludf.DUMMYFUNCTION("""COMPUTED_VALUE"""),"https://techcombank.com/thong-tin/blog/cach-dau-tu")</f>
        <v>https://techcombank.com/thong-tin/blog/cach-dau-tu</v>
      </c>
      <c r="B599" s="25">
        <f>IFERROR(__xludf.DUMMYFUNCTION("""COMPUTED_VALUE"""),1.0)</f>
        <v>1</v>
      </c>
      <c r="C599" s="35" t="str">
        <f>IFERROR(__xludf.DUMMYFUNCTION("IF(A599="""","""",TEXTJOIN(CHAR(10),TRUE,FILTER('Chi tiết từng link'!$B$2:$B$2505,'Chi tiết từng link'!$D$2:$D$2505=A599)))"),"https://techcombank.com/thong-tin/blog/phuong-phap-dau-tu-chung-chi-quy")</f>
        <v>https://techcombank.com/thong-tin/blog/phuong-phap-dau-tu-chung-chi-quy</v>
      </c>
      <c r="D599" s="5" t="str">
        <f t="shared" si="1"/>
        <v>OK</v>
      </c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35" t="str">
        <f>IFERROR(__xludf.DUMMYFUNCTION("""COMPUTED_VALUE"""),"https://techcombank.com/thong-tin/blog/cach-doc-bao-cao-tai-chinh")</f>
        <v>https://techcombank.com/thong-tin/blog/cach-doc-bao-cao-tai-chinh</v>
      </c>
      <c r="B600" s="25">
        <f>IFERROR(__xludf.DUMMYFUNCTION("""COMPUTED_VALUE"""),1.0)</f>
        <v>1</v>
      </c>
      <c r="C600" s="35" t="str">
        <f>IFERROR(__xludf.DUMMYFUNCTION("IF(A600="""","""",TEXTJOIN(CHAR(10),TRUE,FILTER('Chi tiết từng link'!$B$2:$B$2505,'Chi tiết từng link'!$D$2:$D$2505=A600)))"),"https://techcombank.com/thong-tin/blog/cach-tinh-thue-thu-nhap-doanh-nghiep")</f>
        <v>https://techcombank.com/thong-tin/blog/cach-tinh-thue-thu-nhap-doanh-nghiep</v>
      </c>
      <c r="D600" s="5" t="str">
        <f t="shared" si="1"/>
        <v>OK</v>
      </c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35" t="str">
        <f>IFERROR(__xludf.DUMMYFUNCTION("""COMPUTED_VALUE"""),"https://techcombank.com/thong-tin/blog/cach-lay-lai-tien-da-chuyen-khoan-khi-bi-lua")</f>
        <v>https://techcombank.com/thong-tin/blog/cach-lay-lai-tien-da-chuyen-khoan-khi-bi-lua</v>
      </c>
      <c r="B601" s="25">
        <f>IFERROR(__xludf.DUMMYFUNCTION("""COMPUTED_VALUE"""),1.0)</f>
        <v>1</v>
      </c>
      <c r="C601" s="35" t="str">
        <f>IFERROR(__xludf.DUMMYFUNCTION("IF(A601="""","""",TEXTJOIN(CHAR(10),TRUE,FILTER('Chi tiết từng link'!$B$2:$B$2505,'Chi tiết từng link'!$D$2:$D$2505=A601)))"),"https://techcombank.com/thong-tin/blog/chuyen-khoan-thanh-cong-nhung-khong-nhan-duoc-tien")</f>
        <v>https://techcombank.com/thong-tin/blog/chuyen-khoan-thanh-cong-nhung-khong-nhan-duoc-tien</v>
      </c>
      <c r="D601" s="5" t="str">
        <f t="shared" si="1"/>
        <v>OK</v>
      </c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35" t="str">
        <f>IFERROR(__xludf.DUMMYFUNCTION("""COMPUTED_VALUE"""),"https://techcombank.com/thong-tin/blog/cach-lien-ket-epass-voi-tai-khoan-ngan-hang")</f>
        <v>https://techcombank.com/thong-tin/blog/cach-lien-ket-epass-voi-tai-khoan-ngan-hang</v>
      </c>
      <c r="B602" s="25">
        <f>IFERROR(__xludf.DUMMYFUNCTION("""COMPUTED_VALUE"""),1.0)</f>
        <v>1</v>
      </c>
      <c r="C602" s="35" t="str">
        <f>IFERROR(__xludf.DUMMYFUNCTION("IF(A602="""","""",TEXTJOIN(CHAR(10),TRUE,FILTER('Chi tiết từng link'!$B$2:$B$2505,'Chi tiết từng link'!$D$2:$D$2505=A602)))"),"https://techcombank.com/thong-tin/blog/cach-mo-tai-khoan")</f>
        <v>https://techcombank.com/thong-tin/blog/cach-mo-tai-khoan</v>
      </c>
      <c r="D602" s="5" t="str">
        <f t="shared" si="1"/>
        <v>OK</v>
      </c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35" t="str">
        <f>IFERROR(__xludf.DUMMYFUNCTION("""COMPUTED_VALUE"""),"https://techcombank.com/thong-tin/blog/cach-nap-the-mobi")</f>
        <v>https://techcombank.com/thong-tin/blog/cach-nap-the-mobi</v>
      </c>
      <c r="B603" s="25">
        <f>IFERROR(__xludf.DUMMYFUNCTION("""COMPUTED_VALUE"""),1.0)</f>
        <v>1</v>
      </c>
      <c r="C603" s="35" t="str">
        <f>IFERROR(__xludf.DUMMYFUNCTION("IF(A603="""","""",TEXTJOIN(CHAR(10),TRUE,FILTER('Chi tiết từng link'!$B$2:$B$2505,'Chi tiết từng link'!$D$2:$D$2505=A603)))"),"https://techcombank.com/thong-tin/blog/cach-nap-the-viettel")</f>
        <v>https://techcombank.com/thong-tin/blog/cach-nap-the-viettel</v>
      </c>
      <c r="D603" s="5" t="str">
        <f t="shared" si="1"/>
        <v>OK</v>
      </c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35" t="str">
        <f>IFERROR(__xludf.DUMMYFUNCTION("""COMPUTED_VALUE"""),"https://techcombank.com/thong-tin/blog/cach-nap-the-vina")</f>
        <v>https://techcombank.com/thong-tin/blog/cach-nap-the-vina</v>
      </c>
      <c r="B604" s="25">
        <f>IFERROR(__xludf.DUMMYFUNCTION("""COMPUTED_VALUE"""),1.0)</f>
        <v>1</v>
      </c>
      <c r="C604" s="35" t="str">
        <f>IFERROR(__xludf.DUMMYFUNCTION("IF(A604="""","""",TEXTJOIN(CHAR(10),TRUE,FILTER('Chi tiết từng link'!$B$2:$B$2505,'Chi tiết từng link'!$D$2:$D$2505=A604)))"),"https://techcombank.com/thong-tin/blog/cach-nap-the-viettel")</f>
        <v>https://techcombank.com/thong-tin/blog/cach-nap-the-viettel</v>
      </c>
      <c r="D604" s="5" t="str">
        <f t="shared" si="1"/>
        <v>OK</v>
      </c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35" t="str">
        <f>IFERROR(__xludf.DUMMYFUNCTION("""COMPUTED_VALUE"""),"https://techcombank.com/thong-tin/blog/cach-quan-ly-tai-chinh-kinh-doanh")</f>
        <v>https://techcombank.com/thong-tin/blog/cach-quan-ly-tai-chinh-kinh-doanh</v>
      </c>
      <c r="B605" s="25">
        <f>IFERROR(__xludf.DUMMYFUNCTION("""COMPUTED_VALUE"""),1.0)</f>
        <v>1</v>
      </c>
      <c r="C605" s="35" t="str">
        <f>IFERROR(__xludf.DUMMYFUNCTION("IF(A605="""","""",TEXTJOIN(CHAR(10),TRUE,FILTER('Chi tiết từng link'!$B$2:$B$2505,'Chi tiết từng link'!$D$2:$D$2505=A605)))"),"https://techcombank.com/thong-tin/blog/cach-tiet-kiem-tien")</f>
        <v>https://techcombank.com/thong-tin/blog/cach-tiet-kiem-tien</v>
      </c>
      <c r="D605" s="5" t="str">
        <f t="shared" si="1"/>
        <v>OK</v>
      </c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35" t="str">
        <f>IFERROR(__xludf.DUMMYFUNCTION("""COMPUTED_VALUE"""),"https://techcombank.com/thong-tin/blog/cach-tiet-kiem-100-trieu-1-nam")</f>
        <v>https://techcombank.com/thong-tin/blog/cach-tiet-kiem-100-trieu-1-nam</v>
      </c>
      <c r="B606" s="25">
        <f>IFERROR(__xludf.DUMMYFUNCTION("""COMPUTED_VALUE"""),1.0)</f>
        <v>1</v>
      </c>
      <c r="C606" s="35" t="str">
        <f>IFERROR(__xludf.DUMMYFUNCTION("IF(A606="""","""",TEXTJOIN(CHAR(10),TRUE,FILTER('Chi tiết từng link'!$B$2:$B$2505,'Chi tiết từng link'!$D$2:$D$2505=A606)))"),"https://techcombank.com/cong-cu-tien-ich/cong-cu-tinh-toan/bang-tinh-lai-suat-tiet-kiem")</f>
        <v>https://techcombank.com/cong-cu-tien-ich/cong-cu-tinh-toan/bang-tinh-lai-suat-tiet-kiem</v>
      </c>
      <c r="D606" s="5" t="str">
        <f t="shared" si="1"/>
        <v>OK</v>
      </c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35" t="str">
        <f>IFERROR(__xludf.DUMMYFUNCTION("""COMPUTED_VALUE"""),"https://techcombank.com/thong-tin/blog/cach-tiet-kiem-tien-theo-tuan")</f>
        <v>https://techcombank.com/thong-tin/blog/cach-tiet-kiem-tien-theo-tuan</v>
      </c>
      <c r="B607" s="25">
        <f>IFERROR(__xludf.DUMMYFUNCTION("""COMPUTED_VALUE"""),1.0)</f>
        <v>1</v>
      </c>
      <c r="C607" s="35" t="str">
        <f>IFERROR(__xludf.DUMMYFUNCTION("IF(A607="""","""",TEXTJOIN(CHAR(10),TRUE,FILTER('Chi tiết từng link'!$B$2:$B$2505,'Chi tiết từng link'!$D$2:$D$2505=A607)))"),"https://techcombank.com/thong-tin/blog/cach-tiet-kiem-tien")</f>
        <v>https://techcombank.com/thong-tin/blog/cach-tiet-kiem-tien</v>
      </c>
      <c r="D607" s="5" t="str">
        <f t="shared" si="1"/>
        <v>OK</v>
      </c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35" t="str">
        <f>IFERROR(__xludf.DUMMYFUNCTION("""COMPUTED_VALUE"""),"https://techcombank.com/thong-tin/blog/casa-la-gi")</f>
        <v>https://techcombank.com/thong-tin/blog/casa-la-gi</v>
      </c>
      <c r="B608" s="25">
        <f>IFERROR(__xludf.DUMMYFUNCTION("""COMPUTED_VALUE"""),1.0)</f>
        <v>1</v>
      </c>
      <c r="C608" s="35" t="str">
        <f>IFERROR(__xludf.DUMMYFUNCTION("IF(A608="""","""",TEXTJOIN(CHAR(10),TRUE,FILTER('Chi tiết từng link'!$B$2:$B$2505,'Chi tiết từng link'!$D$2:$D$2505=A608)))"),"https://techcombank.com/thong-tin/blog/lai-suat-tiet-kiem")</f>
        <v>https://techcombank.com/thong-tin/blog/lai-suat-tiet-kiem</v>
      </c>
      <c r="D608" s="5" t="str">
        <f t="shared" si="1"/>
        <v>OK</v>
      </c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35" t="str">
        <f>IFERROR(__xludf.DUMMYFUNCTION("""COMPUTED_VALUE"""),"https://techcombank.com/thong-tin/blog/chien-luoc-dau-tu")</f>
        <v>https://techcombank.com/thong-tin/blog/chien-luoc-dau-tu</v>
      </c>
      <c r="B609" s="25">
        <f>IFERROR(__xludf.DUMMYFUNCTION("""COMPUTED_VALUE"""),1.0)</f>
        <v>1</v>
      </c>
      <c r="C609" s="35" t="str">
        <f>IFERROR(__xludf.DUMMYFUNCTION("IF(A609="""","""",TEXTJOIN(CHAR(10),TRUE,FILTER('Chi tiết từng link'!$B$2:$B$2505,'Chi tiết từng link'!$D$2:$D$2505=A609)))"),"https://techcombank.com/thong-tin/blog/phuong-phap-dau-tu-chung-chi-quy")</f>
        <v>https://techcombank.com/thong-tin/blog/phuong-phap-dau-tu-chung-chi-quy</v>
      </c>
      <c r="D609" s="5" t="str">
        <f t="shared" si="1"/>
        <v>OK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35" t="str">
        <f>IFERROR(__xludf.DUMMYFUNCTION("""COMPUTED_VALUE"""),"https://techcombank.com/thong-tin/blog/cho-vay-hop-von-la-gi")</f>
        <v>https://techcombank.com/thong-tin/blog/cho-vay-hop-von-la-gi</v>
      </c>
      <c r="B610" s="25">
        <f>IFERROR(__xludf.DUMMYFUNCTION("""COMPUTED_VALUE"""),1.0)</f>
        <v>1</v>
      </c>
      <c r="C610" s="35" t="str">
        <f>IFERROR(__xludf.DUMMYFUNCTION("IF(A610="""","""",TEXTJOIN(CHAR(10),TRUE,FILTER('Chi tiết từng link'!$B$2:$B$2505,'Chi tiết từng link'!$D$2:$D$2505=A610)))"),"https://techcombank.com/thong-tin/blog/rui-ro-khi-gui-tiet-kiem-online")</f>
        <v>https://techcombank.com/thong-tin/blog/rui-ro-khi-gui-tiet-kiem-online</v>
      </c>
      <c r="D610" s="5" t="str">
        <f t="shared" si="1"/>
        <v>OK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35" t="str">
        <f>IFERROR(__xludf.DUMMYFUNCTION("""COMPUTED_VALUE"""),"https://techcombank.com/thong-tin/blog/cho-vay-kinh-doanh-ho-gia-dinh")</f>
        <v>https://techcombank.com/thong-tin/blog/cho-vay-kinh-doanh-ho-gia-dinh</v>
      </c>
      <c r="B611" s="25">
        <f>IFERROR(__xludf.DUMMYFUNCTION("""COMPUTED_VALUE"""),1.0)</f>
        <v>1</v>
      </c>
      <c r="C611" s="35" t="str">
        <f>IFERROR(__xludf.DUMMYFUNCTION("IF(A611="""","""",TEXTJOIN(CHAR(10),TRUE,FILTER('Chi tiết từng link'!$B$2:$B$2505,'Chi tiết từng link'!$D$2:$D$2505=A611)))"),"https://techcombank.com/thong-tin/blog/mo-tai-khoan-ngan-hang-duoi-18-tuoi")</f>
        <v>https://techcombank.com/thong-tin/blog/mo-tai-khoan-ngan-hang-duoi-18-tuoi</v>
      </c>
      <c r="D611" s="5" t="str">
        <f t="shared" si="1"/>
        <v>OK</v>
      </c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35" t="str">
        <f>IFERROR(__xludf.DUMMYFUNCTION("""COMPUTED_VALUE"""),"https://techcombank.com/thong-tin/blog/chung-chi-quy")</f>
        <v>https://techcombank.com/thong-tin/blog/chung-chi-quy</v>
      </c>
      <c r="B612" s="25">
        <f>IFERROR(__xludf.DUMMYFUNCTION("""COMPUTED_VALUE"""),1.0)</f>
        <v>1</v>
      </c>
      <c r="C612" s="35" t="str">
        <f>IFERROR(__xludf.DUMMYFUNCTION("IF(A612="""","""",TEXTJOIN(CHAR(10),TRUE,FILTER('Chi tiết từng link'!$B$2:$B$2505,'Chi tiết từng link'!$D$2:$D$2505=A612)))"),"https://techcombank.com/thong-tin/blog/phuong-phap-dau-tu-chung-chi-quy")</f>
        <v>https://techcombank.com/thong-tin/blog/phuong-phap-dau-tu-chung-chi-quy</v>
      </c>
      <c r="D612" s="5" t="str">
        <f t="shared" si="1"/>
        <v>OK</v>
      </c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35" t="str">
        <f>IFERROR(__xludf.DUMMYFUNCTION("""COMPUTED_VALUE"""),"https://techcombank.com/thong-tin/blog/chung-chi-quy-dong")</f>
        <v>https://techcombank.com/thong-tin/blog/chung-chi-quy-dong</v>
      </c>
      <c r="B613" s="25">
        <f>IFERROR(__xludf.DUMMYFUNCTION("""COMPUTED_VALUE"""),1.0)</f>
        <v>1</v>
      </c>
      <c r="C613" s="35" t="str">
        <f>IFERROR(__xludf.DUMMYFUNCTION("IF(A613="""","""",TEXTJOIN(CHAR(10),TRUE,FILTER('Chi tiết từng link'!$B$2:$B$2505,'Chi tiết từng link'!$D$2:$D$2505=A613)))"),"https://techcombank.com/thong-tin/blog/phuong-phap-dau-tu-chung-chi-quy")</f>
        <v>https://techcombank.com/thong-tin/blog/phuong-phap-dau-tu-chung-chi-quy</v>
      </c>
      <c r="D613" s="5" t="str">
        <f t="shared" si="1"/>
        <v>OK</v>
      </c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35" t="str">
        <f>IFERROR(__xludf.DUMMYFUNCTION("""COMPUTED_VALUE"""),"https://techcombank.com/thong-tin/blog/chung-chi-quy-mo-va-dong")</f>
        <v>https://techcombank.com/thong-tin/blog/chung-chi-quy-mo-va-dong</v>
      </c>
      <c r="B614" s="25">
        <f>IFERROR(__xludf.DUMMYFUNCTION("""COMPUTED_VALUE"""),1.0)</f>
        <v>1</v>
      </c>
      <c r="C614" s="35" t="str">
        <f>IFERROR(__xludf.DUMMYFUNCTION("IF(A614="""","""",TEXTJOIN(CHAR(10),TRUE,FILTER('Chi tiết từng link'!$B$2:$B$2505,'Chi tiết từng link'!$D$2:$D$2505=A614)))"),"https://techcombank.com/thong-tin/blog/phuong-phap-dau-tu-chung-chi-quy")</f>
        <v>https://techcombank.com/thong-tin/blog/phuong-phap-dau-tu-chung-chi-quy</v>
      </c>
      <c r="D614" s="5" t="str">
        <f t="shared" si="1"/>
        <v>OK</v>
      </c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35" t="str">
        <f>IFERROR(__xludf.DUMMYFUNCTION("""COMPUTED_VALUE"""),"https://techcombank.com/thong-tin/blog/chung-chi-tien-gui-la-gi")</f>
        <v>https://techcombank.com/thong-tin/blog/chung-chi-tien-gui-la-gi</v>
      </c>
      <c r="B615" s="25">
        <f>IFERROR(__xludf.DUMMYFUNCTION("""COMPUTED_VALUE"""),1.0)</f>
        <v>1</v>
      </c>
      <c r="C615" s="35" t="str">
        <f>IFERROR(__xludf.DUMMYFUNCTION("IF(A615="""","""",TEXTJOIN(CHAR(10),TRUE,FILTER('Chi tiết từng link'!$B$2:$B$2505,'Chi tiết từng link'!$D$2:$D$2505=A615)))"),"https://techcombank.com/thong-tin/blog/lai-suat-chung-chi-tien-gui-cac-ngan-hang")</f>
        <v>https://techcombank.com/thong-tin/blog/lai-suat-chung-chi-tien-gui-cac-ngan-hang</v>
      </c>
      <c r="D615" s="5" t="str">
        <f t="shared" si="1"/>
        <v>OK</v>
      </c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35" t="str">
        <f>IFERROR(__xludf.DUMMYFUNCTION("""COMPUTED_VALUE"""),"https://techcombank.com/thong-tin/blog/chuong-trinh-khach-hang-than-thiet")</f>
        <v>https://techcombank.com/thong-tin/blog/chuong-trinh-khach-hang-than-thiet</v>
      </c>
      <c r="B616" s="25">
        <f>IFERROR(__xludf.DUMMYFUNCTION("""COMPUTED_VALUE"""),1.0)</f>
        <v>1</v>
      </c>
      <c r="C616" s="35" t="str">
        <f>IFERROR(__xludf.DUMMYFUNCTION("IF(A616="""","""",TEXTJOIN(CHAR(10),TRUE,FILTER('Chi tiết từng link'!$B$2:$B$2505,'Chi tiết từng link'!$D$2:$D$2505=A616)))"),"https://techcombank.com/thong-tin/blog/traveloka-voucher")</f>
        <v>https://techcombank.com/thong-tin/blog/traveloka-voucher</v>
      </c>
      <c r="D616" s="5" t="str">
        <f t="shared" si="1"/>
        <v>OK</v>
      </c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35" t="str">
        <f>IFERROR(__xludf.DUMMYFUNCTION("""COMPUTED_VALUE"""),"https://techcombank.com/thong-tin/blog/chuyen-doi-xanh")</f>
        <v>https://techcombank.com/thong-tin/blog/chuyen-doi-xanh</v>
      </c>
      <c r="B617" s="25">
        <f>IFERROR(__xludf.DUMMYFUNCTION("""COMPUTED_VALUE"""),1.0)</f>
        <v>1</v>
      </c>
      <c r="C617" s="35" t="str">
        <f>IFERROR(__xludf.DUMMYFUNCTION("IF(A617="""","""",TEXTJOIN(CHAR(10),TRUE,FILTER('Chi tiết từng link'!$B$2:$B$2505,'Chi tiết từng link'!$D$2:$D$2505=A617)))"),"https://techcombank.com/thong-tin/blog/eco-card")</f>
        <v>https://techcombank.com/thong-tin/blog/eco-card</v>
      </c>
      <c r="D617" s="5" t="str">
        <f t="shared" si="1"/>
        <v>OK</v>
      </c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35" t="str">
        <f>IFERROR(__xludf.DUMMYFUNCTION("""COMPUTED_VALUE"""),"https://techcombank.com/thong-tin/blog/chuyen-gia-du-doan-gia-bat-dong-san-2025-va-cac-no-luc-tu-ngan-hang")</f>
        <v>https://techcombank.com/thong-tin/blog/chuyen-gia-du-doan-gia-bat-dong-san-2025-va-cac-no-luc-tu-ngan-hang</v>
      </c>
      <c r="B618" s="25">
        <f>IFERROR(__xludf.DUMMYFUNCTION("""COMPUTED_VALUE"""),1.0)</f>
        <v>1</v>
      </c>
      <c r="C618" s="35" t="str">
        <f>IFERROR(__xludf.DUMMYFUNCTION("IF(A618="""","""",TEXTJOIN(CHAR(10),TRUE,FILTER('Chi tiết từng link'!$B$2:$B$2505,'Chi tiết từng link'!$D$2:$D$2505=A618)))"),"https://techcombank.com/thong-tin/blog/vay-ngan-hang-1-ty-moi-thang-tra-bao-nhieu")</f>
        <v>https://techcombank.com/thong-tin/blog/vay-ngan-hang-1-ty-moi-thang-tra-bao-nhieu</v>
      </c>
      <c r="D618" s="5" t="str">
        <f t="shared" si="1"/>
        <v>OK</v>
      </c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35" t="str">
        <f>IFERROR(__xludf.DUMMYFUNCTION("""COMPUTED_VALUE"""),"https://techcombank.com/thong-tin/blog/chuyen-khoan-lien-ngan-hang")</f>
        <v>https://techcombank.com/thong-tin/blog/chuyen-khoan-lien-ngan-hang</v>
      </c>
      <c r="B619" s="25">
        <f>IFERROR(__xludf.DUMMYFUNCTION("""COMPUTED_VALUE"""),1.0)</f>
        <v>1</v>
      </c>
      <c r="C619" s="35" t="str">
        <f>IFERROR(__xludf.DUMMYFUNCTION("IF(A619="""","""",TEXTJOIN(CHAR(10),TRUE,FILTER('Chi tiết từng link'!$B$2:$B$2505,'Chi tiết từng link'!$D$2:$D$2505=A619)))"),"https://techcombank.com/thong-tin/blog/chuyen-khoan-thanh-cong-nhung-khong-nhan-duoc-tien")</f>
        <v>https://techcombank.com/thong-tin/blog/chuyen-khoan-thanh-cong-nhung-khong-nhan-duoc-tien</v>
      </c>
      <c r="D619" s="5" t="str">
        <f t="shared" si="1"/>
        <v>OK</v>
      </c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35" t="str">
        <f>IFERROR(__xludf.DUMMYFUNCTION("""COMPUTED_VALUE"""),"https://techcombank.com/thong-tin/blog/chuyen-nham-tien-co-lay-lai-duoc-khong")</f>
        <v>https://techcombank.com/thong-tin/blog/chuyen-nham-tien-co-lay-lai-duoc-khong</v>
      </c>
      <c r="B620" s="25">
        <f>IFERROR(__xludf.DUMMYFUNCTION("""COMPUTED_VALUE"""),1.0)</f>
        <v>1</v>
      </c>
      <c r="C620" s="35" t="str">
        <f>IFERROR(__xludf.DUMMYFUNCTION("IF(A620="""","""",TEXTJOIN(CHAR(10),TRUE,FILTER('Chi tiết từng link'!$B$2:$B$2505,'Chi tiết từng link'!$D$2:$D$2505=A620)))"),"https://techcombank.com/thong-tin/blog/chuyen-khoan-thanh-cong-nhung-khong-nhan-duoc-tien")</f>
        <v>https://techcombank.com/thong-tin/blog/chuyen-khoan-thanh-cong-nhung-khong-nhan-duoc-tien</v>
      </c>
      <c r="D620" s="5" t="str">
        <f t="shared" si="1"/>
        <v>OK</v>
      </c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35" t="str">
        <f>IFERROR(__xludf.DUMMYFUNCTION("""COMPUTED_VALUE"""),"https://techcombank.com/thong-tin/blog/co-nen-vay-ngan-hang-mua-nha")</f>
        <v>https://techcombank.com/thong-tin/blog/co-nen-vay-ngan-hang-mua-nha</v>
      </c>
      <c r="B621" s="25">
        <f>IFERROR(__xludf.DUMMYFUNCTION("""COMPUTED_VALUE"""),1.0)</f>
        <v>1</v>
      </c>
      <c r="C621" s="35" t="str">
        <f>IFERROR(__xludf.DUMMYFUNCTION("IF(A621="""","""",TEXTJOIN(CHAR(10),TRUE,FILTER('Chi tiết từng link'!$B$2:$B$2505,'Chi tiết từng link'!$D$2:$D$2505=A621)))"),"https://techcombank.com/thong-tin/blog/vay-ngan-hang-1-ty-moi-thang-tra-bao-nhieu")</f>
        <v>https://techcombank.com/thong-tin/blog/vay-ngan-hang-1-ty-moi-thang-tra-bao-nhieu</v>
      </c>
      <c r="D621" s="5" t="str">
        <f t="shared" si="1"/>
        <v>OK</v>
      </c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35" t="str">
        <f>IFERROR(__xludf.DUMMYFUNCTION("""COMPUTED_VALUE"""),"https://techcombank.com/thong-tin/blog/dac-san-da-nang")</f>
        <v>https://techcombank.com/thong-tin/blog/dac-san-da-nang</v>
      </c>
      <c r="B622" s="25">
        <f>IFERROR(__xludf.DUMMYFUNCTION("""COMPUTED_VALUE"""),1.0)</f>
        <v>1</v>
      </c>
      <c r="C622" s="35" t="str">
        <f>IFERROR(__xludf.DUMMYFUNCTION("IF(A622="""","""",TEXTJOIN(CHAR(10),TRUE,FILTER('Chi tiết từng link'!$B$2:$B$2505,'Chi tiết từng link'!$D$2:$D$2505=A622)))"),"https://techcombank.com/thong-tin/blog/traveloka-voucher")</f>
        <v>https://techcombank.com/thong-tin/blog/traveloka-voucher</v>
      </c>
      <c r="D622" s="5" t="str">
        <f t="shared" si="1"/>
        <v>OK</v>
      </c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35" t="str">
        <f>IFERROR(__xludf.DUMMYFUNCTION("""COMPUTED_VALUE"""),"https://techcombank.com/thong-tin/blog/dac-san-ha-long")</f>
        <v>https://techcombank.com/thong-tin/blog/dac-san-ha-long</v>
      </c>
      <c r="B623" s="25">
        <f>IFERROR(__xludf.DUMMYFUNCTION("""COMPUTED_VALUE"""),1.0)</f>
        <v>1</v>
      </c>
      <c r="C623" s="35" t="str">
        <f>IFERROR(__xludf.DUMMYFUNCTION("IF(A623="""","""",TEXTJOIN(CHAR(10),TRUE,FILTER('Chi tiết từng link'!$B$2:$B$2505,'Chi tiết từng link'!$D$2:$D$2505=A623)))"),"https://techcombank.com/thong-tin/blog/traveloka-voucher")</f>
        <v>https://techcombank.com/thong-tin/blog/traveloka-voucher</v>
      </c>
      <c r="D623" s="5" t="str">
        <f t="shared" si="1"/>
        <v>OK</v>
      </c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35" t="str">
        <f>IFERROR(__xludf.DUMMYFUNCTION("""COMPUTED_VALUE"""),"https://techcombank.com/thong-tin/blog/dac-san-hai-phong")</f>
        <v>https://techcombank.com/thong-tin/blog/dac-san-hai-phong</v>
      </c>
      <c r="B624" s="25">
        <f>IFERROR(__xludf.DUMMYFUNCTION("""COMPUTED_VALUE"""),1.0)</f>
        <v>1</v>
      </c>
      <c r="C624" s="35" t="str">
        <f>IFERROR(__xludf.DUMMYFUNCTION("IF(A624="""","""",TEXTJOIN(CHAR(10),TRUE,FILTER('Chi tiết từng link'!$B$2:$B$2505,'Chi tiết từng link'!$D$2:$D$2505=A624)))"),"https://techcombank.com/thong-tin/blog/traveloka-voucher")</f>
        <v>https://techcombank.com/thong-tin/blog/traveloka-voucher</v>
      </c>
      <c r="D624" s="5" t="str">
        <f t="shared" si="1"/>
        <v>OK</v>
      </c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35" t="str">
        <f>IFERROR(__xludf.DUMMYFUNCTION("""COMPUTED_VALUE"""),"https://techcombank.com/thong-tin/blog/dac-san-nha-trang")</f>
        <v>https://techcombank.com/thong-tin/blog/dac-san-nha-trang</v>
      </c>
      <c r="B625" s="25">
        <f>IFERROR(__xludf.DUMMYFUNCTION("""COMPUTED_VALUE"""),1.0)</f>
        <v>1</v>
      </c>
      <c r="C625" s="35" t="str">
        <f>IFERROR(__xludf.DUMMYFUNCTION("IF(A625="""","""",TEXTJOIN(CHAR(10),TRUE,FILTER('Chi tiết từng link'!$B$2:$B$2505,'Chi tiết từng link'!$D$2:$D$2505=A625)))"),"https://techcombank.com/thong-tin/blog/traveloka-voucher")</f>
        <v>https://techcombank.com/thong-tin/blog/traveloka-voucher</v>
      </c>
      <c r="D625" s="5" t="str">
        <f t="shared" si="1"/>
        <v>OK</v>
      </c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35" t="str">
        <f>IFERROR(__xludf.DUMMYFUNCTION("""COMPUTED_VALUE"""),"https://techcombank.com/thong-tin/blog/dang-ky-nhieu-tai-khoan-ngan-hang-co-sao-khong")</f>
        <v>https://techcombank.com/thong-tin/blog/dang-ky-nhieu-tai-khoan-ngan-hang-co-sao-khong</v>
      </c>
      <c r="B626" s="25">
        <f>IFERROR(__xludf.DUMMYFUNCTION("""COMPUTED_VALUE"""),1.0)</f>
        <v>1</v>
      </c>
      <c r="C626" s="35" t="str">
        <f>IFERROR(__xludf.DUMMYFUNCTION("IF(A626="""","""",TEXTJOIN(CHAR(10),TRUE,FILTER('Chi tiết từng link'!$B$2:$B$2505,'Chi tiết từng link'!$D$2:$D$2505=A626)))"),"https://techcombank.com/thong-tin/blog/cach-mo-tai-khoan")</f>
        <v>https://techcombank.com/thong-tin/blog/cach-mo-tai-khoan</v>
      </c>
      <c r="D626" s="5" t="str">
        <f t="shared" si="1"/>
        <v>OK</v>
      </c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35" t="str">
        <f>IFERROR(__xludf.DUMMYFUNCTION("""COMPUTED_VALUE"""),"https://techcombank.com/thong-tin/blog/dang-ky-thanh-lap-doanh-nghiep")</f>
        <v>https://techcombank.com/thong-tin/blog/dang-ky-thanh-lap-doanh-nghiep</v>
      </c>
      <c r="B627" s="25">
        <f>IFERROR(__xludf.DUMMYFUNCTION("""COMPUTED_VALUE"""),1.0)</f>
        <v>1</v>
      </c>
      <c r="C627" s="35" t="str">
        <f>IFERROR(__xludf.DUMMYFUNCTION("IF(A627="""","""",TEXTJOIN(CHAR(10),TRUE,FILTER('Chi tiết từng link'!$B$2:$B$2505,'Chi tiết từng link'!$D$2:$D$2505=A627)))"),"https://techcombank.com/thong-tin/blog/thue-doanh-nghiep")</f>
        <v>https://techcombank.com/thong-tin/blog/thue-doanh-nghiep</v>
      </c>
      <c r="D627" s="5" t="str">
        <f t="shared" si="1"/>
        <v>OK</v>
      </c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35" t="str">
        <f>IFERROR(__xludf.DUMMYFUNCTION("""COMPUTED_VALUE"""),"https://techcombank.com/thong-tin/blog/dang-ky-thanh-lap-doanh-nghiep-online")</f>
        <v>https://techcombank.com/thong-tin/blog/dang-ky-thanh-lap-doanh-nghiep-online</v>
      </c>
      <c r="B628" s="25">
        <f>IFERROR(__xludf.DUMMYFUNCTION("""COMPUTED_VALUE"""),1.0)</f>
        <v>1</v>
      </c>
      <c r="C628" s="35" t="str">
        <f>IFERROR(__xludf.DUMMYFUNCTION("IF(A628="""","""",TEXTJOIN(CHAR(10),TRUE,FILTER('Chi tiết từng link'!$B$2:$B$2505,'Chi tiết từng link'!$D$2:$D$2505=A628)))"),"https://techcombank.com/thong-tin/blog/thue-doanh-nghiep")</f>
        <v>https://techcombank.com/thong-tin/blog/thue-doanh-nghiep</v>
      </c>
      <c r="D628" s="5" t="str">
        <f t="shared" si="1"/>
        <v>OK</v>
      </c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35" t="str">
        <f>IFERROR(__xludf.DUMMYFUNCTION("""COMPUTED_VALUE"""),"https://techcombank.com/thong-tin/blog/dao-tao-the-he-ke-can")</f>
        <v>https://techcombank.com/thong-tin/blog/dao-tao-the-he-ke-can</v>
      </c>
      <c r="B629" s="25">
        <f>IFERROR(__xludf.DUMMYFUNCTION("""COMPUTED_VALUE"""),1.0)</f>
        <v>1</v>
      </c>
      <c r="C629" s="35" t="str">
        <f>IFERROR(__xludf.DUMMYFUNCTION("IF(A629="""","""",TEXTJOIN(CHAR(10),TRUE,FILTER('Chi tiết từng link'!$B$2:$B$2505,'Chi tiết từng link'!$D$2:$D$2505=A629)))"),"https://techcombank.com/thong-tin/blog/mo-tai-khoan-ngan-hang-duoi-18-tuoi")</f>
        <v>https://techcombank.com/thong-tin/blog/mo-tai-khoan-ngan-hang-duoi-18-tuoi</v>
      </c>
      <c r="D629" s="5" t="str">
        <f t="shared" si="1"/>
        <v>OK</v>
      </c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35" t="str">
        <f>IFERROR(__xludf.DUMMYFUNCTION("""COMPUTED_VALUE"""),"https://techcombank.com/thong-tin/blog/dat-ve-may-bay")</f>
        <v>https://techcombank.com/thong-tin/blog/dat-ve-may-bay</v>
      </c>
      <c r="B630" s="25">
        <f>IFERROR(__xludf.DUMMYFUNCTION("""COMPUTED_VALUE"""),1.0)</f>
        <v>1</v>
      </c>
      <c r="C630" s="35" t="str">
        <f>IFERROR(__xludf.DUMMYFUNCTION("IF(A630="""","""",TEXTJOIN(CHAR(10),TRUE,FILTER('Chi tiết từng link'!$B$2:$B$2505,'Chi tiết từng link'!$D$2:$D$2505=A630)))"),"https://techcombank.com/thong-tin/blog/traveloka-voucher")</f>
        <v>https://techcombank.com/thong-tin/blog/traveloka-voucher</v>
      </c>
      <c r="D630" s="5" t="str">
        <f t="shared" si="1"/>
        <v>OK</v>
      </c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35" t="str">
        <f>IFERROR(__xludf.DUMMYFUNCTION("""COMPUTED_VALUE"""),"https://techcombank.com/thong-tin/blog/dau-tu-quy-mo")</f>
        <v>https://techcombank.com/thong-tin/blog/dau-tu-quy-mo</v>
      </c>
      <c r="B631" s="25">
        <f>IFERROR(__xludf.DUMMYFUNCTION("""COMPUTED_VALUE"""),1.0)</f>
        <v>1</v>
      </c>
      <c r="C631" s="35" t="str">
        <f>IFERROR(__xludf.DUMMYFUNCTION("IF(A631="""","""",TEXTJOIN(CHAR(10),TRUE,FILTER('Chi tiết từng link'!$B$2:$B$2505,'Chi tiết từng link'!$D$2:$D$2505=A631)))"),"https://techcombank.com/thong-tin/blog/phuong-phap-dau-tu-chung-chi-quy")</f>
        <v>https://techcombank.com/thong-tin/blog/phuong-phap-dau-tu-chung-chi-quy</v>
      </c>
      <c r="D631" s="5" t="str">
        <f t="shared" si="1"/>
        <v>OK</v>
      </c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35" t="str">
        <f>IFERROR(__xludf.DUMMYFUNCTION("""COMPUTED_VALUE"""),"https://techcombank.com/thong-tin/blog/day-so-phat-tai-phat-loc")</f>
        <v>https://techcombank.com/thong-tin/blog/day-so-phat-tai-phat-loc</v>
      </c>
      <c r="B632" s="25">
        <f>IFERROR(__xludf.DUMMYFUNCTION("""COMPUTED_VALUE"""),1.0)</f>
        <v>1</v>
      </c>
      <c r="C632" s="35" t="str">
        <f>IFERROR(__xludf.DUMMYFUNCTION("IF(A632="""","""",TEXTJOIN(CHAR(10),TRUE,FILTER('Chi tiết từng link'!$B$2:$B$2505,'Chi tiết từng link'!$D$2:$D$2505=A632)))"),"https://techcombank.com/thong-tin/blog/cach-kiem-tra-tai-khoan-ngan-hang")</f>
        <v>https://techcombank.com/thong-tin/blog/cach-kiem-tra-tai-khoan-ngan-hang</v>
      </c>
      <c r="D632" s="5" t="str">
        <f t="shared" si="1"/>
        <v>OK</v>
      </c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35" t="str">
        <f>IFERROR(__xludf.DUMMYFUNCTION("""COMPUTED_VALUE"""),"https://techcombank.com/thong-tin/blog/dieu-kien-thanh-lap-doanh-nghiep")</f>
        <v>https://techcombank.com/thong-tin/blog/dieu-kien-thanh-lap-doanh-nghiep</v>
      </c>
      <c r="B633" s="25">
        <f>IFERROR(__xludf.DUMMYFUNCTION("""COMPUTED_VALUE"""),1.0)</f>
        <v>1</v>
      </c>
      <c r="C633" s="35" t="str">
        <f>IFERROR(__xludf.DUMMYFUNCTION("IF(A633="""","""",TEXTJOIN(CHAR(10),TRUE,FILTER('Chi tiết từng link'!$B$2:$B$2505,'Chi tiết từng link'!$D$2:$D$2505=A633)))"),"https://techcombank.com/thong-tin/blog/thue-doanh-nghiep")</f>
        <v>https://techcombank.com/thong-tin/blog/thue-doanh-nghiep</v>
      </c>
      <c r="D633" s="5" t="str">
        <f t="shared" si="1"/>
        <v>OK</v>
      </c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35" t="str">
        <f>IFERROR(__xludf.DUMMYFUNCTION("""COMPUTED_VALUE"""),"https://techcombank.com/thong-tin/blog/dinar-kuwait")</f>
        <v>https://techcombank.com/thong-tin/blog/dinar-kuwait</v>
      </c>
      <c r="B634" s="25">
        <f>IFERROR(__xludf.DUMMYFUNCTION("""COMPUTED_VALUE"""),1.0)</f>
        <v>1</v>
      </c>
      <c r="C634" s="35" t="str">
        <f>IFERROR(__xludf.DUMMYFUNCTION("IF(A634="""","""",TEXTJOIN(CHAR(10),TRUE,FILTER('Chi tiết từng link'!$B$2:$B$2505,'Chi tiết từng link'!$D$2:$D$2505=A634)))"),"https://techcombank.com/thong-tin/blog/doi-tien-do-o-dau")</f>
        <v>https://techcombank.com/thong-tin/blog/doi-tien-do-o-dau</v>
      </c>
      <c r="D634" s="5" t="str">
        <f t="shared" si="1"/>
        <v>OK</v>
      </c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35" t="str">
        <f>IFERROR(__xludf.DUMMYFUNCTION("""COMPUTED_VALUE"""),"https://techcombank.com/thong-tin/blog/doi-dam-bay")</f>
        <v>https://techcombank.com/thong-tin/blog/doi-dam-bay</v>
      </c>
      <c r="B635" s="25">
        <f>IFERROR(__xludf.DUMMYFUNCTION("""COMPUTED_VALUE"""),1.0)</f>
        <v>1</v>
      </c>
      <c r="C635" s="35" t="str">
        <f>IFERROR(__xludf.DUMMYFUNCTION("IF(A635="""","""",TEXTJOIN(CHAR(10),TRUE,FILTER('Chi tiết từng link'!$B$2:$B$2505,'Chi tiết từng link'!$D$2:$D$2505=A635)))"),"https://techcombank.com/thong-tin/blog/traveloka-voucher")</f>
        <v>https://techcombank.com/thong-tin/blog/traveloka-voucher</v>
      </c>
      <c r="D635" s="5" t="str">
        <f t="shared" si="1"/>
        <v>OK</v>
      </c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35" t="str">
        <f>IFERROR(__xludf.DUMMYFUNCTION("""COMPUTED_VALUE"""),"https://techcombank.com/thong-tin/blog/du-bao-gia-vang")</f>
        <v>https://techcombank.com/thong-tin/blog/du-bao-gia-vang</v>
      </c>
      <c r="B636" s="25">
        <f>IFERROR(__xludf.DUMMYFUNCTION("""COMPUTED_VALUE"""),1.0)</f>
        <v>1</v>
      </c>
      <c r="C636" s="35" t="str">
        <f>IFERROR(__xludf.DUMMYFUNCTION("IF(A636="""","""",TEXTJOIN(CHAR(10),TRUE,FILTER('Chi tiết từng link'!$B$2:$B$2505,'Chi tiết từng link'!$D$2:$D$2505=A636)))"),"https://techcombank.com/thong-tin/blog/phuong-phap-dau-tu-chung-chi-quy")</f>
        <v>https://techcombank.com/thong-tin/blog/phuong-phap-dau-tu-chung-chi-quy</v>
      </c>
      <c r="D636" s="5" t="str">
        <f t="shared" si="1"/>
        <v>OK</v>
      </c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35" t="str">
        <f>IFERROR(__xludf.DUMMYFUNCTION("""COMPUTED_VALUE"""),"https://techcombank.com/thong-tin/blog/eco-card")</f>
        <v>https://techcombank.com/thong-tin/blog/eco-card</v>
      </c>
      <c r="B637" s="25">
        <f>IFERROR(__xludf.DUMMYFUNCTION("""COMPUTED_VALUE"""),1.0)</f>
        <v>1</v>
      </c>
      <c r="C637" s="35" t="str">
        <f>IFERROR(__xludf.DUMMYFUNCTION("IF(A637="""","""",TEXTJOIN(CHAR(10),TRUE,FILTER('Chi tiết từng link'!$B$2:$B$2505,'Chi tiết từng link'!$D$2:$D$2505=A637)))"),"https://techcombank.com/thong-tin/blog/lam-the-tin-dung")</f>
        <v>https://techcombank.com/thong-tin/blog/lam-the-tin-dung</v>
      </c>
      <c r="D637" s="5" t="str">
        <f t="shared" si="1"/>
        <v>OK</v>
      </c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35" t="str">
        <f>IFERROR(__xludf.DUMMYFUNCTION("""COMPUTED_VALUE"""),"https://techcombank.com/thong-tin/blog/ekyc-la-gi")</f>
        <v>https://techcombank.com/thong-tin/blog/ekyc-la-gi</v>
      </c>
      <c r="B638" s="25">
        <f>IFERROR(__xludf.DUMMYFUNCTION("""COMPUTED_VALUE"""),1.0)</f>
        <v>1</v>
      </c>
      <c r="C638" s="35" t="str">
        <f>IFERROR(__xludf.DUMMYFUNCTION("IF(A638="""","""",TEXTJOIN(CHAR(10),TRUE,FILTER('Chi tiết từng link'!$B$2:$B$2505,'Chi tiết từng link'!$D$2:$D$2505=A638)))"),"https://techcombank.com/thong-tin/blog/cach-quet-nfc-cccd-tren-iphone")</f>
        <v>https://techcombank.com/thong-tin/blog/cach-quet-nfc-cccd-tren-iphone</v>
      </c>
      <c r="D638" s="5" t="str">
        <f t="shared" si="1"/>
        <v>OK</v>
      </c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35" t="str">
        <f>IFERROR(__xludf.DUMMYFUNCTION("""COMPUTED_VALUE"""),"https://techcombank.com/thong-tin/blog/esg")</f>
        <v>https://techcombank.com/thong-tin/blog/esg</v>
      </c>
      <c r="B639" s="25">
        <f>IFERROR(__xludf.DUMMYFUNCTION("""COMPUTED_VALUE"""),1.0)</f>
        <v>1</v>
      </c>
      <c r="C639" s="35" t="str">
        <f>IFERROR(__xludf.DUMMYFUNCTION("IF(A639="""","""",TEXTJOIN(CHAR(10),TRUE,FILTER('Chi tiết từng link'!$B$2:$B$2505,'Chi tiết từng link'!$D$2:$D$2505=A639)))"),"https://techcombank.com/thong-tin/blog/eco-card")</f>
        <v>https://techcombank.com/thong-tin/blog/eco-card</v>
      </c>
      <c r="D639" s="5" t="str">
        <f t="shared" si="1"/>
        <v>OK</v>
      </c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35" t="str">
        <f>IFERROR(__xludf.DUMMYFUNCTION("""COMPUTED_VALUE"""),"https://techcombank.com/thong-tin/blog/fdi")</f>
        <v>https://techcombank.com/thong-tin/blog/fdi</v>
      </c>
      <c r="B640" s="25">
        <f>IFERROR(__xludf.DUMMYFUNCTION("""COMPUTED_VALUE"""),1.0)</f>
        <v>1</v>
      </c>
      <c r="C640" s="35" t="str">
        <f>IFERROR(__xludf.DUMMYFUNCTION("IF(A640="""","""",TEXTJOIN(CHAR(10),TRUE,FILTER('Chi tiết từng link'!$B$2:$B$2505,'Chi tiết từng link'!$D$2:$D$2505=A640)))"),"https://techcombank.com/thong-tin/blog/phuong-phap-dau-tu-chung-chi-quy")</f>
        <v>https://techcombank.com/thong-tin/blog/phuong-phap-dau-tu-chung-chi-quy</v>
      </c>
      <c r="D640" s="5" t="str">
        <f t="shared" si="1"/>
        <v>OK</v>
      </c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35" t="str">
        <f>IFERROR(__xludf.DUMMYFUNCTION("""COMPUTED_VALUE"""),"https://techcombank.com/thong-tin/blog/gia-cao-su")</f>
        <v>https://techcombank.com/thong-tin/blog/gia-cao-su</v>
      </c>
      <c r="B641" s="25">
        <f>IFERROR(__xludf.DUMMYFUNCTION("""COMPUTED_VALUE"""),1.0)</f>
        <v>1</v>
      </c>
      <c r="C641" s="35" t="str">
        <f>IFERROR(__xludf.DUMMYFUNCTION("IF(A641="""","""",TEXTJOIN(CHAR(10),TRUE,FILTER('Chi tiết từng link'!$B$2:$B$2505,'Chi tiết từng link'!$D$2:$D$2505=A641)))"),"https://techcombank.com/thong-tin/blog/lai-suat-tiet-kiem")</f>
        <v>https://techcombank.com/thong-tin/blog/lai-suat-tiet-kiem</v>
      </c>
      <c r="D641" s="5" t="str">
        <f t="shared" si="1"/>
        <v>OK</v>
      </c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35" t="str">
        <f>IFERROR(__xludf.DUMMYFUNCTION("""COMPUTED_VALUE"""),"https://techcombank.com/thong-tin/blog/gia-dien-sinh-hoat")</f>
        <v>https://techcombank.com/thong-tin/blog/gia-dien-sinh-hoat</v>
      </c>
      <c r="B642" s="25">
        <f>IFERROR(__xludf.DUMMYFUNCTION("""COMPUTED_VALUE"""),1.0)</f>
        <v>1</v>
      </c>
      <c r="C642" s="35" t="str">
        <f>IFERROR(__xludf.DUMMYFUNCTION("IF(A642="""","""",TEXTJOIN(CHAR(10),TRUE,FILTER('Chi tiết từng link'!$B$2:$B$2505,'Chi tiết từng link'!$D$2:$D$2505=A642)))"),"https://techcombank.com/thong-tin/blog/cach-tinh-tien-dien-sinh-hoat")</f>
        <v>https://techcombank.com/thong-tin/blog/cach-tinh-tien-dien-sinh-hoat</v>
      </c>
      <c r="D642" s="5" t="str">
        <f t="shared" si="1"/>
        <v>OK</v>
      </c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35" t="str">
        <f>IFERROR(__xludf.DUMMYFUNCTION("""COMPUTED_VALUE"""),"https://techcombank.com/thong-tin/blog/gia-tri-thuong-hieu")</f>
        <v>https://techcombank.com/thong-tin/blog/gia-tri-thuong-hieu</v>
      </c>
      <c r="B643" s="25">
        <f>IFERROR(__xludf.DUMMYFUNCTION("""COMPUTED_VALUE"""),1.0)</f>
        <v>1</v>
      </c>
      <c r="C643" s="35" t="str">
        <f>IFERROR(__xludf.DUMMYFUNCTION("IF(A643="""","""",TEXTJOIN(CHAR(10),TRUE,FILTER('Chi tiết từng link'!$B$2:$B$2505,'Chi tiết từng link'!$D$2:$D$2505=A643)))"),"https://techcombank.com/thong-tin/blog/ngan-hang-uy-tin")</f>
        <v>https://techcombank.com/thong-tin/blog/ngan-hang-uy-tin</v>
      </c>
      <c r="D643" s="5" t="str">
        <f t="shared" si="1"/>
        <v>OK</v>
      </c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35" t="str">
        <f>IFERROR(__xludf.DUMMYFUNCTION("""COMPUTED_VALUE"""),"https://techcombank.com/thong-tin/blog/giai-phap-quan-ly-chuoi-cua-hang")</f>
        <v>https://techcombank.com/thong-tin/blog/giai-phap-quan-ly-chuoi-cua-hang</v>
      </c>
      <c r="B644" s="25">
        <f>IFERROR(__xludf.DUMMYFUNCTION("""COMPUTED_VALUE"""),1.0)</f>
        <v>1</v>
      </c>
      <c r="C644" s="35" t="str">
        <f>IFERROR(__xludf.DUMMYFUNCTION("IF(A644="""","""",TEXTJOIN(CHAR(10),TRUE,FILTER('Chi tiết từng link'!$B$2:$B$2505,'Chi tiết từng link'!$D$2:$D$2505=A644)))"),"https://techcombank.com/thong-tin/blog/mo-hinh-kinh-doanh-la-gi")</f>
        <v>https://techcombank.com/thong-tin/blog/mo-hinh-kinh-doanh-la-gi</v>
      </c>
      <c r="D644" s="5" t="str">
        <f t="shared" si="1"/>
        <v>OK</v>
      </c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35" t="str">
        <f>IFERROR(__xludf.DUMMYFUNCTION("""COMPUTED_VALUE"""),"https://techcombank.com/thong-tin/blog/giam-gia-be")</f>
        <v>https://techcombank.com/thong-tin/blog/giam-gia-be</v>
      </c>
      <c r="B645" s="25">
        <f>IFERROR(__xludf.DUMMYFUNCTION("""COMPUTED_VALUE"""),1.0)</f>
        <v>1</v>
      </c>
      <c r="C645" s="35" t="str">
        <f>IFERROR(__xludf.DUMMYFUNCTION("IF(A645="""","""",TEXTJOIN(CHAR(10),TRUE,FILTER('Chi tiết từng link'!$B$2:$B$2505,'Chi tiết từng link'!$D$2:$D$2505=A645)))"),"https://techcombank.com/thong-tin/blog/traveloka-voucher")</f>
        <v>https://techcombank.com/thong-tin/blog/traveloka-voucher</v>
      </c>
      <c r="D645" s="5" t="str">
        <f t="shared" si="1"/>
        <v>OK</v>
      </c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35" t="str">
        <f>IFERROR(__xludf.DUMMYFUNCTION("""COMPUTED_VALUE"""),"https://techcombank.com/thong-tin/blog/gio-lam-viec-ngan-hang")</f>
        <v>https://techcombank.com/thong-tin/blog/gio-lam-viec-ngan-hang</v>
      </c>
      <c r="B646" s="25">
        <f>IFERROR(__xludf.DUMMYFUNCTION("""COMPUTED_VALUE"""),1.0)</f>
        <v>1</v>
      </c>
      <c r="C646" s="35" t="str">
        <f>IFERROR(__xludf.DUMMYFUNCTION("IF(A646="""","""",TEXTJOIN(CHAR(10),TRUE,FILTER('Chi tiết từng link'!$B$2:$B$2505,'Chi tiết từng link'!$D$2:$D$2505=A646)))"),"https://techcombank.com/thong-tin/blog/ngan-hang-uy-tin")</f>
        <v>https://techcombank.com/thong-tin/blog/ngan-hang-uy-tin</v>
      </c>
      <c r="D646" s="5" t="str">
        <f t="shared" si="1"/>
        <v>OK</v>
      </c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35" t="str">
        <f>IFERROR(__xludf.DUMMYFUNCTION("""COMPUTED_VALUE"""),"https://techcombank.com/thong-tin/blog/high-net-worth-client-va-ultra-high-net-worth-client")</f>
        <v>https://techcombank.com/thong-tin/blog/high-net-worth-client-va-ultra-high-net-worth-client</v>
      </c>
      <c r="B647" s="25">
        <f>IFERROR(__xludf.DUMMYFUNCTION("""COMPUTED_VALUE"""),1.0)</f>
        <v>1</v>
      </c>
      <c r="C647" s="35" t="str">
        <f>IFERROR(__xludf.DUMMYFUNCTION("IF(A647="""","""",TEXTJOIN(CHAR(10),TRUE,FILTER('Chi tiết từng link'!$B$2:$B$2505,'Chi tiết từng link'!$D$2:$D$2505=A647)))"),"https://techcombank.com/thong-tin/blog/1-trieu-do-bang-bao-nhieu-tien-viet")</f>
        <v>https://techcombank.com/thong-tin/blog/1-trieu-do-bang-bao-nhieu-tien-viet</v>
      </c>
      <c r="D647" s="5" t="str">
        <f t="shared" si="1"/>
        <v>OK</v>
      </c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35" t="str">
        <f>IFERROR(__xludf.DUMMYFUNCTION("""COMPUTED_VALUE"""),"https://techcombank.com/thong-tin/blog/ho-so-dang-ky-thanh-lap-doanh-nghiep")</f>
        <v>https://techcombank.com/thong-tin/blog/ho-so-dang-ky-thanh-lap-doanh-nghiep</v>
      </c>
      <c r="B648" s="25">
        <f>IFERROR(__xludf.DUMMYFUNCTION("""COMPUTED_VALUE"""),1.0)</f>
        <v>1</v>
      </c>
      <c r="C648" s="35" t="str">
        <f>IFERROR(__xludf.DUMMYFUNCTION("IF(A648="""","""",TEXTJOIN(CHAR(10),TRUE,FILTER('Chi tiết từng link'!$B$2:$B$2505,'Chi tiết từng link'!$D$2:$D$2505=A648)))"),"https://techcombank.com/thong-tin/blog/thue-doanh-nghiep")</f>
        <v>https://techcombank.com/thong-tin/blog/thue-doanh-nghiep</v>
      </c>
      <c r="D648" s="5" t="str">
        <f t="shared" si="1"/>
        <v>OK</v>
      </c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35" t="str">
        <f>IFERROR(__xludf.DUMMYFUNCTION("""COMPUTED_VALUE"""),"https://techcombank.com/thong-tin/blog/internet-banking")</f>
        <v>https://techcombank.com/thong-tin/blog/internet-banking</v>
      </c>
      <c r="B649" s="25">
        <f>IFERROR(__xludf.DUMMYFUNCTION("""COMPUTED_VALUE"""),1.0)</f>
        <v>1</v>
      </c>
      <c r="C649" s="35" t="str">
        <f>IFERROR(__xludf.DUMMYFUNCTION("IF(A649="""","""",TEXTJOIN(CHAR(10),TRUE,FILTER('Chi tiết từng link'!$B$2:$B$2505,'Chi tiết từng link'!$D$2:$D$2505=A649)))"),"https://techcombank.com/thong-tin/blog/ten-dang-nhap-tai-khoan-ngan-hang-la-gi")</f>
        <v>https://techcombank.com/thong-tin/blog/ten-dang-nhap-tai-khoan-ngan-hang-la-gi</v>
      </c>
      <c r="D649" s="5" t="str">
        <f t="shared" si="1"/>
        <v>OK</v>
      </c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35" t="str">
        <f>IFERROR(__xludf.DUMMYFUNCTION("""COMPUTED_VALUE"""),"https://techcombank.com/thong-tin/blog/ke-hoach-huu-tri")</f>
        <v>https://techcombank.com/thong-tin/blog/ke-hoach-huu-tri</v>
      </c>
      <c r="B650" s="25">
        <f>IFERROR(__xludf.DUMMYFUNCTION("""COMPUTED_VALUE"""),1.0)</f>
        <v>1</v>
      </c>
      <c r="C650" s="35" t="str">
        <f>IFERROR(__xludf.DUMMYFUNCTION("IF(A650="""","""",TEXTJOIN(CHAR(10),TRUE,FILTER('Chi tiết từng link'!$B$2:$B$2505,'Chi tiết từng link'!$D$2:$D$2505=A650)))"),"https://techcombank.com/thong-tin/blog/eco-card")</f>
        <v>https://techcombank.com/thong-tin/blog/eco-card</v>
      </c>
      <c r="D650" s="5" t="str">
        <f t="shared" si="1"/>
        <v>OK</v>
      </c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35" t="str">
        <f>IFERROR(__xludf.DUMMYFUNCTION("""COMPUTED_VALUE"""),"https://techcombank.com/thong-tin/blog/ke-hoach-tai-chinh")</f>
        <v>https://techcombank.com/thong-tin/blog/ke-hoach-tai-chinh</v>
      </c>
      <c r="B651" s="25">
        <f>IFERROR(__xludf.DUMMYFUNCTION("""COMPUTED_VALUE"""),1.0)</f>
        <v>1</v>
      </c>
      <c r="C651" s="35" t="str">
        <f>IFERROR(__xludf.DUMMYFUNCTION("IF(A651="""","""",TEXTJOIN(CHAR(10),TRUE,FILTER('Chi tiết từng link'!$B$2:$B$2505,'Chi tiết từng link'!$D$2:$D$2505=A651)))"),"https://techcombank.com/thong-tin/blog/cach-tiet-kiem-tien")</f>
        <v>https://techcombank.com/thong-tin/blog/cach-tiet-kiem-tien</v>
      </c>
      <c r="D651" s="5" t="str">
        <f t="shared" si="1"/>
        <v>OK</v>
      </c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35" t="str">
        <f>IFERROR(__xludf.DUMMYFUNCTION("""COMPUTED_VALUE"""),"https://techcombank.com/thong-tin/blog/khau-hao")</f>
        <v>https://techcombank.com/thong-tin/blog/khau-hao</v>
      </c>
      <c r="B652" s="25">
        <f>IFERROR(__xludf.DUMMYFUNCTION("""COMPUTED_VALUE"""),1.0)</f>
        <v>1</v>
      </c>
      <c r="C652" s="35" t="str">
        <f>IFERROR(__xludf.DUMMYFUNCTION("IF(A652="""","""",TEXTJOIN(CHAR(10),TRUE,FILTER('Chi tiết từng link'!$B$2:$B$2505,'Chi tiết từng link'!$D$2:$D$2505=A652)))"),"https://techcombank.com/thong-tin/blog/cach-tinh-thue-thu-nhap-doanh-nghiep")</f>
        <v>https://techcombank.com/thong-tin/blog/cach-tinh-thue-thu-nhap-doanh-nghiep</v>
      </c>
      <c r="D652" s="5" t="str">
        <f t="shared" si="1"/>
        <v>OK</v>
      </c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35" t="str">
        <f>IFERROR(__xludf.DUMMYFUNCTION("""COMPUTED_VALUE"""),"https://techcombank.com/thong-tin/blog/khau-hao-la-gi")</f>
        <v>https://techcombank.com/thong-tin/blog/khau-hao-la-gi</v>
      </c>
      <c r="B653" s="25">
        <f>IFERROR(__xludf.DUMMYFUNCTION("""COMPUTED_VALUE"""),1.0)</f>
        <v>1</v>
      </c>
      <c r="C653" s="35" t="str">
        <f>IFERROR(__xludf.DUMMYFUNCTION("IF(A653="""","""",TEXTJOIN(CHAR(10),TRUE,FILTER('Chi tiết từng link'!$B$2:$B$2505,'Chi tiết từng link'!$D$2:$D$2505=A653)))"),"https://techcombank.com/thong-tin/blog/cach-tinh-thue-thu-nhap-doanh-nghiep")</f>
        <v>https://techcombank.com/thong-tin/blog/cach-tinh-thue-thu-nhap-doanh-nghiep</v>
      </c>
      <c r="D653" s="5" t="str">
        <f t="shared" si="1"/>
        <v>OK</v>
      </c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35" t="str">
        <f>IFERROR(__xludf.DUMMYFUNCTION("""COMPUTED_VALUE"""),"https://techcombank.com/thong-tin/blog/kichi-kichi")</f>
        <v>https://techcombank.com/thong-tin/blog/kichi-kichi</v>
      </c>
      <c r="B654" s="25">
        <f>IFERROR(__xludf.DUMMYFUNCTION("""COMPUTED_VALUE"""),1.0)</f>
        <v>1</v>
      </c>
      <c r="C654" s="35" t="str">
        <f>IFERROR(__xludf.DUMMYFUNCTION("IF(A654="""","""",TEXTJOIN(CHAR(10),TRUE,FILTER('Chi tiết từng link'!$B$2:$B$2505,'Chi tiết từng link'!$D$2:$D$2505=A654)))"),"https://techcombank.com/thong-tin/blog/traveloka-voucher")</f>
        <v>https://techcombank.com/thong-tin/blog/traveloka-voucher</v>
      </c>
      <c r="D654" s="5" t="str">
        <f t="shared" si="1"/>
        <v>OK</v>
      </c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35" t="str">
        <f>IFERROR(__xludf.DUMMYFUNCTION("""COMPUTED_VALUE"""),"https://techcombank.com/thong-tin/blog/kieu-hoi-la-gi")</f>
        <v>https://techcombank.com/thong-tin/blog/kieu-hoi-la-gi</v>
      </c>
      <c r="B655" s="25">
        <f>IFERROR(__xludf.DUMMYFUNCTION("""COMPUTED_VALUE"""),1.0)</f>
        <v>1</v>
      </c>
      <c r="C655" s="35" t="str">
        <f>IFERROR(__xludf.DUMMYFUNCTION("IF(A655="""","""",TEXTJOIN(CHAR(10),TRUE,FILTER('Chi tiết từng link'!$B$2:$B$2505,'Chi tiết từng link'!$D$2:$D$2505=A655)))"),"https://techcombank.com/thong-tin/blog/cach-nhan-tien-tu-nuoc-ngoai-ve-viet-nam")</f>
        <v>https://techcombank.com/thong-tin/blog/cach-nhan-tien-tu-nuoc-ngoai-ve-viet-nam</v>
      </c>
      <c r="D655" s="5" t="str">
        <f t="shared" si="1"/>
        <v>OK</v>
      </c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35" t="str">
        <f>IFERROR(__xludf.DUMMYFUNCTION("""COMPUTED_VALUE"""),"https://techcombank.com/thong-tin/blog/kinh-doanh-online")</f>
        <v>https://techcombank.com/thong-tin/blog/kinh-doanh-online</v>
      </c>
      <c r="B656" s="25">
        <f>IFERROR(__xludf.DUMMYFUNCTION("""COMPUTED_VALUE"""),1.0)</f>
        <v>1</v>
      </c>
      <c r="C656" s="35" t="str">
        <f>IFERROR(__xludf.DUMMYFUNCTION("IF(A656="""","""",TEXTJOIN(CHAR(10),TRUE,FILTER('Chi tiết từng link'!$B$2:$B$2505,'Chi tiết từng link'!$D$2:$D$2505=A656)))"),"https://techcombank.com/thong-tin/blog/mo-hinh-kinh-doanh-la-gi")</f>
        <v>https://techcombank.com/thong-tin/blog/mo-hinh-kinh-doanh-la-gi</v>
      </c>
      <c r="D656" s="5" t="str">
        <f t="shared" si="1"/>
        <v>OK</v>
      </c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35" t="str">
        <f>IFERROR(__xludf.DUMMYFUNCTION("""COMPUTED_VALUE"""),"https://techcombank.com/thong-tin/blog/lai-suat-la-gi")</f>
        <v>https://techcombank.com/thong-tin/blog/lai-suat-la-gi</v>
      </c>
      <c r="B657" s="25">
        <f>IFERROR(__xludf.DUMMYFUNCTION("""COMPUTED_VALUE"""),1.0)</f>
        <v>1</v>
      </c>
      <c r="C657" s="35" t="str">
        <f>IFERROR(__xludf.DUMMYFUNCTION("IF(A657="""","""",TEXTJOIN(CHAR(10),TRUE,FILTER('Chi tiết từng link'!$B$2:$B$2505,'Chi tiết từng link'!$D$2:$D$2505=A657)))"),"https://techcombank.com/thong-tin/blog/lai-suat-vay-ngan-hang")</f>
        <v>https://techcombank.com/thong-tin/blog/lai-suat-vay-ngan-hang</v>
      </c>
      <c r="D657" s="5" t="str">
        <f t="shared" si="1"/>
        <v>OK</v>
      </c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35" t="str">
        <f>IFERROR(__xludf.DUMMYFUNCTION("""COMPUTED_VALUE"""),"https://techcombank.com/thong-tin/blog/lam-phat-la-gi")</f>
        <v>https://techcombank.com/thong-tin/blog/lam-phat-la-gi</v>
      </c>
      <c r="B658" s="25">
        <f>IFERROR(__xludf.DUMMYFUNCTION("""COMPUTED_VALUE"""),1.0)</f>
        <v>1</v>
      </c>
      <c r="C658" s="35" t="str">
        <f>IFERROR(__xludf.DUMMYFUNCTION("IF(A658="""","""",TEXTJOIN(CHAR(10),TRUE,FILTER('Chi tiết từng link'!$B$2:$B$2505,'Chi tiết từng link'!$D$2:$D$2505=A658)))"),"https://techcombank.com/thong-tin/blog/cach-tiet-kiem-tien")</f>
        <v>https://techcombank.com/thong-tin/blog/cach-tiet-kiem-tien</v>
      </c>
      <c r="D658" s="5" t="str">
        <f t="shared" si="1"/>
        <v>OK</v>
      </c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35" t="str">
        <f>IFERROR(__xludf.DUMMYFUNCTION("""COMPUTED_VALUE"""),"https://techcombank.com/thong-tin/blog/li-xi-tet")</f>
        <v>https://techcombank.com/thong-tin/blog/li-xi-tet</v>
      </c>
      <c r="B659" s="25">
        <f>IFERROR(__xludf.DUMMYFUNCTION("""COMPUTED_VALUE"""),1.0)</f>
        <v>1</v>
      </c>
      <c r="C659" s="35" t="str">
        <f>IFERROR(__xludf.DUMMYFUNCTION("IF(A659="""","""",TEXTJOIN(CHAR(10),TRUE,FILTER('Chi tiết từng link'!$B$2:$B$2505,'Chi tiết từng link'!$D$2:$D$2505=A659)))"),"https://techcombank.com/thong-tin/blog/day-so-phat-tai-phat-loc")</f>
        <v>https://techcombank.com/thong-tin/blog/day-so-phat-tai-phat-loc</v>
      </c>
      <c r="D659" s="5" t="str">
        <f t="shared" si="1"/>
        <v>OK</v>
      </c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35" t="str">
        <f>IFERROR(__xludf.DUMMYFUNCTION("""COMPUTED_VALUE"""),"https://techcombank.com/thong-tin/blog/loa-thong-bao-chuyen-khoan")</f>
        <v>https://techcombank.com/thong-tin/blog/loa-thong-bao-chuyen-khoan</v>
      </c>
      <c r="B660" s="25">
        <f>IFERROR(__xludf.DUMMYFUNCTION("""COMPUTED_VALUE"""),1.0)</f>
        <v>1</v>
      </c>
      <c r="C660" s="35" t="str">
        <f>IFERROR(__xludf.DUMMYFUNCTION("IF(A660="""","""",TEXTJOIN(CHAR(10),TRUE,FILTER('Chi tiết từng link'!$B$2:$B$2505,'Chi tiết từng link'!$D$2:$D$2505=A660)))"),"https://techcombank.com/thong-tin/blog/chuyen-khoan-thanh-cong-nhung-khong-nhan-duoc-tien")</f>
        <v>https://techcombank.com/thong-tin/blog/chuyen-khoan-thanh-cong-nhung-khong-nhan-duoc-tien</v>
      </c>
      <c r="D660" s="5" t="str">
        <f t="shared" si="1"/>
        <v>OK</v>
      </c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35" t="str">
        <f>IFERROR(__xludf.DUMMYFUNCTION("""COMPUTED_VALUE"""),"https://techcombank.com/thong-tin/blog/loa-ting-ting")</f>
        <v>https://techcombank.com/thong-tin/blog/loa-ting-ting</v>
      </c>
      <c r="B661" s="25">
        <f>IFERROR(__xludf.DUMMYFUNCTION("""COMPUTED_VALUE"""),1.0)</f>
        <v>1</v>
      </c>
      <c r="C661" s="35" t="str">
        <f>IFERROR(__xludf.DUMMYFUNCTION("IF(A661="""","""",TEXTJOIN(CHAR(10),TRUE,FILTER('Chi tiết từng link'!$B$2:$B$2505,'Chi tiết từng link'!$D$2:$D$2505=A661)))"),"https://techcombank.com/thong-tin/blog/chuyen-khoan-thanh-cong-nhung-khong-nhan-duoc-tien")</f>
        <v>https://techcombank.com/thong-tin/blog/chuyen-khoan-thanh-cong-nhung-khong-nhan-duoc-tien</v>
      </c>
      <c r="D661" s="5" t="str">
        <f t="shared" si="1"/>
        <v>OK</v>
      </c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35" t="str">
        <f>IFERROR(__xludf.DUMMYFUNCTION("""COMPUTED_VALUE"""),"https://techcombank.com/thong-tin/blog/loi-ich-cua-ngan-hang-so-voi-sme")</f>
        <v>https://techcombank.com/thong-tin/blog/loi-ich-cua-ngan-hang-so-voi-sme</v>
      </c>
      <c r="B662" s="25">
        <f>IFERROR(__xludf.DUMMYFUNCTION("""COMPUTED_VALUE"""),1.0)</f>
        <v>1</v>
      </c>
      <c r="C662" s="35" t="str">
        <f>IFERROR(__xludf.DUMMYFUNCTION("IF(A662="""","""",TEXTJOIN(CHAR(10),TRUE,FILTER('Chi tiết từng link'!$B$2:$B$2505,'Chi tiết từng link'!$D$2:$D$2505=A662)))"),"https://techcombank.com/thong-tin/blog/cach-tiet-kiem-tien")</f>
        <v>https://techcombank.com/thong-tin/blog/cach-tiet-kiem-tien</v>
      </c>
      <c r="D662" s="5" t="str">
        <f t="shared" si="1"/>
        <v>OK</v>
      </c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35" t="str">
        <f>IFERROR(__xludf.DUMMYFUNCTION("""COMPUTED_VALUE"""),"https://techcombank.com/thong-tin/blog/ly-do-ngan-hang-so-tro-thanh-cong-cu-tai-chinh-hang-dau-cua-gioi-tre")</f>
        <v>https://techcombank.com/thong-tin/blog/ly-do-ngan-hang-so-tro-thanh-cong-cu-tai-chinh-hang-dau-cua-gioi-tre</v>
      </c>
      <c r="B663" s="25">
        <f>IFERROR(__xludf.DUMMYFUNCTION("""COMPUTED_VALUE"""),1.0)</f>
        <v>1</v>
      </c>
      <c r="C663" s="35" t="str">
        <f>IFERROR(__xludf.DUMMYFUNCTION("IF(A663="""","""",TEXTJOIN(CHAR(10),TRUE,FILTER('Chi tiết từng link'!$B$2:$B$2505,'Chi tiết từng link'!$D$2:$D$2505=A663)))"),"https://techcombank.com/thong-tin/blog/cach-tiet-kiem-tien")</f>
        <v>https://techcombank.com/thong-tin/blog/cach-tiet-kiem-tien</v>
      </c>
      <c r="D663" s="5" t="str">
        <f t="shared" si="1"/>
        <v>OK</v>
      </c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35" t="str">
        <f>IFERROR(__xludf.DUMMYFUNCTION("""COMPUTED_VALUE"""),"https://techcombank.com/thong-tin/blog/ma-giam-gia-al-frescos")</f>
        <v>https://techcombank.com/thong-tin/blog/ma-giam-gia-al-frescos</v>
      </c>
      <c r="B664" s="25">
        <f>IFERROR(__xludf.DUMMYFUNCTION("""COMPUTED_VALUE"""),1.0)</f>
        <v>1</v>
      </c>
      <c r="C664" s="35" t="str">
        <f>IFERROR(__xludf.DUMMYFUNCTION("IF(A664="""","""",TEXTJOIN(CHAR(10),TRUE,FILTER('Chi tiết từng link'!$B$2:$B$2505,'Chi tiết từng link'!$D$2:$D$2505=A664)))"),"https://techcombank.com/thong-tin/blog/traveloka-voucher")</f>
        <v>https://techcombank.com/thong-tin/blog/traveloka-voucher</v>
      </c>
      <c r="D664" s="5" t="str">
        <f t="shared" si="1"/>
        <v>OK</v>
      </c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35" t="str">
        <f>IFERROR(__xludf.DUMMYFUNCTION("""COMPUTED_VALUE"""),"https://techcombank.com/thong-tin/blog/ma-giam-gia-phela")</f>
        <v>https://techcombank.com/thong-tin/blog/ma-giam-gia-phela</v>
      </c>
      <c r="B665" s="25">
        <f>IFERROR(__xludf.DUMMYFUNCTION("""COMPUTED_VALUE"""),1.0)</f>
        <v>1</v>
      </c>
      <c r="C665" s="35" t="str">
        <f>IFERROR(__xludf.DUMMYFUNCTION("IF(A665="""","""",TEXTJOIN(CHAR(10),TRUE,FILTER('Chi tiết từng link'!$B$2:$B$2505,'Chi tiết từng link'!$D$2:$D$2505=A665)))"),"https://techcombank.com/thong-tin/blog/traveloka-voucher")</f>
        <v>https://techcombank.com/thong-tin/blog/traveloka-voucher</v>
      </c>
      <c r="D665" s="5" t="str">
        <f t="shared" si="1"/>
        <v>OK</v>
      </c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35" t="str">
        <f>IFERROR(__xludf.DUMMYFUNCTION("""COMPUTED_VALUE"""),"https://techcombank.com/thong-tin/blog/ma-giam-gia-shopee")</f>
        <v>https://techcombank.com/thong-tin/blog/ma-giam-gia-shopee</v>
      </c>
      <c r="B666" s="25">
        <f>IFERROR(__xludf.DUMMYFUNCTION("""COMPUTED_VALUE"""),1.0)</f>
        <v>1</v>
      </c>
      <c r="C666" s="35" t="str">
        <f>IFERROR(__xludf.DUMMYFUNCTION("IF(A666="""","""",TEXTJOIN(CHAR(10),TRUE,FILTER('Chi tiết từng link'!$B$2:$B$2505,'Chi tiết từng link'!$D$2:$D$2505=A666)))"),"https://techcombank.com/thong-tin/blog/traveloka-voucher")</f>
        <v>https://techcombank.com/thong-tin/blog/traveloka-voucher</v>
      </c>
      <c r="D666" s="5" t="str">
        <f t="shared" si="1"/>
        <v>OK</v>
      </c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35" t="str">
        <f>IFERROR(__xludf.DUMMYFUNCTION("""COMPUTED_VALUE"""),"https://techcombank.com/thong-tin/blog/ma-giam-xanh-sm")</f>
        <v>https://techcombank.com/thong-tin/blog/ma-giam-xanh-sm</v>
      </c>
      <c r="B667" s="25">
        <f>IFERROR(__xludf.DUMMYFUNCTION("""COMPUTED_VALUE"""),1.0)</f>
        <v>1</v>
      </c>
      <c r="C667" s="35" t="str">
        <f>IFERROR(__xludf.DUMMYFUNCTION("IF(A667="""","""",TEXTJOIN(CHAR(10),TRUE,FILTER('Chi tiết từng link'!$B$2:$B$2505,'Chi tiết từng link'!$D$2:$D$2505=A667)))"),"https://techcombank.com/thong-tin/blog/traveloka-voucher")</f>
        <v>https://techcombank.com/thong-tin/blog/traveloka-voucher</v>
      </c>
      <c r="D667" s="5" t="str">
        <f t="shared" si="1"/>
        <v>OK</v>
      </c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35" t="str">
        <f>IFERROR(__xludf.DUMMYFUNCTION("""COMPUTED_VALUE"""),"https://techcombank.com/thong-tin/blog/ma-otp-la-gi")</f>
        <v>https://techcombank.com/thong-tin/blog/ma-otp-la-gi</v>
      </c>
      <c r="B668" s="25">
        <f>IFERROR(__xludf.DUMMYFUNCTION("""COMPUTED_VALUE"""),1.0)</f>
        <v>1</v>
      </c>
      <c r="C668" s="35" t="str">
        <f>IFERROR(__xludf.DUMMYFUNCTION("IF(A668="""","""",TEXTJOIN(CHAR(10),TRUE,FILTER('Chi tiết từng link'!$B$2:$B$2505,'Chi tiết từng link'!$D$2:$D$2505=A668)))"),"https://techcombank.com/thong-tin/blog/ten-dang-nhap-tai-khoan-ngan-hang-la-gi")</f>
        <v>https://techcombank.com/thong-tin/blog/ten-dang-nhap-tai-khoan-ngan-hang-la-gi</v>
      </c>
      <c r="D668" s="5" t="str">
        <f t="shared" si="1"/>
        <v>OK</v>
      </c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35" t="str">
        <f>IFERROR(__xludf.DUMMYFUNCTION("""COMPUTED_VALUE"""),"https://techcombank.com/thong-tin/blog/minigame-world-cup")</f>
        <v>https://techcombank.com/thong-tin/blog/minigame-world-cup</v>
      </c>
      <c r="B669" s="25">
        <f>IFERROR(__xludf.DUMMYFUNCTION("""COMPUTED_VALUE"""),1.0)</f>
        <v>1</v>
      </c>
      <c r="C669" s="35" t="str">
        <f>IFERROR(__xludf.DUMMYFUNCTION("IF(A669="""","""",TEXTJOIN(CHAR(10),TRUE,FILTER('Chi tiết từng link'!$B$2:$B$2505,'Chi tiết từng link'!$D$2:$D$2505=A669)))"),"https://techcombank.com/thong-tin/blog/traveloka-voucher")</f>
        <v>https://techcombank.com/thong-tin/blog/traveloka-voucher</v>
      </c>
      <c r="D669" s="5" t="str">
        <f t="shared" si="1"/>
        <v>OK</v>
      </c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35" t="str">
        <f>IFERROR(__xludf.DUMMYFUNCTION("""COMPUTED_VALUE"""),"https://techcombank.com/thong-tin/blog/mo-tai-khoan-ngan-hang-trung-so-dien-thoai")</f>
        <v>https://techcombank.com/thong-tin/blog/mo-tai-khoan-ngan-hang-trung-so-dien-thoai</v>
      </c>
      <c r="B670" s="25">
        <f>IFERROR(__xludf.DUMMYFUNCTION("""COMPUTED_VALUE"""),1.0)</f>
        <v>1</v>
      </c>
      <c r="C670" s="35" t="str">
        <f>IFERROR(__xludf.DUMMYFUNCTION("IF(A670="""","""",TEXTJOIN(CHAR(10),TRUE,FILTER('Chi tiết từng link'!$B$2:$B$2505,'Chi tiết từng link'!$D$2:$D$2505=A670)))"),"https://techcombank.com/thong-tin/blog/cach-mo-tai-khoan")</f>
        <v>https://techcombank.com/thong-tin/blog/cach-mo-tai-khoan</v>
      </c>
      <c r="D670" s="5" t="str">
        <f t="shared" si="1"/>
        <v>OK</v>
      </c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35" t="str">
        <f>IFERROR(__xludf.DUMMYFUNCTION("""COMPUTED_VALUE"""),"https://techcombank.com/thong-tin/blog/mo-them-tai-khoan-ngan-hang-cho-cong-ty")</f>
        <v>https://techcombank.com/thong-tin/blog/mo-them-tai-khoan-ngan-hang-cho-cong-ty</v>
      </c>
      <c r="B671" s="25">
        <f>IFERROR(__xludf.DUMMYFUNCTION("""COMPUTED_VALUE"""),1.0)</f>
        <v>1</v>
      </c>
      <c r="C671" s="35" t="str">
        <f>IFERROR(__xludf.DUMMYFUNCTION("IF(A671="""","""",TEXTJOIN(CHAR(10),TRUE,FILTER('Chi tiết từng link'!$B$2:$B$2505,'Chi tiết từng link'!$D$2:$D$2505=A671)))"),"https://techcombank.com/thong-tin/blog/cach-mo-tai-khoan")</f>
        <v>https://techcombank.com/thong-tin/blog/cach-mo-tai-khoan</v>
      </c>
      <c r="D671" s="5" t="str">
        <f t="shared" si="1"/>
        <v>OK</v>
      </c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35" t="str">
        <f>IFERROR(__xludf.DUMMYFUNCTION("""COMPUTED_VALUE"""),"https://techcombank.com/thong-tin/blog/mobile-banking-la-gi")</f>
        <v>https://techcombank.com/thong-tin/blog/mobile-banking-la-gi</v>
      </c>
      <c r="B672" s="25">
        <f>IFERROR(__xludf.DUMMYFUNCTION("""COMPUTED_VALUE"""),1.0)</f>
        <v>1</v>
      </c>
      <c r="C672" s="35" t="str">
        <f>IFERROR(__xludf.DUMMYFUNCTION("IF(A672="""","""",TEXTJOIN(CHAR(10),TRUE,FILTER('Chi tiết từng link'!$B$2:$B$2505,'Chi tiết từng link'!$D$2:$D$2505=A672)))"),"https://techcombank.com/thong-tin/blog/ten-dang-nhap-tai-khoan-ngan-hang-la-gi")</f>
        <v>https://techcombank.com/thong-tin/blog/ten-dang-nhap-tai-khoan-ngan-hang-la-gi</v>
      </c>
      <c r="D672" s="5" t="str">
        <f t="shared" si="1"/>
        <v>OK</v>
      </c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35" t="str">
        <f>IFERROR(__xludf.DUMMYFUNCTION("""COMPUTED_VALUE"""),"https://techcombank.com/thong-tin/blog/mua-bao-hiem-o-to")</f>
        <v>https://techcombank.com/thong-tin/blog/mua-bao-hiem-o-to</v>
      </c>
      <c r="B673" s="25">
        <f>IFERROR(__xludf.DUMMYFUNCTION("""COMPUTED_VALUE"""),1.0)</f>
        <v>1</v>
      </c>
      <c r="C673" s="35" t="str">
        <f>IFERROR(__xludf.DUMMYFUNCTION("IF(A673="""","""",TEXTJOIN(CHAR(10),TRUE,FILTER('Chi tiết từng link'!$B$2:$B$2505,'Chi tiết từng link'!$D$2:$D$2505=A673)))"),"https://techcombank.com/thong-tin/blog/lai-suat-vay-mua-o-to")</f>
        <v>https://techcombank.com/thong-tin/blog/lai-suat-vay-mua-o-to</v>
      </c>
      <c r="D673" s="5" t="str">
        <f t="shared" si="1"/>
        <v>OK</v>
      </c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35" t="str">
        <f>IFERROR(__xludf.DUMMYFUNCTION("""COMPUTED_VALUE"""),"https://techcombank.com/thong-tin/blog/mua-bao-hiem-o-to-dien")</f>
        <v>https://techcombank.com/thong-tin/blog/mua-bao-hiem-o-to-dien</v>
      </c>
      <c r="B674" s="25">
        <f>IFERROR(__xludf.DUMMYFUNCTION("""COMPUTED_VALUE"""),1.0)</f>
        <v>1</v>
      </c>
      <c r="C674" s="35" t="str">
        <f>IFERROR(__xludf.DUMMYFUNCTION("IF(A674="""","""",TEXTJOIN(CHAR(10),TRUE,FILTER('Chi tiết từng link'!$B$2:$B$2505,'Chi tiết từng link'!$D$2:$D$2505=A674)))"),"https://techcombank.com/thong-tin/blog/lai-suat-vay-mua-o-to")</f>
        <v>https://techcombank.com/thong-tin/blog/lai-suat-vay-mua-o-to</v>
      </c>
      <c r="D674" s="5" t="str">
        <f t="shared" si="1"/>
        <v>OK</v>
      </c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35" t="str">
        <f>IFERROR(__xludf.DUMMYFUNCTION("""COMPUTED_VALUE"""),"https://techcombank.com/thong-tin/blog/mua-ve-may-bay-gia-re")</f>
        <v>https://techcombank.com/thong-tin/blog/mua-ve-may-bay-gia-re</v>
      </c>
      <c r="B675" s="25">
        <f>IFERROR(__xludf.DUMMYFUNCTION("""COMPUTED_VALUE"""),1.0)</f>
        <v>1</v>
      </c>
      <c r="C675" s="35" t="str">
        <f>IFERROR(__xludf.DUMMYFUNCTION("IF(A675="""","""",TEXTJOIN(CHAR(10),TRUE,FILTER('Chi tiết từng link'!$B$2:$B$2505,'Chi tiết từng link'!$D$2:$D$2505=A675)))"),"https://techcombank.com/thong-tin/blog/traveloka-voucher")</f>
        <v>https://techcombank.com/thong-tin/blog/traveloka-voucher</v>
      </c>
      <c r="D675" s="5" t="str">
        <f t="shared" si="1"/>
        <v>OK</v>
      </c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35" t="str">
        <f>IFERROR(__xludf.DUMMYFUNCTION("""COMPUTED_VALUE"""),"https://techcombank.com/thong-tin/blog/nen-lam-the-visa-hay-noi-dia")</f>
        <v>https://techcombank.com/thong-tin/blog/nen-lam-the-visa-hay-noi-dia</v>
      </c>
      <c r="B676" s="25">
        <f>IFERROR(__xludf.DUMMYFUNCTION("""COMPUTED_VALUE"""),1.0)</f>
        <v>1</v>
      </c>
      <c r="C676" s="35" t="str">
        <f>IFERROR(__xludf.DUMMYFUNCTION("IF(A676="""","""",TEXTJOIN(CHAR(10),TRUE,FILTER('Chi tiết từng link'!$B$2:$B$2505,'Chi tiết từng link'!$D$2:$D$2505=A676)))"),"https://techcombank.com/thong-tin/blog/cach-nhan-tien-tu-nuoc-ngoai-ve-viet-nam")</f>
        <v>https://techcombank.com/thong-tin/blog/cach-nhan-tien-tu-nuoc-ngoai-ve-viet-nam</v>
      </c>
      <c r="D676" s="5" t="str">
        <f t="shared" si="1"/>
        <v>OK</v>
      </c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35" t="str">
        <f>IFERROR(__xludf.DUMMYFUNCTION("""COMPUTED_VALUE"""),"https://techcombank.com/thong-tin/blog/nghich-ly-nha-dau-tu-che-trai-phieu-lai-suat-cao-ua-ma-an-toan-du-lai-suat-thap-hon-05-1")</f>
        <v>https://techcombank.com/thong-tin/blog/nghich-ly-nha-dau-tu-che-trai-phieu-lai-suat-cao-ua-ma-an-toan-du-lai-suat-thap-hon-05-1</v>
      </c>
      <c r="B677" s="25">
        <f>IFERROR(__xludf.DUMMYFUNCTION("""COMPUTED_VALUE"""),1.0)</f>
        <v>1</v>
      </c>
      <c r="C677" s="35" t="str">
        <f>IFERROR(__xludf.DUMMYFUNCTION("IF(A677="""","""",TEXTJOIN(CHAR(10),TRUE,FILTER('Chi tiết từng link'!$B$2:$B$2505,'Chi tiết từng link'!$D$2:$D$2505=A677)))"),"https://techcombank.com/thong-tin/blog/phuong-phap-dau-tu-chung-chi-quy")</f>
        <v>https://techcombank.com/thong-tin/blog/phuong-phap-dau-tu-chung-chi-quy</v>
      </c>
      <c r="D677" s="5" t="str">
        <f t="shared" si="1"/>
        <v>OK</v>
      </c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35" t="str">
        <f>IFERROR(__xludf.DUMMYFUNCTION("""COMPUTED_VALUE"""),"https://techcombank.com/thong-tin/blog/nguoi-duoc-bao-hiem-la-gi")</f>
        <v>https://techcombank.com/thong-tin/blog/nguoi-duoc-bao-hiem-la-gi</v>
      </c>
      <c r="B678" s="25">
        <f>IFERROR(__xludf.DUMMYFUNCTION("""COMPUTED_VALUE"""),1.0)</f>
        <v>1</v>
      </c>
      <c r="C678" s="35" t="str">
        <f>IFERROR(__xludf.DUMMYFUNCTION("IF(A678="""","""",TEXTJOIN(CHAR(10),TRUE,FILTER('Chi tiết từng link'!$B$2:$B$2505,'Chi tiết từng link'!$D$2:$D$2505=A678)))"),"https://techcombank.com/thong-tin/blog/chuyen-khoan-thanh-cong-nhung-khong-nhan-duoc-tien")</f>
        <v>https://techcombank.com/thong-tin/blog/chuyen-khoan-thanh-cong-nhung-khong-nhan-duoc-tien</v>
      </c>
      <c r="D678" s="5" t="str">
        <f t="shared" si="1"/>
        <v>OK</v>
      </c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35" t="str">
        <f>IFERROR(__xludf.DUMMYFUNCTION("""COMPUTED_VALUE"""),"https://techcombank.com/thong-tin/blog/nguyen-tac-quan-ly-tai-chinh-ca-nhan")</f>
        <v>https://techcombank.com/thong-tin/blog/nguyen-tac-quan-ly-tai-chinh-ca-nhan</v>
      </c>
      <c r="B679" s="25">
        <f>IFERROR(__xludf.DUMMYFUNCTION("""COMPUTED_VALUE"""),1.0)</f>
        <v>1</v>
      </c>
      <c r="C679" s="35" t="str">
        <f>IFERROR(__xludf.DUMMYFUNCTION("IF(A679="""","""",TEXTJOIN(CHAR(10),TRUE,FILTER('Chi tiết từng link'!$B$2:$B$2505,'Chi tiết từng link'!$D$2:$D$2505=A679)))"),"https://techcombank.com/thong-tin/blog/cach-tiet-kiem-tien")</f>
        <v>https://techcombank.com/thong-tin/blog/cach-tiet-kiem-tien</v>
      </c>
      <c r="D679" s="5" t="str">
        <f t="shared" si="1"/>
        <v>OK</v>
      </c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35" t="str">
        <f>IFERROR(__xludf.DUMMYFUNCTION("""COMPUTED_VALUE"""),"https://techcombank.com/thong-tin/blog/nhan-tien-western-union")</f>
        <v>https://techcombank.com/thong-tin/blog/nhan-tien-western-union</v>
      </c>
      <c r="B680" s="25">
        <f>IFERROR(__xludf.DUMMYFUNCTION("""COMPUTED_VALUE"""),1.0)</f>
        <v>1</v>
      </c>
      <c r="C680" s="35" t="str">
        <f>IFERROR(__xludf.DUMMYFUNCTION("IF(A680="""","""",TEXTJOIN(CHAR(10),TRUE,FILTER('Chi tiết từng link'!$B$2:$B$2505,'Chi tiết từng link'!$D$2:$D$2505=A680)))"),"https://techcombank.com/thong-tin/blog/cach-nhan-tien-tu-nuoc-ngoai-ve-viet-nam")</f>
        <v>https://techcombank.com/thong-tin/blog/cach-nhan-tien-tu-nuoc-ngoai-ve-viet-nam</v>
      </c>
      <c r="D680" s="5" t="str">
        <f t="shared" si="1"/>
        <v>OK</v>
      </c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35" t="str">
        <f>IFERROR(__xludf.DUMMYFUNCTION("""COMPUTED_VALUE"""),"https://techcombank.com/thong-tin/blog/nho-nguoi-than-mo-tai-khoan-ngan-hang")</f>
        <v>https://techcombank.com/thong-tin/blog/nho-nguoi-than-mo-tai-khoan-ngan-hang</v>
      </c>
      <c r="B681" s="25">
        <f>IFERROR(__xludf.DUMMYFUNCTION("""COMPUTED_VALUE"""),1.0)</f>
        <v>1</v>
      </c>
      <c r="C681" s="35" t="str">
        <f>IFERROR(__xludf.DUMMYFUNCTION("IF(A681="""","""",TEXTJOIN(CHAR(10),TRUE,FILTER('Chi tiết từng link'!$B$2:$B$2505,'Chi tiết từng link'!$D$2:$D$2505=A681)))"),"https://techcombank.com/thong-tin/blog/cach-mo-tai-khoan")</f>
        <v>https://techcombank.com/thong-tin/blog/cach-mo-tai-khoan</v>
      </c>
      <c r="D681" s="5" t="str">
        <f t="shared" si="1"/>
        <v>OK</v>
      </c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35" t="str">
        <f>IFERROR(__xludf.DUMMYFUNCTION("""COMPUTED_VALUE"""),"https://techcombank.com/thong-tin/blog/nhu-cau-vay-tieu-dung-cua-nguoi-viet-du-kien-tang-manh-trong-thoi-gian-toi")</f>
        <v>https://techcombank.com/thong-tin/blog/nhu-cau-vay-tieu-dung-cua-nguoi-viet-du-kien-tang-manh-trong-thoi-gian-toi</v>
      </c>
      <c r="B682" s="25">
        <f>IFERROR(__xludf.DUMMYFUNCTION("""COMPUTED_VALUE"""),1.0)</f>
        <v>1</v>
      </c>
      <c r="C682" s="35" t="str">
        <f>IFERROR(__xludf.DUMMYFUNCTION("IF(A682="""","""",TEXTJOIN(CHAR(10),TRUE,FILTER('Chi tiết từng link'!$B$2:$B$2505,'Chi tiết từng link'!$D$2:$D$2505=A682)))"),"https://techcombank.com/thong-tin/blog/nen-vay-tin-chap-o-dau")</f>
        <v>https://techcombank.com/thong-tin/blog/nen-vay-tin-chap-o-dau</v>
      </c>
      <c r="D682" s="5" t="str">
        <f t="shared" si="1"/>
        <v>OK</v>
      </c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35" t="str">
        <f>IFERROR(__xludf.DUMMYFUNCTION("""COMPUTED_VALUE"""),"https://techcombank.com/thong-tin/blog/nhung-kho-khan-khi-tiet-kiem-tien")</f>
        <v>https://techcombank.com/thong-tin/blog/nhung-kho-khan-khi-tiet-kiem-tien</v>
      </c>
      <c r="B683" s="25">
        <f>IFERROR(__xludf.DUMMYFUNCTION("""COMPUTED_VALUE"""),1.0)</f>
        <v>1</v>
      </c>
      <c r="C683" s="35" t="str">
        <f>IFERROR(__xludf.DUMMYFUNCTION("IF(A683="""","""",TEXTJOIN(CHAR(10),TRUE,FILTER('Chi tiết từng link'!$B$2:$B$2505,'Chi tiết từng link'!$D$2:$D$2505=A683)))"),"https://techcombank.com/thong-tin/blog/cach-tiet-kiem-tien")</f>
        <v>https://techcombank.com/thong-tin/blog/cach-tiet-kiem-tien</v>
      </c>
      <c r="D683" s="5" t="str">
        <f t="shared" si="1"/>
        <v>OK</v>
      </c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35" t="str">
        <f>IFERROR(__xludf.DUMMYFUNCTION("""COMPUTED_VALUE"""),"https://techcombank.com/thong-tin/blog/nhuong-quyen-la-gi")</f>
        <v>https://techcombank.com/thong-tin/blog/nhuong-quyen-la-gi</v>
      </c>
      <c r="B684" s="25">
        <f>IFERROR(__xludf.DUMMYFUNCTION("""COMPUTED_VALUE"""),1.0)</f>
        <v>1</v>
      </c>
      <c r="C684" s="35" t="str">
        <f>IFERROR(__xludf.DUMMYFUNCTION("IF(A684="""","""",TEXTJOIN(CHAR(10),TRUE,FILTER('Chi tiết từng link'!$B$2:$B$2505,'Chi tiết từng link'!$D$2:$D$2505=A684)))"),"https://techcombank.com/thong-tin/blog/mo-hinh-kinh-doanh-la-gi")</f>
        <v>https://techcombank.com/thong-tin/blog/mo-hinh-kinh-doanh-la-gi</v>
      </c>
      <c r="D684" s="5" t="str">
        <f t="shared" si="1"/>
        <v>OK</v>
      </c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35" t="str">
        <f>IFERROR(__xludf.DUMMYFUNCTION("""COMPUTED_VALUE"""),"https://techcombank.com/thong-tin/blog/oneu")</f>
        <v>https://techcombank.com/thong-tin/blog/oneu</v>
      </c>
      <c r="B685" s="25">
        <f>IFERROR(__xludf.DUMMYFUNCTION("""COMPUTED_VALUE"""),1.0)</f>
        <v>1</v>
      </c>
      <c r="C685" s="35" t="str">
        <f>IFERROR(__xludf.DUMMYFUNCTION("IF(A685="""","""",TEXTJOIN(CHAR(10),TRUE,FILTER('Chi tiết từng link'!$B$2:$B$2505,'Chi tiết từng link'!$D$2:$D$2505=A685)))"),"https://techcombank.com/thong-tin/blog/traveloka-voucher")</f>
        <v>https://techcombank.com/thong-tin/blog/traveloka-voucher</v>
      </c>
      <c r="D685" s="5" t="str">
        <f t="shared" si="1"/>
        <v>OK</v>
      </c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35" t="str">
        <f>IFERROR(__xludf.DUMMYFUNCTION("""COMPUTED_VALUE"""),"https://techcombank.com/thong-tin/blog/phan-mem-quan-ly-tai-chinh-doanh-nghiep")</f>
        <v>https://techcombank.com/thong-tin/blog/phan-mem-quan-ly-tai-chinh-doanh-nghiep</v>
      </c>
      <c r="B686" s="25">
        <f>IFERROR(__xludf.DUMMYFUNCTION("""COMPUTED_VALUE"""),1.0)</f>
        <v>1</v>
      </c>
      <c r="C686" s="35" t="str">
        <f>IFERROR(__xludf.DUMMYFUNCTION("IF(A686="""","""",TEXTJOIN(CHAR(10),TRUE,FILTER('Chi tiết từng link'!$B$2:$B$2505,'Chi tiết từng link'!$D$2:$D$2505=A686)))"),"https://techcombank.com/thong-tin/blog/cach-tiet-kiem-tien")</f>
        <v>https://techcombank.com/thong-tin/blog/cach-tiet-kiem-tien</v>
      </c>
      <c r="D686" s="5" t="str">
        <f t="shared" si="1"/>
        <v>OK</v>
      </c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35" t="str">
        <f>IFERROR(__xludf.DUMMYFUNCTION("""COMPUTED_VALUE"""),"https://techcombank.com/thong-tin/blog/phi-thuong-nien-la-gi")</f>
        <v>https://techcombank.com/thong-tin/blog/phi-thuong-nien-la-gi</v>
      </c>
      <c r="B687" s="25">
        <f>IFERROR(__xludf.DUMMYFUNCTION("""COMPUTED_VALUE"""),1.0)</f>
        <v>1</v>
      </c>
      <c r="C687" s="35" t="str">
        <f>IFERROR(__xludf.DUMMYFUNCTION("IF(A687="""","""",TEXTJOIN(CHAR(10),TRUE,FILTER('Chi tiết từng link'!$B$2:$B$2505,'Chi tiết từng link'!$D$2:$D$2505=A687)))"),"https://techcombank.com/thong-tin/blog/cach-huy-the-tin-dung")</f>
        <v>https://techcombank.com/thong-tin/blog/cach-huy-the-tin-dung</v>
      </c>
      <c r="D687" s="5" t="str">
        <f t="shared" si="1"/>
        <v>OK</v>
      </c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35" t="str">
        <f>IFERROR(__xludf.DUMMYFUNCTION("""COMPUTED_VALUE"""),"https://techcombank.com/thong-tin/blog/phuong-phap-dau-tu-chung-chi-quy")</f>
        <v>https://techcombank.com/thong-tin/blog/phuong-phap-dau-tu-chung-chi-quy</v>
      </c>
      <c r="B688" s="25">
        <f>IFERROR(__xludf.DUMMYFUNCTION("""COMPUTED_VALUE"""),1.0)</f>
        <v>1</v>
      </c>
      <c r="C688" s="35" t="str">
        <f>IFERROR(__xludf.DUMMYFUNCTION("IF(A688="""","""",TEXTJOIN(CHAR(10),TRUE,FILTER('Chi tiết từng link'!$B$2:$B$2505,'Chi tiết từng link'!$D$2:$D$2505=A688)))"),"https://techcombank.com/thong-tin/blog/rui-ro-khi-gui-tiet-kiem-online")</f>
        <v>https://techcombank.com/thong-tin/blog/rui-ro-khi-gui-tiet-kiem-online</v>
      </c>
      <c r="D688" s="5" t="str">
        <f t="shared" si="1"/>
        <v>OK</v>
      </c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35" t="str">
        <f>IFERROR(__xludf.DUMMYFUNCTION("""COMPUTED_VALUE"""),"https://techcombank.com/thong-tin/blog/quan-ly-chi-phi-doanh-nghiep")</f>
        <v>https://techcombank.com/thong-tin/blog/quan-ly-chi-phi-doanh-nghiep</v>
      </c>
      <c r="B689" s="25">
        <f>IFERROR(__xludf.DUMMYFUNCTION("""COMPUTED_VALUE"""),1.0)</f>
        <v>1</v>
      </c>
      <c r="C689" s="35" t="str">
        <f>IFERROR(__xludf.DUMMYFUNCTION("IF(A689="""","""",TEXTJOIN(CHAR(10),TRUE,FILTER('Chi tiết từng link'!$B$2:$B$2505,'Chi tiết từng link'!$D$2:$D$2505=A689)))"),"https://techcombank.com/thong-tin/blog/mo-hinh-kinh-doanh-la-gi")</f>
        <v>https://techcombank.com/thong-tin/blog/mo-hinh-kinh-doanh-la-gi</v>
      </c>
      <c r="D689" s="5" t="str">
        <f t="shared" si="1"/>
        <v>OK</v>
      </c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35" t="str">
        <f>IFERROR(__xludf.DUMMYFUNCTION("""COMPUTED_VALUE"""),"https://techcombank.com/thong-tin/blog/quan-ly-chuoi-cua-hang")</f>
        <v>https://techcombank.com/thong-tin/blog/quan-ly-chuoi-cua-hang</v>
      </c>
      <c r="B690" s="25">
        <f>IFERROR(__xludf.DUMMYFUNCTION("""COMPUTED_VALUE"""),1.0)</f>
        <v>1</v>
      </c>
      <c r="C690" s="35" t="str">
        <f>IFERROR(__xludf.DUMMYFUNCTION("IF(A690="""","""",TEXTJOIN(CHAR(10),TRUE,FILTER('Chi tiết từng link'!$B$2:$B$2505,'Chi tiết từng link'!$D$2:$D$2505=A690)))"),"https://techcombank.com/thong-tin/blog/mo-hinh-kinh-doanh-la-gi")</f>
        <v>https://techcombank.com/thong-tin/blog/mo-hinh-kinh-doanh-la-gi</v>
      </c>
      <c r="D690" s="5" t="str">
        <f t="shared" si="1"/>
        <v>OK</v>
      </c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35" t="str">
        <f>IFERROR(__xludf.DUMMYFUNCTION("""COMPUTED_VALUE"""),"https://techcombank.com/thong-tin/blog/quan-ly-danh-muc-dau-tu")</f>
        <v>https://techcombank.com/thong-tin/blog/quan-ly-danh-muc-dau-tu</v>
      </c>
      <c r="B691" s="25">
        <f>IFERROR(__xludf.DUMMYFUNCTION("""COMPUTED_VALUE"""),1.0)</f>
        <v>1</v>
      </c>
      <c r="C691" s="35" t="str">
        <f>IFERROR(__xludf.DUMMYFUNCTION("IF(A691="""","""",TEXTJOIN(CHAR(10),TRUE,FILTER('Chi tiết từng link'!$B$2:$B$2505,'Chi tiết từng link'!$D$2:$D$2505=A691)))"),"https://techcombank.com/thong-tin/blog/phuong-phap-dau-tu-chung-chi-quy")</f>
        <v>https://techcombank.com/thong-tin/blog/phuong-phap-dau-tu-chung-chi-quy</v>
      </c>
      <c r="D691" s="5" t="str">
        <f t="shared" si="1"/>
        <v>OK</v>
      </c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35" t="str">
        <f>IFERROR(__xludf.DUMMYFUNCTION("""COMPUTED_VALUE"""),"https://techcombank.com/thong-tin/blog/quan-ly-tai-chinh-doanh-nghiep-nho")</f>
        <v>https://techcombank.com/thong-tin/blog/quan-ly-tai-chinh-doanh-nghiep-nho</v>
      </c>
      <c r="B692" s="25">
        <f>IFERROR(__xludf.DUMMYFUNCTION("""COMPUTED_VALUE"""),1.0)</f>
        <v>1</v>
      </c>
      <c r="C692" s="35" t="str">
        <f>IFERROR(__xludf.DUMMYFUNCTION("IF(A692="""","""",TEXTJOIN(CHAR(10),TRUE,FILTER('Chi tiết từng link'!$B$2:$B$2505,'Chi tiết từng link'!$D$2:$D$2505=A692)))"),"https://techcombank.com/thong-tin/blog/cach-tiet-kiem-tien")</f>
        <v>https://techcombank.com/thong-tin/blog/cach-tiet-kiem-tien</v>
      </c>
      <c r="D692" s="5" t="str">
        <f t="shared" si="1"/>
        <v>OK</v>
      </c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35" t="str">
        <f>IFERROR(__xludf.DUMMYFUNCTION("""COMPUTED_VALUE"""),"https://techcombank.com/thong-tin/blog/quy-du-phong-tai-chinh-la-gi")</f>
        <v>https://techcombank.com/thong-tin/blog/quy-du-phong-tai-chinh-la-gi</v>
      </c>
      <c r="B693" s="25">
        <f>IFERROR(__xludf.DUMMYFUNCTION("""COMPUTED_VALUE"""),1.0)</f>
        <v>1</v>
      </c>
      <c r="C693" s="35" t="str">
        <f>IFERROR(__xludf.DUMMYFUNCTION("IF(A693="""","""",TEXTJOIN(CHAR(10),TRUE,FILTER('Chi tiết từng link'!$B$2:$B$2505,'Chi tiết từng link'!$D$2:$D$2505=A693)))"),"https://techcombank.com/thong-tin/blog/cach-tiet-kiem-tien")</f>
        <v>https://techcombank.com/thong-tin/blog/cach-tiet-kiem-tien</v>
      </c>
      <c r="D693" s="5" t="str">
        <f t="shared" si="1"/>
        <v>OK</v>
      </c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35" t="str">
        <f>IFERROR(__xludf.DUMMYFUNCTION("""COMPUTED_VALUE"""),"https://techcombank.com/thong-tin/blog/san-pham-xanh")</f>
        <v>https://techcombank.com/thong-tin/blog/san-pham-xanh</v>
      </c>
      <c r="B694" s="25">
        <f>IFERROR(__xludf.DUMMYFUNCTION("""COMPUTED_VALUE"""),1.0)</f>
        <v>1</v>
      </c>
      <c r="C694" s="35" t="str">
        <f>IFERROR(__xludf.DUMMYFUNCTION("IF(A694="""","""",TEXTJOIN(CHAR(10),TRUE,FILTER('Chi tiết từng link'!$B$2:$B$2505,'Chi tiết từng link'!$D$2:$D$2505=A694)))"),"https://techcombank.com/thong-tin/blog/eco-card")</f>
        <v>https://techcombank.com/thong-tin/blog/eco-card</v>
      </c>
      <c r="D694" s="5" t="str">
        <f t="shared" si="1"/>
        <v>OK</v>
      </c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35" t="str">
        <f>IFERROR(__xludf.DUMMYFUNCTION("""COMPUTED_VALUE"""),"https://techcombank.com/thong-tin/blog/shopeepay-la-gi")</f>
        <v>https://techcombank.com/thong-tin/blog/shopeepay-la-gi</v>
      </c>
      <c r="B695" s="25">
        <f>IFERROR(__xludf.DUMMYFUNCTION("""COMPUTED_VALUE"""),1.0)</f>
        <v>1</v>
      </c>
      <c r="C695" s="35" t="str">
        <f>IFERROR(__xludf.DUMMYFUNCTION("IF(A695="""","""",TEXTJOIN(CHAR(10),TRUE,FILTER('Chi tiết từng link'!$B$2:$B$2505,'Chi tiết từng link'!$D$2:$D$2505=A695)))"),"https://techcombank.com/thong-tin/blog/bao-nhieu-tuoi-duoc-mo-tai-khoan-ngan-hang")</f>
        <v>https://techcombank.com/thong-tin/blog/bao-nhieu-tuoi-duoc-mo-tai-khoan-ngan-hang</v>
      </c>
      <c r="D695" s="5" t="str">
        <f t="shared" si="1"/>
        <v>OK</v>
      </c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35" t="str">
        <f>IFERROR(__xludf.DUMMYFUNCTION("""COMPUTED_VALUE"""),"https://techcombank.com/thong-tin/blog/sinh-loi-rinh-loc")</f>
        <v>https://techcombank.com/thong-tin/blog/sinh-loi-rinh-loc</v>
      </c>
      <c r="B696" s="25">
        <f>IFERROR(__xludf.DUMMYFUNCTION("""COMPUTED_VALUE"""),1.0)</f>
        <v>1</v>
      </c>
      <c r="C696" s="35" t="str">
        <f>IFERROR(__xludf.DUMMYFUNCTION("IF(A696="""","""",TEXTJOIN(CHAR(10),TRUE,FILTER('Chi tiết từng link'!$B$2:$B$2505,'Chi tiết từng link'!$D$2:$D$2505=A696)))"),"https://techcombank.com/thong-tin/blog/day-so-phat-tai-phat-loc")</f>
        <v>https://techcombank.com/thong-tin/blog/day-so-phat-tai-phat-loc</v>
      </c>
      <c r="D696" s="5" t="str">
        <f t="shared" si="1"/>
        <v>OK</v>
      </c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35" t="str">
        <f>IFERROR(__xludf.DUMMYFUNCTION("""COMPUTED_VALUE"""),"https://techcombank.com/thong-tin/blog/smart-otp-la-gi")</f>
        <v>https://techcombank.com/thong-tin/blog/smart-otp-la-gi</v>
      </c>
      <c r="B697" s="25">
        <f>IFERROR(__xludf.DUMMYFUNCTION("""COMPUTED_VALUE"""),1.0)</f>
        <v>1</v>
      </c>
      <c r="C697" s="35" t="str">
        <f>IFERROR(__xludf.DUMMYFUNCTION("IF(A697="""","""",TEXTJOIN(CHAR(10),TRUE,FILTER('Chi tiết từng link'!$B$2:$B$2505,'Chi tiết từng link'!$D$2:$D$2505=A697)))"),"https://techcombank.com/thong-tin/blog/ten-dang-nhap-tai-khoan-ngan-hang-la-gi")</f>
        <v>https://techcombank.com/thong-tin/blog/ten-dang-nhap-tai-khoan-ngan-hang-la-gi</v>
      </c>
      <c r="D697" s="5" t="str">
        <f t="shared" si="1"/>
        <v>OK</v>
      </c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35" t="str">
        <f>IFERROR(__xludf.DUMMYFUNCTION("""COMPUTED_VALUE"""),"https://techcombank.com/thong-tin/blog/su-hop-tac-cua-ngan-hang-va-fintech-tren-hanh-trinh-chuyen-doi-so")</f>
        <v>https://techcombank.com/thong-tin/blog/su-hop-tac-cua-ngan-hang-va-fintech-tren-hanh-trinh-chuyen-doi-so</v>
      </c>
      <c r="B698" s="25">
        <f>IFERROR(__xludf.DUMMYFUNCTION("""COMPUTED_VALUE"""),1.0)</f>
        <v>1</v>
      </c>
      <c r="C698" s="35" t="str">
        <f>IFERROR(__xludf.DUMMYFUNCTION("IF(A698="""","""",TEXTJOIN(CHAR(10),TRUE,FILTER('Chi tiết từng link'!$B$2:$B$2505,'Chi tiết từng link'!$D$2:$D$2505=A698)))"),"https://techcombank.com/thong-tin/blog/ngan-hang-uy-tin")</f>
        <v>https://techcombank.com/thong-tin/blog/ngan-hang-uy-tin</v>
      </c>
      <c r="D698" s="5" t="str">
        <f t="shared" si="1"/>
        <v>OK</v>
      </c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35" t="str">
        <f>IFERROR(__xludf.DUMMYFUNCTION("""COMPUTED_VALUE"""),"https://techcombank.com/thong-tin/blog/tai-khoan-ngan-hang-chua-toi-da-bao-nhieu-tien")</f>
        <v>https://techcombank.com/thong-tin/blog/tai-khoan-ngan-hang-chua-toi-da-bao-nhieu-tien</v>
      </c>
      <c r="B699" s="25">
        <f>IFERROR(__xludf.DUMMYFUNCTION("""COMPUTED_VALUE"""),1.0)</f>
        <v>1</v>
      </c>
      <c r="C699" s="35" t="str">
        <f>IFERROR(__xludf.DUMMYFUNCTION("IF(A699="""","""",TEXTJOIN(CHAR(10),TRUE,FILTER('Chi tiết từng link'!$B$2:$B$2505,'Chi tiết từng link'!$D$2:$D$2505=A699)))"),"https://techcombank.com/thong-tin/blog/cach-mo-tai-khoan")</f>
        <v>https://techcombank.com/thong-tin/blog/cach-mo-tai-khoan</v>
      </c>
      <c r="D699" s="5" t="str">
        <f t="shared" si="1"/>
        <v>OK</v>
      </c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35" t="str">
        <f>IFERROR(__xludf.DUMMYFUNCTION("""COMPUTED_VALUE"""),"https://techcombank.com/thong-tin/blog/tai-khoan-ngan-hang-duoi-50k-co-bi-khoa-khong")</f>
        <v>https://techcombank.com/thong-tin/blog/tai-khoan-ngan-hang-duoi-50k-co-bi-khoa-khong</v>
      </c>
      <c r="B700" s="25">
        <f>IFERROR(__xludf.DUMMYFUNCTION("""COMPUTED_VALUE"""),1.0)</f>
        <v>1</v>
      </c>
      <c r="C700" s="35" t="str">
        <f>IFERROR(__xludf.DUMMYFUNCTION("IF(A700="""","""",TEXTJOIN(CHAR(10),TRUE,FILTER('Chi tiết từng link'!$B$2:$B$2505,'Chi tiết từng link'!$D$2:$D$2505=A700)))"),"https://techcombank.com/thong-tin/blog/cach-mo-tai-khoan")</f>
        <v>https://techcombank.com/thong-tin/blog/cach-mo-tai-khoan</v>
      </c>
      <c r="D700" s="5" t="str">
        <f t="shared" si="1"/>
        <v>OK</v>
      </c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35" t="str">
        <f>IFERROR(__xludf.DUMMYFUNCTION("""COMPUTED_VALUE"""),"https://techcombank.com/thong-tin/blog/tai-san-va-tieu-san-la-gi")</f>
        <v>https://techcombank.com/thong-tin/blog/tai-san-va-tieu-san-la-gi</v>
      </c>
      <c r="B701" s="25">
        <f>IFERROR(__xludf.DUMMYFUNCTION("""COMPUTED_VALUE"""),1.0)</f>
        <v>1</v>
      </c>
      <c r="C701" s="35" t="str">
        <f>IFERROR(__xludf.DUMMYFUNCTION("IF(A701="""","""",TEXTJOIN(CHAR(10),TRUE,FILTER('Chi tiết từng link'!$B$2:$B$2505,'Chi tiết từng link'!$D$2:$D$2505=A701)))"),"https://techcombank.com/thong-tin/blog/cach-tiet-kiem-tien")</f>
        <v>https://techcombank.com/thong-tin/blog/cach-tiet-kiem-tien</v>
      </c>
      <c r="D701" s="5" t="str">
        <f t="shared" si="1"/>
        <v>OK</v>
      </c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35" t="str">
        <f>IFERROR(__xludf.DUMMYFUNCTION("""COMPUTED_VALUE"""),"https://techcombank.com/thong-tin/blog/techcom-securities-nhung-buoc-tien-phong-tren-san-thu-cap")</f>
        <v>https://techcombank.com/thong-tin/blog/techcom-securities-nhung-buoc-tien-phong-tren-san-thu-cap</v>
      </c>
      <c r="B702" s="25">
        <f>IFERROR(__xludf.DUMMYFUNCTION("""COMPUTED_VALUE"""),1.0)</f>
        <v>1</v>
      </c>
      <c r="C702" s="35" t="str">
        <f>IFERROR(__xludf.DUMMYFUNCTION("IF(A702="""","""",TEXTJOIN(CHAR(10),TRUE,FILTER('Chi tiết từng link'!$B$2:$B$2505,'Chi tiết từng link'!$D$2:$D$2505=A702)))"),"https://techcombank.com/thong-tin/blog/phuong-phap-dau-tu-chung-chi-quy")</f>
        <v>https://techcombank.com/thong-tin/blog/phuong-phap-dau-tu-chung-chi-quy</v>
      </c>
      <c r="D702" s="5" t="str">
        <f t="shared" si="1"/>
        <v>OK</v>
      </c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35" t="str">
        <f>IFERROR(__xludf.DUMMYFUNCTION("""COMPUTED_VALUE"""),"https://techcombank.com/thong-tin/blog/techcombank-sinh-loi-tu-dong")</f>
        <v>https://techcombank.com/thong-tin/blog/techcombank-sinh-loi-tu-dong</v>
      </c>
      <c r="B703" s="25">
        <f>IFERROR(__xludf.DUMMYFUNCTION("""COMPUTED_VALUE"""),1.0)</f>
        <v>1</v>
      </c>
      <c r="C703" s="35" t="str">
        <f>IFERROR(__xludf.DUMMYFUNCTION("IF(A703="""","""",TEXTJOIN(CHAR(10),TRUE,FILTER('Chi tiết từng link'!$B$2:$B$2505,'Chi tiết từng link'!$D$2:$D$2505=A703)))"),"https://techcombank.com/thong-tin/blog/cach-mo-tai-khoan")</f>
        <v>https://techcombank.com/thong-tin/blog/cach-mo-tai-khoan</v>
      </c>
      <c r="D703" s="5" t="str">
        <f t="shared" si="1"/>
        <v>OK</v>
      </c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35" t="str">
        <f>IFERROR(__xludf.DUMMYFUNCTION("""COMPUTED_VALUE"""),"https://techcombank.com/thong-tin/blog/ten-dang-nhap-tai-khoan-ngan-hang-la-gi")</f>
        <v>https://techcombank.com/thong-tin/blog/ten-dang-nhap-tai-khoan-ngan-hang-la-gi</v>
      </c>
      <c r="B704" s="25">
        <f>IFERROR(__xludf.DUMMYFUNCTION("""COMPUTED_VALUE"""),1.0)</f>
        <v>1</v>
      </c>
      <c r="C704" s="35" t="str">
        <f>IFERROR(__xludf.DUMMYFUNCTION("IF(A704="""","""",TEXTJOIN(CHAR(10),TRUE,FILTER('Chi tiết từng link'!$B$2:$B$2505,'Chi tiết từng link'!$D$2:$D$2505=A704)))"),"https://techcombank.com/thong-tin/blog/cach-mo-tai-khoan")</f>
        <v>https://techcombank.com/thong-tin/blog/cach-mo-tai-khoan</v>
      </c>
      <c r="D704" s="5" t="str">
        <f t="shared" si="1"/>
        <v>OK</v>
      </c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35" t="str">
        <f>IFERROR(__xludf.DUMMYFUNCTION("""COMPUTED_VALUE"""),"https://techcombank.com/thong-tin/blog/thanh-toan-khong-dung-tien-mat-tro-thanh-xu-huong-tang-truong-chong-mat")</f>
        <v>https://techcombank.com/thong-tin/blog/thanh-toan-khong-dung-tien-mat-tro-thanh-xu-huong-tang-truong-chong-mat</v>
      </c>
      <c r="B705" s="25">
        <f>IFERROR(__xludf.DUMMYFUNCTION("""COMPUTED_VALUE"""),1.0)</f>
        <v>1</v>
      </c>
      <c r="C705" s="35" t="str">
        <f>IFERROR(__xludf.DUMMYFUNCTION("IF(A705="""","""",TEXTJOIN(CHAR(10),TRUE,FILTER('Chi tiết từng link'!$B$2:$B$2505,'Chi tiết từng link'!$D$2:$D$2505=A705)))"),"https://techcombank.com/thong-tin/blog/rut-tien-mat-tu-the-tin-dung")</f>
        <v>https://techcombank.com/thong-tin/blog/rut-tien-mat-tu-the-tin-dung</v>
      </c>
      <c r="D705" s="5" t="str">
        <f t="shared" si="1"/>
        <v>OK</v>
      </c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35" t="str">
        <f>IFERROR(__xludf.DUMMYFUNCTION("""COMPUTED_VALUE"""),"https://techcombank.com/thong-tin/blog/thanh-toan-khong-tien-mat-trong-nganh-giao-duc-co-hoi-va-thach-thuc")</f>
        <v>https://techcombank.com/thong-tin/blog/thanh-toan-khong-tien-mat-trong-nganh-giao-duc-co-hoi-va-thach-thuc</v>
      </c>
      <c r="B706" s="25">
        <f>IFERROR(__xludf.DUMMYFUNCTION("""COMPUTED_VALUE"""),1.0)</f>
        <v>1</v>
      </c>
      <c r="C706" s="35" t="str">
        <f>IFERROR(__xludf.DUMMYFUNCTION("IF(A706="""","""",TEXTJOIN(CHAR(10),TRUE,FILTER('Chi tiết từng link'!$B$2:$B$2505,'Chi tiết từng link'!$D$2:$D$2505=A706)))"),"https://techcombank.com/thong-tin/blog/rut-tien-mat-tu-the-tin-dung")</f>
        <v>https://techcombank.com/thong-tin/blog/rut-tien-mat-tu-the-tin-dung</v>
      </c>
      <c r="D706" s="5" t="str">
        <f t="shared" si="1"/>
        <v>OK</v>
      </c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35" t="str">
        <f>IFERROR(__xludf.DUMMYFUNCTION("""COMPUTED_VALUE"""),"https://techcombank.com/thong-tin/blog/thanh-toan-phi-quan-ly-chung-cu")</f>
        <v>https://techcombank.com/thong-tin/blog/thanh-toan-phi-quan-ly-chung-cu</v>
      </c>
      <c r="B707" s="25">
        <f>IFERROR(__xludf.DUMMYFUNCTION("""COMPUTED_VALUE"""),1.0)</f>
        <v>1</v>
      </c>
      <c r="C707" s="35" t="str">
        <f>IFERROR(__xludf.DUMMYFUNCTION("IF(A707="""","""",TEXTJOIN(CHAR(10),TRUE,FILTER('Chi tiết từng link'!$B$2:$B$2505,'Chi tiết từng link'!$D$2:$D$2505=A707)))"),"https://techcombank.com/thong-tin/blog/vay-ngan-hang-1-ty-moi-thang-tra-bao-nhieu")</f>
        <v>https://techcombank.com/thong-tin/blog/vay-ngan-hang-1-ty-moi-thang-tra-bao-nhieu</v>
      </c>
      <c r="D707" s="5" t="str">
        <f t="shared" si="1"/>
        <v>OK</v>
      </c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35" t="str">
        <f>IFERROR(__xludf.DUMMYFUNCTION("""COMPUTED_VALUE"""),"https://techcombank.com/thong-tin/blog/thanh-toan-quoc-te")</f>
        <v>https://techcombank.com/thong-tin/blog/thanh-toan-quoc-te</v>
      </c>
      <c r="B708" s="25">
        <f>IFERROR(__xludf.DUMMYFUNCTION("""COMPUTED_VALUE"""),1.0)</f>
        <v>1</v>
      </c>
      <c r="C708" s="35" t="str">
        <f>IFERROR(__xludf.DUMMYFUNCTION("IF(A708="""","""",TEXTJOIN(CHAR(10),TRUE,FILTER('Chi tiết từng link'!$B$2:$B$2505,'Chi tiết từng link'!$D$2:$D$2505=A708)))"),"https://techcombank.com/thong-tin/blog/cach-nhan-tien-tu-nuoc-ngoai-ve-viet-nam")</f>
        <v>https://techcombank.com/thong-tin/blog/cach-nhan-tien-tu-nuoc-ngoai-ve-viet-nam</v>
      </c>
      <c r="D708" s="5" t="str">
        <f t="shared" si="1"/>
        <v>OK</v>
      </c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35" t="str">
        <f>IFERROR(__xludf.DUMMYFUNCTION("""COMPUTED_VALUE"""),"https://techcombank.com/thong-tin/blog/thanh-toan-tien-internet-online")</f>
        <v>https://techcombank.com/thong-tin/blog/thanh-toan-tien-internet-online</v>
      </c>
      <c r="B709" s="25">
        <f>IFERROR(__xludf.DUMMYFUNCTION("""COMPUTED_VALUE"""),1.0)</f>
        <v>1</v>
      </c>
      <c r="C709" s="35" t="str">
        <f>IFERROR(__xludf.DUMMYFUNCTION("IF(A709="""","""",TEXTJOIN(CHAR(10),TRUE,FILTER('Chi tiết từng link'!$B$2:$B$2505,'Chi tiết từng link'!$D$2:$D$2505=A709)))"),"https://techcombank.com/thong-tin/blog/cach-nap-the-viettel")</f>
        <v>https://techcombank.com/thong-tin/blog/cach-nap-the-viettel</v>
      </c>
      <c r="D709" s="5" t="str">
        <f t="shared" si="1"/>
        <v>OK</v>
      </c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35" t="str">
        <f>IFERROR(__xludf.DUMMYFUNCTION("""COMPUTED_VALUE"""),"https://techcombank.com/thong-tin/blog/thanh-toan-tien-nuoc-online")</f>
        <v>https://techcombank.com/thong-tin/blog/thanh-toan-tien-nuoc-online</v>
      </c>
      <c r="B710" s="25">
        <f>IFERROR(__xludf.DUMMYFUNCTION("""COMPUTED_VALUE"""),1.0)</f>
        <v>1</v>
      </c>
      <c r="C710" s="35" t="str">
        <f>IFERROR(__xludf.DUMMYFUNCTION("IF(A710="""","""",TEXTJOIN(CHAR(10),TRUE,FILTER('Chi tiết từng link'!$B$2:$B$2505,'Chi tiết từng link'!$D$2:$D$2505=A710)))"),"https://techcombank.com/thong-tin/blog/ten-dang-nhap-tai-khoan-ngan-hang-la-gi")</f>
        <v>https://techcombank.com/thong-tin/blog/ten-dang-nhap-tai-khoan-ngan-hang-la-gi</v>
      </c>
      <c r="D710" s="5" t="str">
        <f t="shared" si="1"/>
        <v>OK</v>
      </c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35" t="str">
        <f>IFERROR(__xludf.DUMMYFUNCTION("""COMPUTED_VALUE"""),"https://techcombank.com/thong-tin/blog/the-he-tre-day-manh-xu-huong-thanh-toan-khong-dung-tien-mat")</f>
        <v>https://techcombank.com/thong-tin/blog/the-he-tre-day-manh-xu-huong-thanh-toan-khong-dung-tien-mat</v>
      </c>
      <c r="B711" s="25">
        <f>IFERROR(__xludf.DUMMYFUNCTION("""COMPUTED_VALUE"""),1.0)</f>
        <v>1</v>
      </c>
      <c r="C711" s="35" t="str">
        <f>IFERROR(__xludf.DUMMYFUNCTION("IF(A711="""","""",TEXTJOIN(CHAR(10),TRUE,FILTER('Chi tiết từng link'!$B$2:$B$2505,'Chi tiết từng link'!$D$2:$D$2505=A711)))"),"https://techcombank.com/thong-tin/blog/rut-tien-mat-tu-the-tin-dung")</f>
        <v>https://techcombank.com/thong-tin/blog/rut-tien-mat-tu-the-tin-dung</v>
      </c>
      <c r="D711" s="5" t="str">
        <f t="shared" si="1"/>
        <v>OK</v>
      </c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35" t="str">
        <f>IFERROR(__xludf.DUMMYFUNCTION("""COMPUTED_VALUE"""),"https://techcombank.com/thong-tin/blog/the-napas-la-gi")</f>
        <v>https://techcombank.com/thong-tin/blog/the-napas-la-gi</v>
      </c>
      <c r="B712" s="25">
        <f>IFERROR(__xludf.DUMMYFUNCTION("""COMPUTED_VALUE"""),1.0)</f>
        <v>1</v>
      </c>
      <c r="C712" s="35" t="str">
        <f>IFERROR(__xludf.DUMMYFUNCTION("IF(A712="""","""",TEXTJOIN(CHAR(10),TRUE,FILTER('Chi tiết từng link'!$B$2:$B$2505,'Chi tiết từng link'!$D$2:$D$2505=A712)))"),"https://techcombank.com/thong-tin/blog/lam-the-tin-dung")</f>
        <v>https://techcombank.com/thong-tin/blog/lam-the-tin-dung</v>
      </c>
      <c r="D712" s="5" t="str">
        <f t="shared" si="1"/>
        <v>OK</v>
      </c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35" t="str">
        <f>IFERROR(__xludf.DUMMYFUNCTION("""COMPUTED_VALUE"""),"https://techcombank.com/thong-tin/blog/the-visa-co-thanh-toan-quoc-te-duoc-khong")</f>
        <v>https://techcombank.com/thong-tin/blog/the-visa-co-thanh-toan-quoc-te-duoc-khong</v>
      </c>
      <c r="B713" s="25">
        <f>IFERROR(__xludf.DUMMYFUNCTION("""COMPUTED_VALUE"""),1.0)</f>
        <v>1</v>
      </c>
      <c r="C713" s="35" t="str">
        <f>IFERROR(__xludf.DUMMYFUNCTION("IF(A713="""","""",TEXTJOIN(CHAR(10),TRUE,FILTER('Chi tiết từng link'!$B$2:$B$2505,'Chi tiết từng link'!$D$2:$D$2505=A713)))"),"https://techcombank.com/thong-tin/blog/cach-nhan-tien-tu-nuoc-ngoai-ve-viet-nam")</f>
        <v>https://techcombank.com/thong-tin/blog/cach-nhan-tien-tu-nuoc-ngoai-ve-viet-nam</v>
      </c>
      <c r="D713" s="5" t="str">
        <f t="shared" si="1"/>
        <v>OK</v>
      </c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35" t="str">
        <f>IFERROR(__xludf.DUMMYFUNCTION("""COMPUTED_VALUE"""),"https://techcombank.com/thong-tin/blog/thi-truong-trai-phieu-co-hoi-dau-tu-trai-phieu-vang-du-lai-suat-thap")</f>
        <v>https://techcombank.com/thong-tin/blog/thi-truong-trai-phieu-co-hoi-dau-tu-trai-phieu-vang-du-lai-suat-thap</v>
      </c>
      <c r="B714" s="25">
        <f>IFERROR(__xludf.DUMMYFUNCTION("""COMPUTED_VALUE"""),1.0)</f>
        <v>1</v>
      </c>
      <c r="C714" s="35" t="str">
        <f>IFERROR(__xludf.DUMMYFUNCTION("IF(A714="""","""",TEXTJOIN(CHAR(10),TRUE,FILTER('Chi tiết từng link'!$B$2:$B$2505,'Chi tiết từng link'!$D$2:$D$2505=A714)))"),"https://techcombank.com/thong-tin/blog/phuong-phap-dau-tu-chung-chi-quy")</f>
        <v>https://techcombank.com/thong-tin/blog/phuong-phap-dau-tu-chung-chi-quy</v>
      </c>
      <c r="D714" s="5" t="str">
        <f t="shared" si="1"/>
        <v>OK</v>
      </c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35" t="str">
        <f>IFERROR(__xludf.DUMMYFUNCTION("""COMPUTED_VALUE"""),"https://techcombank.com/thong-tin/blog/thoi-gian-khop-lech-chung-chi-quy")</f>
        <v>https://techcombank.com/thong-tin/blog/thoi-gian-khop-lech-chung-chi-quy</v>
      </c>
      <c r="B715" s="25">
        <f>IFERROR(__xludf.DUMMYFUNCTION("""COMPUTED_VALUE"""),1.0)</f>
        <v>1</v>
      </c>
      <c r="C715" s="35" t="str">
        <f>IFERROR(__xludf.DUMMYFUNCTION("IF(A715="""","""",TEXTJOIN(CHAR(10),TRUE,FILTER('Chi tiết từng link'!$B$2:$B$2505,'Chi tiết từng link'!$D$2:$D$2505=A715)))"),"https://techcombank.com/thong-tin/blog/phuong-phap-dau-tu-chung-chi-quy")</f>
        <v>https://techcombank.com/thong-tin/blog/phuong-phap-dau-tu-chung-chi-quy</v>
      </c>
      <c r="D715" s="5" t="str">
        <f t="shared" si="1"/>
        <v>OK</v>
      </c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35" t="str">
        <f>IFERROR(__xludf.DUMMYFUNCTION("""COMPUTED_VALUE"""),"https://techcombank.com/thong-tin/blog/thoi-han-vay-thau-chi")</f>
        <v>https://techcombank.com/thong-tin/blog/thoi-han-vay-thau-chi</v>
      </c>
      <c r="B716" s="25">
        <f>IFERROR(__xludf.DUMMYFUNCTION("""COMPUTED_VALUE"""),1.0)</f>
        <v>1</v>
      </c>
      <c r="C716" s="35" t="str">
        <f>IFERROR(__xludf.DUMMYFUNCTION("IF(A716="""","""",TEXTJOIN(CHAR(10),TRUE,FILTER('Chi tiết từng link'!$B$2:$B$2505,'Chi tiết từng link'!$D$2:$D$2505=A716)))"),"https://techcombank.com/thong-tin/blog/vay-thau-chi-la-gi")</f>
        <v>https://techcombank.com/thong-tin/blog/vay-thau-chi-la-gi</v>
      </c>
      <c r="D716" s="5" t="str">
        <f t="shared" si="1"/>
        <v>OK</v>
      </c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35" t="str">
        <f>IFERROR(__xludf.DUMMYFUNCTION("""COMPUTED_VALUE"""),"https://techcombank.com/thong-tin/blog/thu-tuc-thanh-lap-doanh-nghiep")</f>
        <v>https://techcombank.com/thong-tin/blog/thu-tuc-thanh-lap-doanh-nghiep</v>
      </c>
      <c r="B717" s="25">
        <f>IFERROR(__xludf.DUMMYFUNCTION("""COMPUTED_VALUE"""),1.0)</f>
        <v>1</v>
      </c>
      <c r="C717" s="35" t="str">
        <f>IFERROR(__xludf.DUMMYFUNCTION("IF(A717="""","""",TEXTJOIN(CHAR(10),TRUE,FILTER('Chi tiết từng link'!$B$2:$B$2505,'Chi tiết từng link'!$D$2:$D$2505=A717)))"),"https://techcombank.com/thong-tin/blog/thue-doanh-nghiep")</f>
        <v>https://techcombank.com/thong-tin/blog/thue-doanh-nghiep</v>
      </c>
      <c r="D717" s="5" t="str">
        <f t="shared" si="1"/>
        <v>OK</v>
      </c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35" t="str">
        <f>IFERROR(__xludf.DUMMYFUNCTION("""COMPUTED_VALUE"""),"https://techcombank.com/thong-tin/blog/thuc-day-thi-truong-the-noi-dia-va-xu-huong-thanh-toan-tuong-lai")</f>
        <v>https://techcombank.com/thong-tin/blog/thuc-day-thi-truong-the-noi-dia-va-xu-huong-thanh-toan-tuong-lai</v>
      </c>
      <c r="B718" s="25">
        <f>IFERROR(__xludf.DUMMYFUNCTION("""COMPUTED_VALUE"""),1.0)</f>
        <v>1</v>
      </c>
      <c r="C718" s="35" t="str">
        <f>IFERROR(__xludf.DUMMYFUNCTION("IF(A718="""","""",TEXTJOIN(CHAR(10),TRUE,FILTER('Chi tiết từng link'!$B$2:$B$2505,'Chi tiết từng link'!$D$2:$D$2505=A718)))"),"https://techcombank.com/thong-tin/blog/eco-card")</f>
        <v>https://techcombank.com/thong-tin/blog/eco-card</v>
      </c>
      <c r="D718" s="5" t="str">
        <f t="shared" si="1"/>
        <v>OK</v>
      </c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35" t="str">
        <f>IFERROR(__xludf.DUMMYFUNCTION("""COMPUTED_VALUE"""),"https://techcombank.com/thong-tin/blog/thue-vat-la-gi")</f>
        <v>https://techcombank.com/thong-tin/blog/thue-vat-la-gi</v>
      </c>
      <c r="B719" s="25">
        <f>IFERROR(__xludf.DUMMYFUNCTION("""COMPUTED_VALUE"""),1.0)</f>
        <v>1</v>
      </c>
      <c r="C719" s="35" t="str">
        <f>IFERROR(__xludf.DUMMYFUNCTION("IF(A719="""","""",TEXTJOIN(CHAR(10),TRUE,FILTER('Chi tiết từng link'!$B$2:$B$2505,'Chi tiết từng link'!$D$2:$D$2505=A719)))"),"https://techcombank.com/thong-tin/blog/ho-kinh-doanh-dong-thue-nhu-nao")</f>
        <v>https://techcombank.com/thong-tin/blog/ho-kinh-doanh-dong-thue-nhu-nao</v>
      </c>
      <c r="D719" s="5" t="str">
        <f t="shared" si="1"/>
        <v>OK</v>
      </c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35" t="str">
        <f>IFERROR(__xludf.DUMMYFUNCTION("""COMPUTED_VALUE"""),"https://techcombank.com/thong-tin/blog/tien-malaysia")</f>
        <v>https://techcombank.com/thong-tin/blog/tien-malaysia</v>
      </c>
      <c r="B720" s="25">
        <f>IFERROR(__xludf.DUMMYFUNCTION("""COMPUTED_VALUE"""),1.0)</f>
        <v>1</v>
      </c>
      <c r="C720" s="35" t="str">
        <f>IFERROR(__xludf.DUMMYFUNCTION("IF(A720="""","""",TEXTJOIN(CHAR(10),TRUE,FILTER('Chi tiết từng link'!$B$2:$B$2505,'Chi tiết từng link'!$D$2:$D$2505=A720)))"),"https://techcombank.com/thong-tin/blog/doi-tien-do-o-dau")</f>
        <v>https://techcombank.com/thong-tin/blog/doi-tien-do-o-dau</v>
      </c>
      <c r="D720" s="5" t="str">
        <f t="shared" si="1"/>
        <v>OK</v>
      </c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35" t="str">
        <f>IFERROR(__xludf.DUMMYFUNCTION("""COMPUTED_VALUE"""),"https://techcombank.com/thong-tin/blog/tiet-kiem-tien-moi-ngay")</f>
        <v>https://techcombank.com/thong-tin/blog/tiet-kiem-tien-moi-ngay</v>
      </c>
      <c r="B721" s="25">
        <f>IFERROR(__xludf.DUMMYFUNCTION("""COMPUTED_VALUE"""),1.0)</f>
        <v>1</v>
      </c>
      <c r="C721" s="35" t="str">
        <f>IFERROR(__xludf.DUMMYFUNCTION("IF(A721="""","""",TEXTJOIN(CHAR(10),TRUE,FILTER('Chi tiết từng link'!$B$2:$B$2505,'Chi tiết từng link'!$D$2:$D$2505=A721)))"),"https://techcombank.com/thong-tin/blog/cach-tiet-kiem-tien")</f>
        <v>https://techcombank.com/thong-tin/blog/cach-tiet-kiem-tien</v>
      </c>
      <c r="D721" s="5" t="str">
        <f t="shared" si="1"/>
        <v>OK</v>
      </c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35" t="str">
        <f>IFERROR(__xludf.DUMMYFUNCTION("""COMPUTED_VALUE"""),"https://techcombank.com/thong-tin/blog/tieu-dung-xanh")</f>
        <v>https://techcombank.com/thong-tin/blog/tieu-dung-xanh</v>
      </c>
      <c r="B722" s="25">
        <f>IFERROR(__xludf.DUMMYFUNCTION("""COMPUTED_VALUE"""),1.0)</f>
        <v>1</v>
      </c>
      <c r="C722" s="35" t="str">
        <f>IFERROR(__xludf.DUMMYFUNCTION("IF(A722="""","""",TEXTJOIN(CHAR(10),TRUE,FILTER('Chi tiết từng link'!$B$2:$B$2505,'Chi tiết từng link'!$D$2:$D$2505=A722)))"),"https://techcombank.com/thong-tin/blog/eco-card")</f>
        <v>https://techcombank.com/thong-tin/blog/eco-card</v>
      </c>
      <c r="D722" s="5" t="str">
        <f t="shared" si="1"/>
        <v>OK</v>
      </c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35" t="str">
        <f>IFERROR(__xludf.DUMMYFUNCTION("""COMPUTED_VALUE"""),"https://techcombank.com/thong-tin/blog/tin-dung-la-gi")</f>
        <v>https://techcombank.com/thong-tin/blog/tin-dung-la-gi</v>
      </c>
      <c r="B723" s="25">
        <f>IFERROR(__xludf.DUMMYFUNCTION("""COMPUTED_VALUE"""),1.0)</f>
        <v>1</v>
      </c>
      <c r="C723" s="35" t="str">
        <f>IFERROR(__xludf.DUMMYFUNCTION("IF(A723="""","""",TEXTJOIN(CHAR(10),TRUE,FILTER('Chi tiết từng link'!$B$2:$B$2505,'Chi tiết từng link'!$D$2:$D$2505=A723)))"),"https://techcombank.com/thong-tin/blog/xep-hang-tin-dung")</f>
        <v>https://techcombank.com/thong-tin/blog/xep-hang-tin-dung</v>
      </c>
      <c r="D723" s="5" t="str">
        <f t="shared" si="1"/>
        <v>OK</v>
      </c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35" t="str">
        <f>IFERROR(__xludf.DUMMYFUNCTION("""COMPUTED_VALUE"""),"https://techcombank.com/thong-tin/blog/tous-les-jours")</f>
        <v>https://techcombank.com/thong-tin/blog/tous-les-jours</v>
      </c>
      <c r="B724" s="25">
        <f>IFERROR(__xludf.DUMMYFUNCTION("""COMPUTED_VALUE"""),1.0)</f>
        <v>1</v>
      </c>
      <c r="C724" s="35" t="str">
        <f>IFERROR(__xludf.DUMMYFUNCTION("IF(A724="""","""",TEXTJOIN(CHAR(10),TRUE,FILTER('Chi tiết từng link'!$B$2:$B$2505,'Chi tiết từng link'!$D$2:$D$2505=A724)))"),"https://techcombank.com/thong-tin/blog/traveloka-voucher")</f>
        <v>https://techcombank.com/thong-tin/blog/traveloka-voucher</v>
      </c>
      <c r="D724" s="5" t="str">
        <f t="shared" si="1"/>
        <v>OK</v>
      </c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35" t="str">
        <f>IFERROR(__xludf.DUMMYFUNCTION("""COMPUTED_VALUE"""),"https://techcombank.com/thong-tin/blog/tra-cuu-hoa-don-nuoc")</f>
        <v>https://techcombank.com/thong-tin/blog/tra-cuu-hoa-don-nuoc</v>
      </c>
      <c r="B725" s="25">
        <f>IFERROR(__xludf.DUMMYFUNCTION("""COMPUTED_VALUE"""),1.0)</f>
        <v>1</v>
      </c>
      <c r="C725" s="35" t="str">
        <f>IFERROR(__xludf.DUMMYFUNCTION("IF(A725="""","""",TEXTJOIN(CHAR(10),TRUE,FILTER('Chi tiết từng link'!$B$2:$B$2505,'Chi tiết từng link'!$D$2:$D$2505=A725)))"),"https://techcombank.com/thong-tin/blog/thue-vat-la-gi")</f>
        <v>https://techcombank.com/thong-tin/blog/thue-vat-la-gi</v>
      </c>
      <c r="D725" s="5" t="str">
        <f t="shared" si="1"/>
        <v>OK</v>
      </c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35" t="str">
        <f>IFERROR(__xludf.DUMMYFUNCTION("""COMPUTED_VALUE"""),"https://techcombank.com/thong-tin/blog/ty-gia-hoi-doai-la-gi")</f>
        <v>https://techcombank.com/thong-tin/blog/ty-gia-hoi-doai-la-gi</v>
      </c>
      <c r="B726" s="25">
        <f>IFERROR(__xludf.DUMMYFUNCTION("""COMPUTED_VALUE"""),1.0)</f>
        <v>1</v>
      </c>
      <c r="C726" s="35" t="str">
        <f>IFERROR(__xludf.DUMMYFUNCTION("IF(A726="""","""",TEXTJOIN(CHAR(10),TRUE,FILTER('Chi tiết từng link'!$B$2:$B$2505,'Chi tiết từng link'!$D$2:$D$2505=A726)))"),"https://techcombank.com/thong-tin/blog/doi-tien-do-o-dau")</f>
        <v>https://techcombank.com/thong-tin/blog/doi-tien-do-o-dau</v>
      </c>
      <c r="D726" s="5" t="str">
        <f t="shared" si="1"/>
        <v>OK</v>
      </c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35" t="str">
        <f>IFERROR(__xludf.DUMMYFUNCTION("""COMPUTED_VALUE"""),"https://techcombank.com/thong-tin/blog/ty-le-thanh-toan-khong-dung-tien-mat-trong-linh-vuc-y-te-con-han-che")</f>
        <v>https://techcombank.com/thong-tin/blog/ty-le-thanh-toan-khong-dung-tien-mat-trong-linh-vuc-y-te-con-han-che</v>
      </c>
      <c r="B727" s="25">
        <f>IFERROR(__xludf.DUMMYFUNCTION("""COMPUTED_VALUE"""),1.0)</f>
        <v>1</v>
      </c>
      <c r="C727" s="35" t="str">
        <f>IFERROR(__xludf.DUMMYFUNCTION("IF(A727="""","""",TEXTJOIN(CHAR(10),TRUE,FILTER('Chi tiết từng link'!$B$2:$B$2505,'Chi tiết từng link'!$D$2:$D$2505=A727)))"),"https://techcombank.com/thong-tin/blog/rut-tien-mat-tu-the-tin-dung")</f>
        <v>https://techcombank.com/thong-tin/blog/rut-tien-mat-tu-the-tin-dung</v>
      </c>
      <c r="D727" s="5" t="str">
        <f t="shared" si="1"/>
        <v>OK</v>
      </c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35" t="str">
        <f>IFERROR(__xludf.DUMMYFUNCTION("""COMPUTED_VALUE"""),"https://techcombank.com/thong-tin/blog/uu-diem-cua-blockchain")</f>
        <v>https://techcombank.com/thong-tin/blog/uu-diem-cua-blockchain</v>
      </c>
      <c r="B728" s="25">
        <f>IFERROR(__xludf.DUMMYFUNCTION("""COMPUTED_VALUE"""),1.0)</f>
        <v>1</v>
      </c>
      <c r="C728" s="35" t="str">
        <f>IFERROR(__xludf.DUMMYFUNCTION("IF(A728="""","""",TEXTJOIN(CHAR(10),TRUE,FILTER('Chi tiết từng link'!$B$2:$B$2505,'Chi tiết từng link'!$D$2:$D$2505=A728)))"),"https://techcombank.com/thong-tin/blog/chuyen-khoan-thanh-cong-nhung-khong-nhan-duoc-tien")</f>
        <v>https://techcombank.com/thong-tin/blog/chuyen-khoan-thanh-cong-nhung-khong-nhan-duoc-tien</v>
      </c>
      <c r="D728" s="5" t="str">
        <f t="shared" si="1"/>
        <v>OK</v>
      </c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35" t="str">
        <f>IFERROR(__xludf.DUMMYFUNCTION("""COMPUTED_VALUE"""),"https://techcombank.com/thong-tin/blog/vang-24k")</f>
        <v>https://techcombank.com/thong-tin/blog/vang-24k</v>
      </c>
      <c r="B729" s="25">
        <f>IFERROR(__xludf.DUMMYFUNCTION("""COMPUTED_VALUE"""),1.0)</f>
        <v>1</v>
      </c>
      <c r="C729" s="35" t="str">
        <f>IFERROR(__xludf.DUMMYFUNCTION("IF(A729="""","""",TEXTJOIN(CHAR(10),TRUE,FILTER('Chi tiết từng link'!$B$2:$B$2505,'Chi tiết từng link'!$D$2:$D$2505=A729)))"),"https://techcombank.com/thong-tin/blog/phuong-phap-dau-tu-chung-chi-quy")</f>
        <v>https://techcombank.com/thong-tin/blog/phuong-phap-dau-tu-chung-chi-quy</v>
      </c>
      <c r="D729" s="5" t="str">
        <f t="shared" si="1"/>
        <v>OK</v>
      </c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35" t="str">
        <f>IFERROR(__xludf.DUMMYFUNCTION("""COMPUTED_VALUE"""),"https://techcombank.com/thong-tin/blog/vang-giam")</f>
        <v>https://techcombank.com/thong-tin/blog/vang-giam</v>
      </c>
      <c r="B730" s="25">
        <f>IFERROR(__xludf.DUMMYFUNCTION("""COMPUTED_VALUE"""),1.0)</f>
        <v>1</v>
      </c>
      <c r="C730" s="35" t="str">
        <f>IFERROR(__xludf.DUMMYFUNCTION("IF(A730="""","""",TEXTJOIN(CHAR(10),TRUE,FILTER('Chi tiết từng link'!$B$2:$B$2505,'Chi tiết từng link'!$D$2:$D$2505=A730)))"),"https://techcombank.com/thong-tin/blog/phuong-phap-dau-tu-chung-chi-quy")</f>
        <v>https://techcombank.com/thong-tin/blog/phuong-phap-dau-tu-chung-chi-quy</v>
      </c>
      <c r="D730" s="5" t="str">
        <f t="shared" si="1"/>
        <v>OK</v>
      </c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35" t="str">
        <f>IFERROR(__xludf.DUMMYFUNCTION("""COMPUTED_VALUE"""),"https://techcombank.com/thong-tin/blog/vang-my-ky")</f>
        <v>https://techcombank.com/thong-tin/blog/vang-my-ky</v>
      </c>
      <c r="B731" s="25">
        <f>IFERROR(__xludf.DUMMYFUNCTION("""COMPUTED_VALUE"""),1.0)</f>
        <v>1</v>
      </c>
      <c r="C731" s="35" t="str">
        <f>IFERROR(__xludf.DUMMYFUNCTION("IF(A731="""","""",TEXTJOIN(CHAR(10),TRUE,FILTER('Chi tiết từng link'!$B$2:$B$2505,'Chi tiết từng link'!$D$2:$D$2505=A731)))"),"https://techcombank.com/thong-tin/blog/1-dong-do-la-my-bang-bao-nhieu-tien-viet-nam")</f>
        <v>https://techcombank.com/thong-tin/blog/1-dong-do-la-my-bang-bao-nhieu-tien-viet-nam</v>
      </c>
      <c r="D731" s="5" t="str">
        <f t="shared" si="1"/>
        <v>OK</v>
      </c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35" t="str">
        <f>IFERROR(__xludf.DUMMYFUNCTION("""COMPUTED_VALUE"""),"https://techcombank.com/thong-tin/blog/vay-mua-chung-cu")</f>
        <v>https://techcombank.com/thong-tin/blog/vay-mua-chung-cu</v>
      </c>
      <c r="B732" s="25">
        <f>IFERROR(__xludf.DUMMYFUNCTION("""COMPUTED_VALUE"""),1.0)</f>
        <v>1</v>
      </c>
      <c r="C732" s="35" t="str">
        <f>IFERROR(__xludf.DUMMYFUNCTION("IF(A732="""","""",TEXTJOIN(CHAR(10),TRUE,FILTER('Chi tiết từng link'!$B$2:$B$2505,'Chi tiết từng link'!$D$2:$D$2505=A732)))"),"https://techcombank.com/thong-tin/blog/vay-ngan-hang-1-ty-moi-thang-tra-bao-nhieu")</f>
        <v>https://techcombank.com/thong-tin/blog/vay-ngan-hang-1-ty-moi-thang-tra-bao-nhieu</v>
      </c>
      <c r="D732" s="5" t="str">
        <f t="shared" si="1"/>
        <v>OK</v>
      </c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35" t="str">
        <f>IFERROR(__xludf.DUMMYFUNCTION("""COMPUTED_VALUE"""),"https://techcombank.com/thong-tin/blog/vay-sieu-toc")</f>
        <v>https://techcombank.com/thong-tin/blog/vay-sieu-toc</v>
      </c>
      <c r="B733" s="25">
        <f>IFERROR(__xludf.DUMMYFUNCTION("""COMPUTED_VALUE"""),1.0)</f>
        <v>1</v>
      </c>
      <c r="C733" s="35" t="str">
        <f>IFERROR(__xludf.DUMMYFUNCTION("IF(A733="""","""",TEXTJOIN(CHAR(10),TRUE,FILTER('Chi tiết từng link'!$B$2:$B$2505,'Chi tiết từng link'!$D$2:$D$2505=A733)))"),"https://techcombank.com/thong-tin/blog/app-vay-tien-nhanh")</f>
        <v>https://techcombank.com/thong-tin/blog/app-vay-tien-nhanh</v>
      </c>
      <c r="D733" s="5" t="str">
        <f t="shared" si="1"/>
        <v>OK</v>
      </c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35" t="str">
        <f>IFERROR(__xludf.DUMMYFUNCTION("""COMPUTED_VALUE"""),"https://techcombank.com/thong-tin/blog/vi-dien-tu-la-gi")</f>
        <v>https://techcombank.com/thong-tin/blog/vi-dien-tu-la-gi</v>
      </c>
      <c r="B734" s="25">
        <f>IFERROR(__xludf.DUMMYFUNCTION("""COMPUTED_VALUE"""),1.0)</f>
        <v>1</v>
      </c>
      <c r="C734" s="35" t="str">
        <f>IFERROR(__xludf.DUMMYFUNCTION("IF(A734="""","""",TEXTJOIN(CHAR(10),TRUE,FILTER('Chi tiết từng link'!$B$2:$B$2505,'Chi tiết từng link'!$D$2:$D$2505=A734)))"),"https://techcombank.com/thong-tin/blog/chuyen-khoan-thanh-cong-nhung-khong-nhan-duoc-tien")</f>
        <v>https://techcombank.com/thong-tin/blog/chuyen-khoan-thanh-cong-nhung-khong-nhan-duoc-tien</v>
      </c>
      <c r="D734" s="5" t="str">
        <f t="shared" si="1"/>
        <v>OK</v>
      </c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35" t="str">
        <f>IFERROR(__xludf.DUMMYFUNCTION("""COMPUTED_VALUE"""),"https://techcombank.com/thong-tin/blog/voucher-cgv")</f>
        <v>https://techcombank.com/thong-tin/blog/voucher-cgv</v>
      </c>
      <c r="B735" s="25">
        <f>IFERROR(__xludf.DUMMYFUNCTION("""COMPUTED_VALUE"""),1.0)</f>
        <v>1</v>
      </c>
      <c r="C735" s="35" t="str">
        <f>IFERROR(__xludf.DUMMYFUNCTION("IF(A735="""","""",TEXTJOIN(CHAR(10),TRUE,FILTER('Chi tiết từng link'!$B$2:$B$2505,'Chi tiết từng link'!$D$2:$D$2505=A735)))"),"https://techcombank.com/thong-tin/blog/traveloka-voucher")</f>
        <v>https://techcombank.com/thong-tin/blog/traveloka-voucher</v>
      </c>
      <c r="D735" s="5" t="str">
        <f t="shared" si="1"/>
        <v>OK</v>
      </c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35" t="str">
        <f>IFERROR(__xludf.DUMMYFUNCTION("""COMPUTED_VALUE"""),"https://techcombank.com/thong-tin/blog/voucher-coopmart")</f>
        <v>https://techcombank.com/thong-tin/blog/voucher-coopmart</v>
      </c>
      <c r="B736" s="25">
        <f>IFERROR(__xludf.DUMMYFUNCTION("""COMPUTED_VALUE"""),1.0)</f>
        <v>1</v>
      </c>
      <c r="C736" s="35" t="str">
        <f>IFERROR(__xludf.DUMMYFUNCTION("IF(A736="""","""",TEXTJOIN(CHAR(10),TRUE,FILTER('Chi tiết từng link'!$B$2:$B$2505,'Chi tiết từng link'!$D$2:$D$2505=A736)))"),"https://techcombank.com/thong-tin/blog/traveloka-voucher")</f>
        <v>https://techcombank.com/thong-tin/blog/traveloka-voucher</v>
      </c>
      <c r="D736" s="5" t="str">
        <f t="shared" si="1"/>
        <v>OK</v>
      </c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35" t="str">
        <f>IFERROR(__xludf.DUMMYFUNCTION("""COMPUTED_VALUE"""),"https://techcombank.com/thong-tin/blog/voucher-golden-gate")</f>
        <v>https://techcombank.com/thong-tin/blog/voucher-golden-gate</v>
      </c>
      <c r="B737" s="25">
        <f>IFERROR(__xludf.DUMMYFUNCTION("""COMPUTED_VALUE"""),1.0)</f>
        <v>1</v>
      </c>
      <c r="C737" s="35" t="str">
        <f>IFERROR(__xludf.DUMMYFUNCTION("IF(A737="""","""",TEXTJOIN(CHAR(10),TRUE,FILTER('Chi tiết từng link'!$B$2:$B$2505,'Chi tiết từng link'!$D$2:$D$2505=A737)))"),"https://techcombank.com/thong-tin/blog/traveloka-voucher")</f>
        <v>https://techcombank.com/thong-tin/blog/traveloka-voucher</v>
      </c>
      <c r="D737" s="5" t="str">
        <f t="shared" si="1"/>
        <v>OK</v>
      </c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35" t="str">
        <f>IFERROR(__xludf.DUMMYFUNCTION("""COMPUTED_VALUE"""),"https://techcombank.com/thong-tin/blog/voucher-grab")</f>
        <v>https://techcombank.com/thong-tin/blog/voucher-grab</v>
      </c>
      <c r="B738" s="25">
        <f>IFERROR(__xludf.DUMMYFUNCTION("""COMPUTED_VALUE"""),1.0)</f>
        <v>1</v>
      </c>
      <c r="C738" s="35" t="str">
        <f>IFERROR(__xludf.DUMMYFUNCTION("IF(A738="""","""",TEXTJOIN(CHAR(10),TRUE,FILTER('Chi tiết từng link'!$B$2:$B$2505,'Chi tiết từng link'!$D$2:$D$2505=A738)))"),"https://techcombank.com/thong-tin/blog/traveloka-voucher")</f>
        <v>https://techcombank.com/thong-tin/blog/traveloka-voucher</v>
      </c>
      <c r="D738" s="5" t="str">
        <f t="shared" si="1"/>
        <v>OK</v>
      </c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35" t="str">
        <f>IFERROR(__xludf.DUMMYFUNCTION("""COMPUTED_VALUE"""),"https://techcombank.com/thong-tin/blog/voucher-highland")</f>
        <v>https://techcombank.com/thong-tin/blog/voucher-highland</v>
      </c>
      <c r="B739" s="25">
        <f>IFERROR(__xludf.DUMMYFUNCTION("""COMPUTED_VALUE"""),1.0)</f>
        <v>1</v>
      </c>
      <c r="C739" s="35" t="str">
        <f>IFERROR(__xludf.DUMMYFUNCTION("IF(A739="""","""",TEXTJOIN(CHAR(10),TRUE,FILTER('Chi tiết từng link'!$B$2:$B$2505,'Chi tiết từng link'!$D$2:$D$2505=A739)))"),"https://techcombank.com/thong-tin/blog/traveloka-voucher")</f>
        <v>https://techcombank.com/thong-tin/blog/traveloka-voucher</v>
      </c>
      <c r="D739" s="5" t="str">
        <f t="shared" si="1"/>
        <v>OK</v>
      </c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35" t="str">
        <f>IFERROR(__xludf.DUMMYFUNCTION("""COMPUTED_VALUE"""),"https://techcombank.com/thong-tin/blog/voucher-jollibee")</f>
        <v>https://techcombank.com/thong-tin/blog/voucher-jollibee</v>
      </c>
      <c r="B740" s="25">
        <f>IFERROR(__xludf.DUMMYFUNCTION("""COMPUTED_VALUE"""),1.0)</f>
        <v>1</v>
      </c>
      <c r="C740" s="35" t="str">
        <f>IFERROR(__xludf.DUMMYFUNCTION("IF(A740="""","""",TEXTJOIN(CHAR(10),TRUE,FILTER('Chi tiết từng link'!$B$2:$B$2505,'Chi tiết từng link'!$D$2:$D$2505=A740)))"),"https://techcombank.com/thong-tin/blog/traveloka-voucher")</f>
        <v>https://techcombank.com/thong-tin/blog/traveloka-voucher</v>
      </c>
      <c r="D740" s="5" t="str">
        <f t="shared" si="1"/>
        <v>OK</v>
      </c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35" t="str">
        <f>IFERROR(__xludf.DUMMYFUNCTION("""COMPUTED_VALUE"""),"https://techcombank.com/thong-tin/blog/voucher-katinat")</f>
        <v>https://techcombank.com/thong-tin/blog/voucher-katinat</v>
      </c>
      <c r="B741" s="25">
        <f>IFERROR(__xludf.DUMMYFUNCTION("""COMPUTED_VALUE"""),1.0)</f>
        <v>1</v>
      </c>
      <c r="C741" s="35" t="str">
        <f>IFERROR(__xludf.DUMMYFUNCTION("IF(A741="""","""",TEXTJOIN(CHAR(10),TRUE,FILTER('Chi tiết từng link'!$B$2:$B$2505,'Chi tiết từng link'!$D$2:$D$2505=A741)))"),"https://techcombank.com/thong-tin/blog/traveloka-voucher")</f>
        <v>https://techcombank.com/thong-tin/blog/traveloka-voucher</v>
      </c>
      <c r="D741" s="5" t="str">
        <f t="shared" si="1"/>
        <v>OK</v>
      </c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35" t="str">
        <f>IFERROR(__xludf.DUMMYFUNCTION("""COMPUTED_VALUE"""),"https://techcombank.com/thong-tin/blog/voucher-kfc")</f>
        <v>https://techcombank.com/thong-tin/blog/voucher-kfc</v>
      </c>
      <c r="B742" s="25">
        <f>IFERROR(__xludf.DUMMYFUNCTION("""COMPUTED_VALUE"""),1.0)</f>
        <v>1</v>
      </c>
      <c r="C742" s="35" t="str">
        <f>IFERROR(__xludf.DUMMYFUNCTION("IF(A742="""","""",TEXTJOIN(CHAR(10),TRUE,FILTER('Chi tiết từng link'!$B$2:$B$2505,'Chi tiết từng link'!$D$2:$D$2505=A742)))"),"https://techcombank.com/thong-tin/blog/traveloka-voucher")</f>
        <v>https://techcombank.com/thong-tin/blog/traveloka-voucher</v>
      </c>
      <c r="D742" s="5" t="str">
        <f t="shared" si="1"/>
        <v>OK</v>
      </c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35" t="str">
        <f>IFERROR(__xludf.DUMMYFUNCTION("""COMPUTED_VALUE"""),"https://techcombank.com/thong-tin/blog/voucher-starbucks")</f>
        <v>https://techcombank.com/thong-tin/blog/voucher-starbucks</v>
      </c>
      <c r="B743" s="25">
        <f>IFERROR(__xludf.DUMMYFUNCTION("""COMPUTED_VALUE"""),1.0)</f>
        <v>1</v>
      </c>
      <c r="C743" s="35" t="str">
        <f>IFERROR(__xludf.DUMMYFUNCTION("IF(A743="""","""",TEXTJOIN(CHAR(10),TRUE,FILTER('Chi tiết từng link'!$B$2:$B$2505,'Chi tiết từng link'!$D$2:$D$2505=A743)))"),"https://techcombank.com/thong-tin/blog/traveloka-voucher")</f>
        <v>https://techcombank.com/thong-tin/blog/traveloka-voucher</v>
      </c>
      <c r="D743" s="5" t="str">
        <f t="shared" si="1"/>
        <v>OK</v>
      </c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35" t="str">
        <f>IFERROR(__xludf.DUMMYFUNCTION("""COMPUTED_VALUE"""),"https://techcombank.com/thong-tin/blog/voucher-the-coffee-house")</f>
        <v>https://techcombank.com/thong-tin/blog/voucher-the-coffee-house</v>
      </c>
      <c r="B744" s="25">
        <f>IFERROR(__xludf.DUMMYFUNCTION("""COMPUTED_VALUE"""),1.0)</f>
        <v>1</v>
      </c>
      <c r="C744" s="35" t="str">
        <f>IFERROR(__xludf.DUMMYFUNCTION("IF(A744="""","""",TEXTJOIN(CHAR(10),TRUE,FILTER('Chi tiết từng link'!$B$2:$B$2505,'Chi tiết từng link'!$D$2:$D$2505=A744)))"),"https://techcombank.com/thong-tin/blog/traveloka-voucher")</f>
        <v>https://techcombank.com/thong-tin/blog/traveloka-voucher</v>
      </c>
      <c r="D744" s="5" t="str">
        <f t="shared" si="1"/>
        <v>OK</v>
      </c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35" t="str">
        <f>IFERROR(__xludf.DUMMYFUNCTION("""COMPUTED_VALUE"""),"https://techcombank.com/thong-tin/blog/voucher-the-pizza-company")</f>
        <v>https://techcombank.com/thong-tin/blog/voucher-the-pizza-company</v>
      </c>
      <c r="B745" s="25">
        <f>IFERROR(__xludf.DUMMYFUNCTION("""COMPUTED_VALUE"""),1.0)</f>
        <v>1</v>
      </c>
      <c r="C745" s="35" t="str">
        <f>IFERROR(__xludf.DUMMYFUNCTION("IF(A745="""","""",TEXTJOIN(CHAR(10),TRUE,FILTER('Chi tiết từng link'!$B$2:$B$2505,'Chi tiết từng link'!$D$2:$D$2505=A745)))"),"https://techcombank.com/thong-tin/blog/traveloka-voucher")</f>
        <v>https://techcombank.com/thong-tin/blog/traveloka-voucher</v>
      </c>
      <c r="D745" s="5" t="str">
        <f t="shared" si="1"/>
        <v>OK</v>
      </c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35" t="str">
        <f>IFERROR(__xludf.DUMMYFUNCTION("""COMPUTED_VALUE"""),"https://techcombank.com/thong-tin/blog/voucher-winmart")</f>
        <v>https://techcombank.com/thong-tin/blog/voucher-winmart</v>
      </c>
      <c r="B746" s="25">
        <f>IFERROR(__xludf.DUMMYFUNCTION("""COMPUTED_VALUE"""),1.0)</f>
        <v>1</v>
      </c>
      <c r="C746" s="35" t="str">
        <f>IFERROR(__xludf.DUMMYFUNCTION("IF(A746="""","""",TEXTJOIN(CHAR(10),TRUE,FILTER('Chi tiết từng link'!$B$2:$B$2505,'Chi tiết từng link'!$D$2:$D$2505=A746)))"),"https://techcombank.com/thong-tin/blog/traveloka-voucher")</f>
        <v>https://techcombank.com/thong-tin/blog/traveloka-voucher</v>
      </c>
      <c r="D746" s="5" t="str">
        <f t="shared" si="1"/>
        <v>OK</v>
      </c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35" t="str">
        <f>IFERROR(__xludf.DUMMYFUNCTION("""COMPUTED_VALUE"""),"https://techcombank.com/thong-tin/blog/wacc-la-gi")</f>
        <v>https://techcombank.com/thong-tin/blog/wacc-la-gi</v>
      </c>
      <c r="B747" s="25">
        <f>IFERROR(__xludf.DUMMYFUNCTION("""COMPUTED_VALUE"""),1.0)</f>
        <v>1</v>
      </c>
      <c r="C747" s="35" t="str">
        <f>IFERROR(__xludf.DUMMYFUNCTION("IF(A747="""","""",TEXTJOIN(CHAR(10),TRUE,FILTER('Chi tiết từng link'!$B$2:$B$2505,'Chi tiết từng link'!$D$2:$D$2505=A747)))"),"https://techcombank.com/thong-tin/blog/phuong-phap-dau-tu-chung-chi-quy")</f>
        <v>https://techcombank.com/thong-tin/blog/phuong-phap-dau-tu-chung-chi-quy</v>
      </c>
      <c r="D747" s="5" t="str">
        <f t="shared" si="1"/>
        <v>OK</v>
      </c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35" t="str">
        <f>IFERROR(__xludf.DUMMYFUNCTION("""COMPUTED_VALUE"""),"https://techcombank.com/thong-tin/blog/woomaster")</f>
        <v>https://techcombank.com/thong-tin/blog/woomaster</v>
      </c>
      <c r="B748" s="25">
        <f>IFERROR(__xludf.DUMMYFUNCTION("""COMPUTED_VALUE"""),1.0)</f>
        <v>1</v>
      </c>
      <c r="C748" s="35" t="str">
        <f>IFERROR(__xludf.DUMMYFUNCTION("IF(A748="""","""",TEXTJOIN(CHAR(10),TRUE,FILTER('Chi tiết từng link'!$B$2:$B$2505,'Chi tiết từng link'!$D$2:$D$2505=A748)))"),"https://techcombank.com/thong-tin/blog/traveloka-voucher")</f>
        <v>https://techcombank.com/thong-tin/blog/traveloka-voucher</v>
      </c>
      <c r="D748" s="5" t="str">
        <f t="shared" si="1"/>
        <v>OK</v>
      </c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35" t="str">
        <f>IFERROR(__xludf.DUMMYFUNCTION("""COMPUTED_VALUE"""),"https://techcombank.com/thong-tin/blog/xu-huong-song-xanh")</f>
        <v>https://techcombank.com/thong-tin/blog/xu-huong-song-xanh</v>
      </c>
      <c r="B749" s="25">
        <f>IFERROR(__xludf.DUMMYFUNCTION("""COMPUTED_VALUE"""),1.0)</f>
        <v>1</v>
      </c>
      <c r="C749" s="35" t="str">
        <f>IFERROR(__xludf.DUMMYFUNCTION("IF(A749="""","""",TEXTJOIN(CHAR(10),TRUE,FILTER('Chi tiết từng link'!$B$2:$B$2505,'Chi tiết từng link'!$D$2:$D$2505=A749)))"),"https://techcombank.com/thong-tin/blog/eco-card")</f>
        <v>https://techcombank.com/thong-tin/blog/eco-card</v>
      </c>
      <c r="D749" s="5" t="str">
        <f t="shared" si="1"/>
        <v>OK</v>
      </c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35" t="str">
        <f>IFERROR(__xludf.DUMMYFUNCTION("""COMPUTED_VALUE"""),"https://techcombank.com/thong-tin/blog/xu-huong-thanh-toan-khong-dung-tien-mat-tai-viet-nam")</f>
        <v>https://techcombank.com/thong-tin/blog/xu-huong-thanh-toan-khong-dung-tien-mat-tai-viet-nam</v>
      </c>
      <c r="B750" s="25">
        <f>IFERROR(__xludf.DUMMYFUNCTION("""COMPUTED_VALUE"""),1.0)</f>
        <v>1</v>
      </c>
      <c r="C750" s="35" t="str">
        <f>IFERROR(__xludf.DUMMYFUNCTION("IF(A750="""","""",TEXTJOIN(CHAR(10),TRUE,FILTER('Chi tiết từng link'!$B$2:$B$2505,'Chi tiết từng link'!$D$2:$D$2505=A750)))"),"https://techcombank.com/thong-tin/blog/rut-tien-mat-tu-the-tin-dung")</f>
        <v>https://techcombank.com/thong-tin/blog/rut-tien-mat-tu-the-tin-dung</v>
      </c>
      <c r="D750" s="5" t="str">
        <f t="shared" si="1"/>
        <v>OK</v>
      </c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35" t="str">
        <f>IFERROR(__xludf.DUMMYFUNCTION("""COMPUTED_VALUE"""),"https://techcombank.com/thong-tin/blog/xu-huong-tieu-dung")</f>
        <v>https://techcombank.com/thong-tin/blog/xu-huong-tieu-dung</v>
      </c>
      <c r="B751" s="25">
        <f>IFERROR(__xludf.DUMMYFUNCTION("""COMPUTED_VALUE"""),1.0)</f>
        <v>1</v>
      </c>
      <c r="C751" s="35" t="str">
        <f>IFERROR(__xludf.DUMMYFUNCTION("IF(A751="""","""",TEXTJOIN(CHAR(10),TRUE,FILTER('Chi tiết từng link'!$B$2:$B$2505,'Chi tiết từng link'!$D$2:$D$2505=A751)))"),"https://techcombank.com/thong-tin/blog/eco-card")</f>
        <v>https://techcombank.com/thong-tin/blog/eco-card</v>
      </c>
      <c r="D751" s="5" t="str">
        <f t="shared" si="1"/>
        <v>OK</v>
      </c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35" t="str">
        <f>IFERROR(__xludf.DUMMYFUNCTION("""COMPUTED_VALUE"""),"https://techcombank.com/thong-tin/blog/y-concert")</f>
        <v>https://techcombank.com/thong-tin/blog/y-concert</v>
      </c>
      <c r="B752" s="25">
        <f>IFERROR(__xludf.DUMMYFUNCTION("""COMPUTED_VALUE"""),1.0)</f>
        <v>1</v>
      </c>
      <c r="C752" s="35" t="str">
        <f>IFERROR(__xludf.DUMMYFUNCTION("IF(A752="""","""",TEXTJOIN(CHAR(10),TRUE,FILTER('Chi tiết từng link'!$B$2:$B$2505,'Chi tiết từng link'!$D$2:$D$2505=A752)))"),"https://techcombank.com/thong-tin/blog/phuong-phap-dau-tu-chung-chi-quy")</f>
        <v>https://techcombank.com/thong-tin/blog/phuong-phap-dau-tu-chung-chi-quy</v>
      </c>
      <c r="D752" s="5" t="str">
        <f t="shared" si="1"/>
        <v>OK</v>
      </c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35" t="str">
        <f>IFERROR(__xludf.DUMMYFUNCTION("""COMPUTED_VALUE"""),"https://techcombank.com/thong-tin/blog/yakimono")</f>
        <v>https://techcombank.com/thong-tin/blog/yakimono</v>
      </c>
      <c r="B753" s="25">
        <f>IFERROR(__xludf.DUMMYFUNCTION("""COMPUTED_VALUE"""),1.0)</f>
        <v>1</v>
      </c>
      <c r="C753" s="35" t="str">
        <f>IFERROR(__xludf.DUMMYFUNCTION("IF(A753="""","""",TEXTJOIN(CHAR(10),TRUE,FILTER('Chi tiết từng link'!$B$2:$B$2505,'Chi tiết từng link'!$D$2:$D$2505=A753)))"),"https://techcombank.com/thong-tin/blog/traveloka-voucher")</f>
        <v>https://techcombank.com/thong-tin/blog/traveloka-voucher</v>
      </c>
      <c r="D753" s="5" t="str">
        <f t="shared" si="1"/>
        <v>OK</v>
      </c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25"/>
      <c r="C754" s="5" t="str">
        <f>IFERROR(__xludf.DUMMYFUNCTION("IF(A754="""","""",TEXTJOIN(CHAR(10),TRUE,FILTER('Chi tiết từng link'!$B$2:$B$2505,'Chi tiết từng link'!$D$2:$D$2505=A754)))"),"")</f>
        <v/>
      </c>
      <c r="D754" s="5" t="str">
        <f t="shared" si="1"/>
        <v/>
      </c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25"/>
      <c r="C755" s="5" t="str">
        <f>IFERROR(__xludf.DUMMYFUNCTION("IF(A755="""","""",TEXTJOIN(CHAR(10),TRUE,FILTER('Chi tiết từng link'!$B$2:$B$2505,'Chi tiết từng link'!$D$2:$D$2505=A755)))"),"")</f>
        <v/>
      </c>
      <c r="D755" s="5" t="str">
        <f t="shared" si="1"/>
        <v/>
      </c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25"/>
      <c r="C756" s="5" t="str">
        <f>IFERROR(__xludf.DUMMYFUNCTION("IF(A756="""","""",TEXTJOIN(CHAR(10),TRUE,FILTER('Chi tiết từng link'!$B$2:$B$2505,'Chi tiết từng link'!$D$2:$D$2505=A756)))"),"")</f>
        <v/>
      </c>
      <c r="D756" s="5" t="str">
        <f t="shared" si="1"/>
        <v/>
      </c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25"/>
      <c r="C757" s="5" t="str">
        <f>IFERROR(__xludf.DUMMYFUNCTION("IF(A757="""","""",TEXTJOIN(CHAR(10),TRUE,FILTER('Chi tiết từng link'!$B$2:$B$2505,'Chi tiết từng link'!$D$2:$D$2505=A757)))"),"")</f>
        <v/>
      </c>
      <c r="D757" s="5" t="str">
        <f t="shared" si="1"/>
        <v/>
      </c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25"/>
      <c r="C758" s="5" t="str">
        <f>IFERROR(__xludf.DUMMYFUNCTION("IF(A758="""","""",TEXTJOIN(CHAR(10),TRUE,FILTER('Chi tiết từng link'!$B$2:$B$2505,'Chi tiết từng link'!$D$2:$D$2505=A758)))"),"")</f>
        <v/>
      </c>
      <c r="D758" s="5" t="str">
        <f t="shared" si="1"/>
        <v/>
      </c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25"/>
      <c r="C759" s="5" t="str">
        <f>IFERROR(__xludf.DUMMYFUNCTION("IF(A759="""","""",TEXTJOIN(CHAR(10),TRUE,FILTER('Chi tiết từng link'!$B$2:$B$2505,'Chi tiết từng link'!$D$2:$D$2505=A759)))"),"")</f>
        <v/>
      </c>
      <c r="D759" s="5" t="str">
        <f t="shared" si="1"/>
        <v/>
      </c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25"/>
      <c r="C760" s="5" t="str">
        <f>IFERROR(__xludf.DUMMYFUNCTION("IF(A760="""","""",TEXTJOIN(CHAR(10),TRUE,FILTER('Chi tiết từng link'!$B$2:$B$2505,'Chi tiết từng link'!$D$2:$D$2505=A760)))"),"")</f>
        <v/>
      </c>
      <c r="D760" s="5" t="str">
        <f t="shared" si="1"/>
        <v/>
      </c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25"/>
      <c r="C761" s="5" t="str">
        <f>IFERROR(__xludf.DUMMYFUNCTION("IF(A761="""","""",TEXTJOIN(CHAR(10),TRUE,FILTER('Chi tiết từng link'!$B$2:$B$2505,'Chi tiết từng link'!$D$2:$D$2505=A761)))"),"")</f>
        <v/>
      </c>
      <c r="D761" s="5" t="str">
        <f t="shared" si="1"/>
        <v/>
      </c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25"/>
      <c r="C762" s="5" t="str">
        <f>IFERROR(__xludf.DUMMYFUNCTION("IF(A762="""","""",TEXTJOIN(CHAR(10),TRUE,FILTER('Chi tiết từng link'!$B$2:$B$2505,'Chi tiết từng link'!$D$2:$D$2505=A762)))"),"")</f>
        <v/>
      </c>
      <c r="D762" s="5" t="str">
        <f t="shared" si="1"/>
        <v/>
      </c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25"/>
      <c r="C763" s="5" t="str">
        <f>IFERROR(__xludf.DUMMYFUNCTION("IF(A763="""","""",TEXTJOIN(CHAR(10),TRUE,FILTER('Chi tiết từng link'!$B$2:$B$2505,'Chi tiết từng link'!$D$2:$D$2505=A763)))"),"")</f>
        <v/>
      </c>
      <c r="D763" s="5" t="str">
        <f t="shared" si="1"/>
        <v/>
      </c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25"/>
      <c r="C764" s="5" t="str">
        <f>IFERROR(__xludf.DUMMYFUNCTION("IF(A764="""","""",TEXTJOIN(CHAR(10),TRUE,FILTER('Chi tiết từng link'!$B$2:$B$2505,'Chi tiết từng link'!$D$2:$D$2505=A764)))"),"")</f>
        <v/>
      </c>
      <c r="D764" s="5" t="str">
        <f t="shared" si="1"/>
        <v/>
      </c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25"/>
      <c r="C765" s="5" t="str">
        <f>IFERROR(__xludf.DUMMYFUNCTION("IF(A765="""","""",TEXTJOIN(CHAR(10),TRUE,FILTER('Chi tiết từng link'!$B$2:$B$2505,'Chi tiết từng link'!$D$2:$D$2505=A765)))"),"")</f>
        <v/>
      </c>
      <c r="D765" s="5" t="str">
        <f t="shared" si="1"/>
        <v/>
      </c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25"/>
      <c r="C766" s="5" t="str">
        <f>IFERROR(__xludf.DUMMYFUNCTION("IF(A766="""","""",TEXTJOIN(CHAR(10),TRUE,FILTER('Chi tiết từng link'!$B$2:$B$2505,'Chi tiết từng link'!$D$2:$D$2505=A766)))"),"")</f>
        <v/>
      </c>
      <c r="D766" s="5" t="str">
        <f t="shared" si="1"/>
        <v/>
      </c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25"/>
      <c r="C767" s="5" t="str">
        <f>IFERROR(__xludf.DUMMYFUNCTION("IF(A767="""","""",TEXTJOIN(CHAR(10),TRUE,FILTER('Chi tiết từng link'!$B$2:$B$2505,'Chi tiết từng link'!$D$2:$D$2505=A767)))"),"")</f>
        <v/>
      </c>
      <c r="D767" s="5" t="str">
        <f t="shared" si="1"/>
        <v/>
      </c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25"/>
      <c r="C768" s="5" t="str">
        <f>IFERROR(__xludf.DUMMYFUNCTION("IF(A768="""","""",TEXTJOIN(CHAR(10),TRUE,FILTER('Chi tiết từng link'!$B$2:$B$2505,'Chi tiết từng link'!$D$2:$D$2505=A768)))"),"")</f>
        <v/>
      </c>
      <c r="D768" s="5" t="str">
        <f t="shared" si="1"/>
        <v/>
      </c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25"/>
      <c r="C769" s="5" t="str">
        <f>IFERROR(__xludf.DUMMYFUNCTION("IF(A769="""","""",TEXTJOIN(CHAR(10),TRUE,FILTER('Chi tiết từng link'!$B$2:$B$2505,'Chi tiết từng link'!$D$2:$D$2505=A769)))"),"")</f>
        <v/>
      </c>
      <c r="D769" s="5" t="str">
        <f t="shared" si="1"/>
        <v/>
      </c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25"/>
      <c r="C770" s="5" t="str">
        <f>IFERROR(__xludf.DUMMYFUNCTION("IF(A770="""","""",TEXTJOIN(CHAR(10),TRUE,FILTER('Chi tiết từng link'!$B$2:$B$2505,'Chi tiết từng link'!$D$2:$D$2505=A770)))"),"")</f>
        <v/>
      </c>
      <c r="D770" s="5" t="str">
        <f t="shared" si="1"/>
        <v/>
      </c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25"/>
      <c r="C771" s="5" t="str">
        <f>IFERROR(__xludf.DUMMYFUNCTION("IF(A771="""","""",TEXTJOIN(CHAR(10),TRUE,FILTER('Chi tiết từng link'!$B$2:$B$2505,'Chi tiết từng link'!$D$2:$D$2505=A771)))"),"")</f>
        <v/>
      </c>
      <c r="D771" s="5" t="str">
        <f t="shared" si="1"/>
        <v/>
      </c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25"/>
      <c r="C772" s="5" t="str">
        <f>IFERROR(__xludf.DUMMYFUNCTION("IF(A772="""","""",TEXTJOIN(CHAR(10),TRUE,FILTER('Chi tiết từng link'!$B$2:$B$2505,'Chi tiết từng link'!$D$2:$D$2505=A772)))"),"")</f>
        <v/>
      </c>
      <c r="D772" s="5" t="str">
        <f t="shared" si="1"/>
        <v/>
      </c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25"/>
      <c r="C773" s="5" t="str">
        <f>IFERROR(__xludf.DUMMYFUNCTION("IF(A773="""","""",TEXTJOIN(CHAR(10),TRUE,FILTER('Chi tiết từng link'!$B$2:$B$2505,'Chi tiết từng link'!$D$2:$D$2505=A773)))"),"")</f>
        <v/>
      </c>
      <c r="D773" s="5" t="str">
        <f t="shared" si="1"/>
        <v/>
      </c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25"/>
      <c r="C774" s="5" t="str">
        <f>IFERROR(__xludf.DUMMYFUNCTION("IF(A774="""","""",TEXTJOIN(CHAR(10),TRUE,FILTER('Chi tiết từng link'!$B$2:$B$2505,'Chi tiết từng link'!$D$2:$D$2505=A774)))"),"")</f>
        <v/>
      </c>
      <c r="D774" s="5" t="str">
        <f t="shared" si="1"/>
        <v/>
      </c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25"/>
      <c r="C775" s="5" t="str">
        <f>IFERROR(__xludf.DUMMYFUNCTION("IF(A775="""","""",TEXTJOIN(CHAR(10),TRUE,FILTER('Chi tiết từng link'!$B$2:$B$2505,'Chi tiết từng link'!$D$2:$D$2505=A775)))"),"")</f>
        <v/>
      </c>
      <c r="D775" s="5" t="str">
        <f t="shared" si="1"/>
        <v/>
      </c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25"/>
      <c r="C776" s="5" t="str">
        <f>IFERROR(__xludf.DUMMYFUNCTION("IF(A776="""","""",TEXTJOIN(CHAR(10),TRUE,FILTER('Chi tiết từng link'!$B$2:$B$2505,'Chi tiết từng link'!$D$2:$D$2505=A776)))"),"")</f>
        <v/>
      </c>
      <c r="D776" s="5" t="str">
        <f t="shared" si="1"/>
        <v/>
      </c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25"/>
      <c r="C777" s="5" t="str">
        <f>IFERROR(__xludf.DUMMYFUNCTION("IF(A777="""","""",TEXTJOIN(CHAR(10),TRUE,FILTER('Chi tiết từng link'!$B$2:$B$2505,'Chi tiết từng link'!$D$2:$D$2505=A777)))"),"")</f>
        <v/>
      </c>
      <c r="D777" s="5" t="str">
        <f t="shared" si="1"/>
        <v/>
      </c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25"/>
      <c r="C778" s="5" t="str">
        <f>IFERROR(__xludf.DUMMYFUNCTION("IF(A778="""","""",TEXTJOIN(CHAR(10),TRUE,FILTER('Chi tiết từng link'!$B$2:$B$2505,'Chi tiết từng link'!$D$2:$D$2505=A778)))"),"")</f>
        <v/>
      </c>
      <c r="D778" s="5" t="str">
        <f t="shared" si="1"/>
        <v/>
      </c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25"/>
      <c r="C779" s="5" t="str">
        <f>IFERROR(__xludf.DUMMYFUNCTION("IF(A779="""","""",TEXTJOIN(CHAR(10),TRUE,FILTER('Chi tiết từng link'!$B$2:$B$2505,'Chi tiết từng link'!$D$2:$D$2505=A779)))"),"")</f>
        <v/>
      </c>
      <c r="D779" s="5" t="str">
        <f t="shared" si="1"/>
        <v/>
      </c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25"/>
      <c r="C780" s="5" t="str">
        <f>IFERROR(__xludf.DUMMYFUNCTION("IF(A780="""","""",TEXTJOIN(CHAR(10),TRUE,FILTER('Chi tiết từng link'!$B$2:$B$2505,'Chi tiết từng link'!$D$2:$D$2505=A780)))"),"")</f>
        <v/>
      </c>
      <c r="D780" s="5" t="str">
        <f t="shared" si="1"/>
        <v/>
      </c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25"/>
      <c r="C781" s="5" t="str">
        <f>IFERROR(__xludf.DUMMYFUNCTION("IF(A781="""","""",TEXTJOIN(CHAR(10),TRUE,FILTER('Chi tiết từng link'!$B$2:$B$2505,'Chi tiết từng link'!$D$2:$D$2505=A781)))"),"")</f>
        <v/>
      </c>
      <c r="D781" s="5" t="str">
        <f t="shared" si="1"/>
        <v/>
      </c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25"/>
      <c r="C782" s="5" t="str">
        <f>IFERROR(__xludf.DUMMYFUNCTION("IF(A782="""","""",TEXTJOIN(CHAR(10),TRUE,FILTER('Chi tiết từng link'!$B$2:$B$2505,'Chi tiết từng link'!$D$2:$D$2505=A782)))"),"")</f>
        <v/>
      </c>
      <c r="D782" s="5" t="str">
        <f t="shared" si="1"/>
        <v/>
      </c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25"/>
      <c r="C783" s="5" t="str">
        <f>IFERROR(__xludf.DUMMYFUNCTION("IF(A783="""","""",TEXTJOIN(CHAR(10),TRUE,FILTER('Chi tiết từng link'!$B$2:$B$2505,'Chi tiết từng link'!$D$2:$D$2505=A783)))"),"")</f>
        <v/>
      </c>
      <c r="D783" s="5" t="str">
        <f t="shared" si="1"/>
        <v/>
      </c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25"/>
      <c r="C784" s="5" t="str">
        <f>IFERROR(__xludf.DUMMYFUNCTION("IF(A784="""","""",TEXTJOIN(CHAR(10),TRUE,FILTER('Chi tiết từng link'!$B$2:$B$2505,'Chi tiết từng link'!$D$2:$D$2505=A784)))"),"")</f>
        <v/>
      </c>
      <c r="D784" s="5" t="str">
        <f t="shared" si="1"/>
        <v/>
      </c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25"/>
      <c r="C785" s="5" t="str">
        <f>IFERROR(__xludf.DUMMYFUNCTION("IF(A785="""","""",TEXTJOIN(CHAR(10),TRUE,FILTER('Chi tiết từng link'!$B$2:$B$2505,'Chi tiết từng link'!$D$2:$D$2505=A785)))"),"")</f>
        <v/>
      </c>
      <c r="D785" s="5" t="str">
        <f t="shared" si="1"/>
        <v/>
      </c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25"/>
      <c r="C786" s="5" t="str">
        <f>IFERROR(__xludf.DUMMYFUNCTION("IF(A786="""","""",TEXTJOIN(CHAR(10),TRUE,FILTER('Chi tiết từng link'!$B$2:$B$2505,'Chi tiết từng link'!$D$2:$D$2505=A786)))"),"")</f>
        <v/>
      </c>
      <c r="D786" s="5" t="str">
        <f t="shared" si="1"/>
        <v/>
      </c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25"/>
      <c r="C787" s="5" t="str">
        <f>IFERROR(__xludf.DUMMYFUNCTION("IF(A787="""","""",TEXTJOIN(CHAR(10),TRUE,FILTER('Chi tiết từng link'!$B$2:$B$2505,'Chi tiết từng link'!$D$2:$D$2505=A787)))"),"")</f>
        <v/>
      </c>
      <c r="D787" s="5" t="str">
        <f t="shared" si="1"/>
        <v/>
      </c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25"/>
      <c r="C788" s="5" t="str">
        <f>IFERROR(__xludf.DUMMYFUNCTION("IF(A788="""","""",TEXTJOIN(CHAR(10),TRUE,FILTER('Chi tiết từng link'!$B$2:$B$2505,'Chi tiết từng link'!$D$2:$D$2505=A788)))"),"")</f>
        <v/>
      </c>
      <c r="D788" s="5" t="str">
        <f t="shared" si="1"/>
        <v/>
      </c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25"/>
      <c r="C789" s="5" t="str">
        <f>IFERROR(__xludf.DUMMYFUNCTION("IF(A789="""","""",TEXTJOIN(CHAR(10),TRUE,FILTER('Chi tiết từng link'!$B$2:$B$2505,'Chi tiết từng link'!$D$2:$D$2505=A789)))"),"")</f>
        <v/>
      </c>
      <c r="D789" s="5" t="str">
        <f t="shared" si="1"/>
        <v/>
      </c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25"/>
      <c r="C790" s="5" t="str">
        <f>IFERROR(__xludf.DUMMYFUNCTION("IF(A790="""","""",TEXTJOIN(CHAR(10),TRUE,FILTER('Chi tiết từng link'!$B$2:$B$2505,'Chi tiết từng link'!$D$2:$D$2505=A790)))"),"")</f>
        <v/>
      </c>
      <c r="D790" s="5" t="str">
        <f t="shared" si="1"/>
        <v/>
      </c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25"/>
      <c r="C791" s="5" t="str">
        <f>IFERROR(__xludf.DUMMYFUNCTION("IF(A791="""","""",TEXTJOIN(CHAR(10),TRUE,FILTER('Chi tiết từng link'!$B$2:$B$2505,'Chi tiết từng link'!$D$2:$D$2505=A791)))"),"")</f>
        <v/>
      </c>
      <c r="D791" s="5" t="str">
        <f t="shared" si="1"/>
        <v/>
      </c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25"/>
      <c r="C792" s="5" t="str">
        <f>IFERROR(__xludf.DUMMYFUNCTION("IF(A792="""","""",TEXTJOIN(CHAR(10),TRUE,FILTER('Chi tiết từng link'!$B$2:$B$2505,'Chi tiết từng link'!$D$2:$D$2505=A792)))"),"")</f>
        <v/>
      </c>
      <c r="D792" s="5" t="str">
        <f t="shared" si="1"/>
        <v/>
      </c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25"/>
      <c r="C793" s="5" t="str">
        <f>IFERROR(__xludf.DUMMYFUNCTION("IF(A793="""","""",TEXTJOIN(CHAR(10),TRUE,FILTER('Chi tiết từng link'!$B$2:$B$2505,'Chi tiết từng link'!$D$2:$D$2505=A793)))"),"")</f>
        <v/>
      </c>
      <c r="D793" s="5" t="str">
        <f t="shared" si="1"/>
        <v/>
      </c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25"/>
      <c r="C794" s="5" t="str">
        <f>IFERROR(__xludf.DUMMYFUNCTION("IF(A794="""","""",TEXTJOIN(CHAR(10),TRUE,FILTER('Chi tiết từng link'!$B$2:$B$2505,'Chi tiết từng link'!$D$2:$D$2505=A794)))"),"")</f>
        <v/>
      </c>
      <c r="D794" s="5" t="str">
        <f t="shared" si="1"/>
        <v/>
      </c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25"/>
      <c r="C795" s="5" t="str">
        <f>IFERROR(__xludf.DUMMYFUNCTION("IF(A795="""","""",TEXTJOIN(CHAR(10),TRUE,FILTER('Chi tiết từng link'!$B$2:$B$2505,'Chi tiết từng link'!$D$2:$D$2505=A795)))"),"")</f>
        <v/>
      </c>
      <c r="D795" s="5" t="str">
        <f t="shared" si="1"/>
        <v/>
      </c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25"/>
      <c r="C796" s="5" t="str">
        <f>IFERROR(__xludf.DUMMYFUNCTION("IF(A796="""","""",TEXTJOIN(CHAR(10),TRUE,FILTER('Chi tiết từng link'!$B$2:$B$2505,'Chi tiết từng link'!$D$2:$D$2505=A796)))"),"")</f>
        <v/>
      </c>
      <c r="D796" s="5" t="str">
        <f t="shared" si="1"/>
        <v/>
      </c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25"/>
      <c r="C797" s="5" t="str">
        <f>IFERROR(__xludf.DUMMYFUNCTION("IF(A797="""","""",TEXTJOIN(CHAR(10),TRUE,FILTER('Chi tiết từng link'!$B$2:$B$2505,'Chi tiết từng link'!$D$2:$D$2505=A797)))"),"")</f>
        <v/>
      </c>
      <c r="D797" s="5" t="str">
        <f t="shared" si="1"/>
        <v/>
      </c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25"/>
      <c r="C798" s="5" t="str">
        <f>IFERROR(__xludf.DUMMYFUNCTION("IF(A798="""","""",TEXTJOIN(CHAR(10),TRUE,FILTER('Chi tiết từng link'!$B$2:$B$2505,'Chi tiết từng link'!$D$2:$D$2505=A798)))"),"")</f>
        <v/>
      </c>
      <c r="D798" s="5" t="str">
        <f t="shared" si="1"/>
        <v/>
      </c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25"/>
      <c r="C799" s="5" t="str">
        <f>IFERROR(__xludf.DUMMYFUNCTION("IF(A799="""","""",TEXTJOIN(CHAR(10),TRUE,FILTER('Chi tiết từng link'!$B$2:$B$2505,'Chi tiết từng link'!$D$2:$D$2505=A799)))"),"")</f>
        <v/>
      </c>
      <c r="D799" s="5" t="str">
        <f t="shared" si="1"/>
        <v/>
      </c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25"/>
      <c r="C800" s="5" t="str">
        <f>IFERROR(__xludf.DUMMYFUNCTION("IF(A800="""","""",TEXTJOIN(CHAR(10),TRUE,FILTER('Chi tiết từng link'!$B$2:$B$2505,'Chi tiết từng link'!$D$2:$D$2505=A800)))"),"")</f>
        <v/>
      </c>
      <c r="D800" s="5" t="str">
        <f t="shared" si="1"/>
        <v/>
      </c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25"/>
      <c r="C801" s="5" t="str">
        <f>IFERROR(__xludf.DUMMYFUNCTION("IF(A801="""","""",TEXTJOIN(CHAR(10),TRUE,FILTER('Chi tiết từng link'!$B$2:$B$2505,'Chi tiết từng link'!$D$2:$D$2505=A801)))"),"")</f>
        <v/>
      </c>
      <c r="D801" s="5" t="str">
        <f t="shared" si="1"/>
        <v/>
      </c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25"/>
      <c r="C802" s="5" t="str">
        <f>IFERROR(__xludf.DUMMYFUNCTION("IF(A802="""","""",TEXTJOIN(CHAR(10),TRUE,FILTER('Chi tiết từng link'!$B$2:$B$2505,'Chi tiết từng link'!$D$2:$D$2505=A802)))"),"")</f>
        <v/>
      </c>
      <c r="D802" s="5" t="str">
        <f t="shared" si="1"/>
        <v/>
      </c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25"/>
      <c r="C803" s="5" t="str">
        <f>IFERROR(__xludf.DUMMYFUNCTION("IF(A803="""","""",TEXTJOIN(CHAR(10),TRUE,FILTER('Chi tiết từng link'!$B$2:$B$2505,'Chi tiết từng link'!$D$2:$D$2505=A803)))"),"")</f>
        <v/>
      </c>
      <c r="D803" s="5" t="str">
        <f t="shared" si="1"/>
        <v/>
      </c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25"/>
      <c r="C804" s="5" t="str">
        <f>IFERROR(__xludf.DUMMYFUNCTION("IF(A804="""","""",TEXTJOIN(CHAR(10),TRUE,FILTER('Chi tiết từng link'!$B$2:$B$2505,'Chi tiết từng link'!$D$2:$D$2505=A804)))"),"")</f>
        <v/>
      </c>
      <c r="D804" s="5" t="str">
        <f t="shared" si="1"/>
        <v/>
      </c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25"/>
      <c r="C805" s="5" t="str">
        <f>IFERROR(__xludf.DUMMYFUNCTION("IF(A805="""","""",TEXTJOIN(CHAR(10),TRUE,FILTER('Chi tiết từng link'!$B$2:$B$2505,'Chi tiết từng link'!$D$2:$D$2505=A805)))"),"")</f>
        <v/>
      </c>
      <c r="D805" s="5" t="str">
        <f t="shared" si="1"/>
        <v/>
      </c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25"/>
      <c r="C806" s="5" t="str">
        <f>IFERROR(__xludf.DUMMYFUNCTION("IF(A806="""","""",TEXTJOIN(CHAR(10),TRUE,FILTER('Chi tiết từng link'!$B$2:$B$2505,'Chi tiết từng link'!$D$2:$D$2505=A806)))"),"")</f>
        <v/>
      </c>
      <c r="D806" s="5" t="str">
        <f t="shared" si="1"/>
        <v/>
      </c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25"/>
      <c r="C807" s="5" t="str">
        <f>IFERROR(__xludf.DUMMYFUNCTION("IF(A807="""","""",TEXTJOIN(CHAR(10),TRUE,FILTER('Chi tiết từng link'!$B$2:$B$2505,'Chi tiết từng link'!$D$2:$D$2505=A807)))"),"")</f>
        <v/>
      </c>
      <c r="D807" s="5" t="str">
        <f t="shared" si="1"/>
        <v/>
      </c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25"/>
      <c r="C808" s="5" t="str">
        <f>IFERROR(__xludf.DUMMYFUNCTION("IF(A808="""","""",TEXTJOIN(CHAR(10),TRUE,FILTER('Chi tiết từng link'!$B$2:$B$2505,'Chi tiết từng link'!$D$2:$D$2505=A808)))"),"")</f>
        <v/>
      </c>
      <c r="D808" s="5" t="str">
        <f t="shared" si="1"/>
        <v/>
      </c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25"/>
      <c r="C809" s="5" t="str">
        <f>IFERROR(__xludf.DUMMYFUNCTION("IF(A809="""","""",TEXTJOIN(CHAR(10),TRUE,FILTER('Chi tiết từng link'!$B$2:$B$2505,'Chi tiết từng link'!$D$2:$D$2505=A809)))"),"")</f>
        <v/>
      </c>
      <c r="D809" s="5" t="str">
        <f t="shared" si="1"/>
        <v/>
      </c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25"/>
      <c r="C810" s="5" t="str">
        <f>IFERROR(__xludf.DUMMYFUNCTION("IF(A810="""","""",TEXTJOIN(CHAR(10),TRUE,FILTER('Chi tiết từng link'!$B$2:$B$2505,'Chi tiết từng link'!$D$2:$D$2505=A810)))"),"")</f>
        <v/>
      </c>
      <c r="D810" s="5" t="str">
        <f t="shared" si="1"/>
        <v/>
      </c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25"/>
      <c r="C811" s="5" t="str">
        <f>IFERROR(__xludf.DUMMYFUNCTION("IF(A811="""","""",TEXTJOIN(CHAR(10),TRUE,FILTER('Chi tiết từng link'!$B$2:$B$2505,'Chi tiết từng link'!$D$2:$D$2505=A811)))"),"")</f>
        <v/>
      </c>
      <c r="D811" s="5" t="str">
        <f t="shared" si="1"/>
        <v/>
      </c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25"/>
      <c r="C812" s="5" t="str">
        <f>IFERROR(__xludf.DUMMYFUNCTION("IF(A812="""","""",TEXTJOIN(CHAR(10),TRUE,FILTER('Chi tiết từng link'!$B$2:$B$2505,'Chi tiết từng link'!$D$2:$D$2505=A812)))"),"")</f>
        <v/>
      </c>
      <c r="D812" s="5" t="str">
        <f t="shared" si="1"/>
        <v/>
      </c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25"/>
      <c r="C813" s="5" t="str">
        <f>IFERROR(__xludf.DUMMYFUNCTION("IF(A813="""","""",TEXTJOIN(CHAR(10),TRUE,FILTER('Chi tiết từng link'!$B$2:$B$2505,'Chi tiết từng link'!$D$2:$D$2505=A813)))"),"")</f>
        <v/>
      </c>
      <c r="D813" s="5" t="str">
        <f t="shared" si="1"/>
        <v/>
      </c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25"/>
      <c r="C814" s="5" t="str">
        <f>IFERROR(__xludf.DUMMYFUNCTION("IF(A814="""","""",TEXTJOIN(CHAR(10),TRUE,FILTER('Chi tiết từng link'!$B$2:$B$2505,'Chi tiết từng link'!$D$2:$D$2505=A814)))"),"")</f>
        <v/>
      </c>
      <c r="D814" s="5" t="str">
        <f t="shared" si="1"/>
        <v/>
      </c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25"/>
      <c r="C815" s="5" t="str">
        <f>IFERROR(__xludf.DUMMYFUNCTION("IF(A815="""","""",TEXTJOIN(CHAR(10),TRUE,FILTER('Chi tiết từng link'!$B$2:$B$2505,'Chi tiết từng link'!$D$2:$D$2505=A815)))"),"")</f>
        <v/>
      </c>
      <c r="D815" s="5" t="str">
        <f t="shared" si="1"/>
        <v/>
      </c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25"/>
      <c r="C816" s="5" t="str">
        <f>IFERROR(__xludf.DUMMYFUNCTION("IF(A816="""","""",TEXTJOIN(CHAR(10),TRUE,FILTER('Chi tiết từng link'!$B$2:$B$2505,'Chi tiết từng link'!$D$2:$D$2505=A816)))"),"")</f>
        <v/>
      </c>
      <c r="D816" s="5" t="str">
        <f t="shared" si="1"/>
        <v/>
      </c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25"/>
      <c r="C817" s="5" t="str">
        <f>IFERROR(__xludf.DUMMYFUNCTION("IF(A817="""","""",TEXTJOIN(CHAR(10),TRUE,FILTER('Chi tiết từng link'!$B$2:$B$2505,'Chi tiết từng link'!$D$2:$D$2505=A817)))"),"")</f>
        <v/>
      </c>
      <c r="D817" s="5" t="str">
        <f t="shared" si="1"/>
        <v/>
      </c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25"/>
      <c r="C818" s="5" t="str">
        <f>IFERROR(__xludf.DUMMYFUNCTION("IF(A818="""","""",TEXTJOIN(CHAR(10),TRUE,FILTER('Chi tiết từng link'!$B$2:$B$2505,'Chi tiết từng link'!$D$2:$D$2505=A818)))"),"")</f>
        <v/>
      </c>
      <c r="D818" s="5" t="str">
        <f t="shared" si="1"/>
        <v/>
      </c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25"/>
      <c r="C819" s="5" t="str">
        <f>IFERROR(__xludf.DUMMYFUNCTION("IF(A819="""","""",TEXTJOIN(CHAR(10),TRUE,FILTER('Chi tiết từng link'!$B$2:$B$2505,'Chi tiết từng link'!$D$2:$D$2505=A819)))"),"")</f>
        <v/>
      </c>
      <c r="D819" s="5" t="str">
        <f t="shared" si="1"/>
        <v/>
      </c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25"/>
      <c r="C820" s="5" t="str">
        <f>IFERROR(__xludf.DUMMYFUNCTION("IF(A820="""","""",TEXTJOIN(CHAR(10),TRUE,FILTER('Chi tiết từng link'!$B$2:$B$2505,'Chi tiết từng link'!$D$2:$D$2505=A820)))"),"")</f>
        <v/>
      </c>
      <c r="D820" s="5" t="str">
        <f t="shared" si="1"/>
        <v/>
      </c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25"/>
      <c r="C821" s="5" t="str">
        <f>IFERROR(__xludf.DUMMYFUNCTION("IF(A821="""","""",TEXTJOIN(CHAR(10),TRUE,FILTER('Chi tiết từng link'!$B$2:$B$2505,'Chi tiết từng link'!$D$2:$D$2505=A821)))"),"")</f>
        <v/>
      </c>
      <c r="D821" s="5" t="str">
        <f t="shared" si="1"/>
        <v/>
      </c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25"/>
      <c r="C822" s="5" t="str">
        <f>IFERROR(__xludf.DUMMYFUNCTION("IF(A822="""","""",TEXTJOIN(CHAR(10),TRUE,FILTER('Chi tiết từng link'!$B$2:$B$2505,'Chi tiết từng link'!$D$2:$D$2505=A822)))"),"")</f>
        <v/>
      </c>
      <c r="D822" s="5" t="str">
        <f t="shared" si="1"/>
        <v/>
      </c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25"/>
      <c r="C823" s="5" t="str">
        <f>IFERROR(__xludf.DUMMYFUNCTION("IF(A823="""","""",TEXTJOIN(CHAR(10),TRUE,FILTER('Chi tiết từng link'!$B$2:$B$2505,'Chi tiết từng link'!$D$2:$D$2505=A823)))"),"")</f>
        <v/>
      </c>
      <c r="D823" s="5" t="str">
        <f t="shared" si="1"/>
        <v/>
      </c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25"/>
      <c r="C824" s="5" t="str">
        <f>IFERROR(__xludf.DUMMYFUNCTION("IF(A824="""","""",TEXTJOIN(CHAR(10),TRUE,FILTER('Chi tiết từng link'!$B$2:$B$2505,'Chi tiết từng link'!$D$2:$D$2505=A824)))"),"")</f>
        <v/>
      </c>
      <c r="D824" s="5" t="str">
        <f t="shared" si="1"/>
        <v/>
      </c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25"/>
      <c r="C825" s="5" t="str">
        <f>IFERROR(__xludf.DUMMYFUNCTION("IF(A825="""","""",TEXTJOIN(CHAR(10),TRUE,FILTER('Chi tiết từng link'!$B$2:$B$2505,'Chi tiết từng link'!$D$2:$D$2505=A825)))"),"")</f>
        <v/>
      </c>
      <c r="D825" s="5" t="str">
        <f t="shared" si="1"/>
        <v/>
      </c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25"/>
      <c r="C826" s="5" t="str">
        <f>IFERROR(__xludf.DUMMYFUNCTION("IF(A826="""","""",TEXTJOIN(CHAR(10),TRUE,FILTER('Chi tiết từng link'!$B$2:$B$2505,'Chi tiết từng link'!$D$2:$D$2505=A826)))"),"")</f>
        <v/>
      </c>
      <c r="D826" s="5" t="str">
        <f t="shared" si="1"/>
        <v/>
      </c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25"/>
      <c r="C827" s="5" t="str">
        <f>IFERROR(__xludf.DUMMYFUNCTION("IF(A827="""","""",TEXTJOIN(CHAR(10),TRUE,FILTER('Chi tiết từng link'!$B$2:$B$2505,'Chi tiết từng link'!$D$2:$D$2505=A827)))"),"")</f>
        <v/>
      </c>
      <c r="D827" s="5" t="str">
        <f t="shared" si="1"/>
        <v/>
      </c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25"/>
      <c r="C828" s="5" t="str">
        <f>IFERROR(__xludf.DUMMYFUNCTION("IF(A828="""","""",TEXTJOIN(CHAR(10),TRUE,FILTER('Chi tiết từng link'!$B$2:$B$2505,'Chi tiết từng link'!$D$2:$D$2505=A828)))"),"")</f>
        <v/>
      </c>
      <c r="D828" s="5" t="str">
        <f t="shared" si="1"/>
        <v/>
      </c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25"/>
      <c r="C829" s="5" t="str">
        <f>IFERROR(__xludf.DUMMYFUNCTION("IF(A829="""","""",TEXTJOIN(CHAR(10),TRUE,FILTER('Chi tiết từng link'!$B$2:$B$2505,'Chi tiết từng link'!$D$2:$D$2505=A829)))"),"")</f>
        <v/>
      </c>
      <c r="D829" s="5" t="str">
        <f t="shared" si="1"/>
        <v/>
      </c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25"/>
      <c r="C830" s="5" t="str">
        <f>IFERROR(__xludf.DUMMYFUNCTION("IF(A830="""","""",TEXTJOIN(CHAR(10),TRUE,FILTER('Chi tiết từng link'!$B$2:$B$2505,'Chi tiết từng link'!$D$2:$D$2505=A830)))"),"")</f>
        <v/>
      </c>
      <c r="D830" s="5" t="str">
        <f t="shared" si="1"/>
        <v/>
      </c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25"/>
      <c r="C831" s="5" t="str">
        <f>IFERROR(__xludf.DUMMYFUNCTION("IF(A831="""","""",TEXTJOIN(CHAR(10),TRUE,FILTER('Chi tiết từng link'!$B$2:$B$2505,'Chi tiết từng link'!$D$2:$D$2505=A831)))"),"")</f>
        <v/>
      </c>
      <c r="D831" s="5" t="str">
        <f t="shared" si="1"/>
        <v/>
      </c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25"/>
      <c r="C832" s="5" t="str">
        <f>IFERROR(__xludf.DUMMYFUNCTION("IF(A832="""","""",TEXTJOIN(CHAR(10),TRUE,FILTER('Chi tiết từng link'!$B$2:$B$2505,'Chi tiết từng link'!$D$2:$D$2505=A832)))"),"")</f>
        <v/>
      </c>
      <c r="D832" s="5" t="str">
        <f t="shared" si="1"/>
        <v/>
      </c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25"/>
      <c r="C833" s="5" t="str">
        <f>IFERROR(__xludf.DUMMYFUNCTION("IF(A833="""","""",TEXTJOIN(CHAR(10),TRUE,FILTER('Chi tiết từng link'!$B$2:$B$2505,'Chi tiết từng link'!$D$2:$D$2505=A833)))"),"")</f>
        <v/>
      </c>
      <c r="D833" s="5" t="str">
        <f t="shared" si="1"/>
        <v/>
      </c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25"/>
      <c r="C834" s="5" t="str">
        <f>IFERROR(__xludf.DUMMYFUNCTION("IF(A834="""","""",TEXTJOIN(CHAR(10),TRUE,FILTER('Chi tiết từng link'!$B$2:$B$2505,'Chi tiết từng link'!$D$2:$D$2505=A834)))"),"")</f>
        <v/>
      </c>
      <c r="D834" s="5" t="str">
        <f t="shared" si="1"/>
        <v/>
      </c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25"/>
      <c r="C835" s="5" t="str">
        <f>IFERROR(__xludf.DUMMYFUNCTION("IF(A835="""","""",TEXTJOIN(CHAR(10),TRUE,FILTER('Chi tiết từng link'!$B$2:$B$2505,'Chi tiết từng link'!$D$2:$D$2505=A835)))"),"")</f>
        <v/>
      </c>
      <c r="D835" s="5" t="str">
        <f t="shared" si="1"/>
        <v/>
      </c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25"/>
      <c r="C836" s="5" t="str">
        <f>IFERROR(__xludf.DUMMYFUNCTION("IF(A836="""","""",TEXTJOIN(CHAR(10),TRUE,FILTER('Chi tiết từng link'!$B$2:$B$2505,'Chi tiết từng link'!$D$2:$D$2505=A836)))"),"")</f>
        <v/>
      </c>
      <c r="D836" s="5" t="str">
        <f t="shared" si="1"/>
        <v/>
      </c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25"/>
      <c r="C837" s="5" t="str">
        <f>IFERROR(__xludf.DUMMYFUNCTION("IF(A837="""","""",TEXTJOIN(CHAR(10),TRUE,FILTER('Chi tiết từng link'!$B$2:$B$2505,'Chi tiết từng link'!$D$2:$D$2505=A837)))"),"")</f>
        <v/>
      </c>
      <c r="D837" s="5" t="str">
        <f t="shared" si="1"/>
        <v/>
      </c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25"/>
      <c r="C838" s="5" t="str">
        <f>IFERROR(__xludf.DUMMYFUNCTION("IF(A838="""","""",TEXTJOIN(CHAR(10),TRUE,FILTER('Chi tiết từng link'!$B$2:$B$2505,'Chi tiết từng link'!$D$2:$D$2505=A838)))"),"")</f>
        <v/>
      </c>
      <c r="D838" s="5" t="str">
        <f t="shared" si="1"/>
        <v/>
      </c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25"/>
      <c r="C839" s="5" t="str">
        <f>IFERROR(__xludf.DUMMYFUNCTION("IF(A839="""","""",TEXTJOIN(CHAR(10),TRUE,FILTER('Chi tiết từng link'!$B$2:$B$2505,'Chi tiết từng link'!$D$2:$D$2505=A839)))"),"")</f>
        <v/>
      </c>
      <c r="D839" s="5" t="str">
        <f t="shared" si="1"/>
        <v/>
      </c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25"/>
      <c r="C840" s="5" t="str">
        <f>IFERROR(__xludf.DUMMYFUNCTION("IF(A840="""","""",TEXTJOIN(CHAR(10),TRUE,FILTER('Chi tiết từng link'!$B$2:$B$2505,'Chi tiết từng link'!$D$2:$D$2505=A840)))"),"")</f>
        <v/>
      </c>
      <c r="D840" s="5" t="str">
        <f t="shared" si="1"/>
        <v/>
      </c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25"/>
      <c r="C841" s="5" t="str">
        <f>IFERROR(__xludf.DUMMYFUNCTION("IF(A841="""","""",TEXTJOIN(CHAR(10),TRUE,FILTER('Chi tiết từng link'!$B$2:$B$2505,'Chi tiết từng link'!$D$2:$D$2505=A841)))"),"")</f>
        <v/>
      </c>
      <c r="D841" s="5" t="str">
        <f t="shared" si="1"/>
        <v/>
      </c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25"/>
      <c r="C842" s="5" t="str">
        <f>IFERROR(__xludf.DUMMYFUNCTION("IF(A842="""","""",TEXTJOIN(CHAR(10),TRUE,FILTER('Chi tiết từng link'!$B$2:$B$2505,'Chi tiết từng link'!$D$2:$D$2505=A842)))"),"")</f>
        <v/>
      </c>
      <c r="D842" s="5" t="str">
        <f t="shared" si="1"/>
        <v/>
      </c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25"/>
      <c r="C843" s="5" t="str">
        <f>IFERROR(__xludf.DUMMYFUNCTION("IF(A843="""","""",TEXTJOIN(CHAR(10),TRUE,FILTER('Chi tiết từng link'!$B$2:$B$2505,'Chi tiết từng link'!$D$2:$D$2505=A843)))"),"")</f>
        <v/>
      </c>
      <c r="D843" s="5" t="str">
        <f t="shared" si="1"/>
        <v/>
      </c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25"/>
      <c r="C844" s="5" t="str">
        <f>IFERROR(__xludf.DUMMYFUNCTION("IF(A844="""","""",TEXTJOIN(CHAR(10),TRUE,FILTER('Chi tiết từng link'!$B$2:$B$2505,'Chi tiết từng link'!$D$2:$D$2505=A844)))"),"")</f>
        <v/>
      </c>
      <c r="D844" s="5" t="str">
        <f t="shared" si="1"/>
        <v/>
      </c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25"/>
      <c r="C845" s="5" t="str">
        <f>IFERROR(__xludf.DUMMYFUNCTION("IF(A845="""","""",TEXTJOIN(CHAR(10),TRUE,FILTER('Chi tiết từng link'!$B$2:$B$2505,'Chi tiết từng link'!$D$2:$D$2505=A845)))"),"")</f>
        <v/>
      </c>
      <c r="D845" s="5" t="str">
        <f t="shared" si="1"/>
        <v/>
      </c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25"/>
      <c r="C846" s="5" t="str">
        <f>IFERROR(__xludf.DUMMYFUNCTION("IF(A846="""","""",TEXTJOIN(CHAR(10),TRUE,FILTER('Chi tiết từng link'!$B$2:$B$2505,'Chi tiết từng link'!$D$2:$D$2505=A846)))"),"")</f>
        <v/>
      </c>
      <c r="D846" s="5" t="str">
        <f t="shared" si="1"/>
        <v/>
      </c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25"/>
      <c r="C847" s="5" t="str">
        <f>IFERROR(__xludf.DUMMYFUNCTION("IF(A847="""","""",TEXTJOIN(CHAR(10),TRUE,FILTER('Chi tiết từng link'!$B$2:$B$2505,'Chi tiết từng link'!$D$2:$D$2505=A847)))"),"")</f>
        <v/>
      </c>
      <c r="D847" s="5" t="str">
        <f t="shared" si="1"/>
        <v/>
      </c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25"/>
      <c r="C848" s="5" t="str">
        <f>IFERROR(__xludf.DUMMYFUNCTION("IF(A848="""","""",TEXTJOIN(CHAR(10),TRUE,FILTER('Chi tiết từng link'!$B$2:$B$2505,'Chi tiết từng link'!$D$2:$D$2505=A848)))"),"")</f>
        <v/>
      </c>
      <c r="D848" s="5" t="str">
        <f t="shared" si="1"/>
        <v/>
      </c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25"/>
      <c r="C849" s="5" t="str">
        <f>IFERROR(__xludf.DUMMYFUNCTION("IF(A849="""","""",TEXTJOIN(CHAR(10),TRUE,FILTER('Chi tiết từng link'!$B$2:$B$2505,'Chi tiết từng link'!$D$2:$D$2505=A849)))"),"")</f>
        <v/>
      </c>
      <c r="D849" s="5" t="str">
        <f t="shared" si="1"/>
        <v/>
      </c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25"/>
      <c r="C850" s="5" t="str">
        <f>IFERROR(__xludf.DUMMYFUNCTION("IF(A850="""","""",TEXTJOIN(CHAR(10),TRUE,FILTER('Chi tiết từng link'!$B$2:$B$2505,'Chi tiết từng link'!$D$2:$D$2505=A850)))"),"")</f>
        <v/>
      </c>
      <c r="D850" s="5" t="str">
        <f t="shared" si="1"/>
        <v/>
      </c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25"/>
      <c r="C851" s="5" t="str">
        <f>IFERROR(__xludf.DUMMYFUNCTION("IF(A851="""","""",TEXTJOIN(CHAR(10),TRUE,FILTER('Chi tiết từng link'!$B$2:$B$2505,'Chi tiết từng link'!$D$2:$D$2505=A851)))"),"")</f>
        <v/>
      </c>
      <c r="D851" s="5" t="str">
        <f t="shared" si="1"/>
        <v/>
      </c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25"/>
      <c r="C852" s="5" t="str">
        <f>IFERROR(__xludf.DUMMYFUNCTION("IF(A852="""","""",TEXTJOIN(CHAR(10),TRUE,FILTER('Chi tiết từng link'!$B$2:$B$2505,'Chi tiết từng link'!$D$2:$D$2505=A852)))"),"")</f>
        <v/>
      </c>
      <c r="D852" s="5" t="str">
        <f t="shared" si="1"/>
        <v/>
      </c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25"/>
      <c r="C853" s="5" t="str">
        <f>IFERROR(__xludf.DUMMYFUNCTION("IF(A853="""","""",TEXTJOIN(CHAR(10),TRUE,FILTER('Chi tiết từng link'!$B$2:$B$2505,'Chi tiết từng link'!$D$2:$D$2505=A853)))"),"")</f>
        <v/>
      </c>
      <c r="D853" s="5" t="str">
        <f t="shared" si="1"/>
        <v/>
      </c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25"/>
      <c r="C854" s="5" t="str">
        <f>IFERROR(__xludf.DUMMYFUNCTION("IF(A854="""","""",TEXTJOIN(CHAR(10),TRUE,FILTER('Chi tiết từng link'!$B$2:$B$2505,'Chi tiết từng link'!$D$2:$D$2505=A854)))"),"")</f>
        <v/>
      </c>
      <c r="D854" s="5" t="str">
        <f t="shared" si="1"/>
        <v/>
      </c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25"/>
      <c r="C855" s="5" t="str">
        <f>IFERROR(__xludf.DUMMYFUNCTION("IF(A855="""","""",TEXTJOIN(CHAR(10),TRUE,FILTER('Chi tiết từng link'!$B$2:$B$2505,'Chi tiết từng link'!$D$2:$D$2505=A855)))"),"")</f>
        <v/>
      </c>
      <c r="D855" s="5" t="str">
        <f t="shared" si="1"/>
        <v/>
      </c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25"/>
      <c r="C856" s="5" t="str">
        <f>IFERROR(__xludf.DUMMYFUNCTION("IF(A856="""","""",TEXTJOIN(CHAR(10),TRUE,FILTER('Chi tiết từng link'!$B$2:$B$2505,'Chi tiết từng link'!$D$2:$D$2505=A856)))"),"")</f>
        <v/>
      </c>
      <c r="D856" s="5" t="str">
        <f t="shared" si="1"/>
        <v/>
      </c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25"/>
      <c r="C857" s="5" t="str">
        <f>IFERROR(__xludf.DUMMYFUNCTION("IF(A857="""","""",TEXTJOIN(CHAR(10),TRUE,FILTER('Chi tiết từng link'!$B$2:$B$2505,'Chi tiết từng link'!$D$2:$D$2505=A857)))"),"")</f>
        <v/>
      </c>
      <c r="D857" s="5" t="str">
        <f t="shared" si="1"/>
        <v/>
      </c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25"/>
      <c r="C858" s="5" t="str">
        <f>IFERROR(__xludf.DUMMYFUNCTION("IF(A858="""","""",TEXTJOIN(CHAR(10),TRUE,FILTER('Chi tiết từng link'!$B$2:$B$2505,'Chi tiết từng link'!$D$2:$D$2505=A858)))"),"")</f>
        <v/>
      </c>
      <c r="D858" s="5" t="str">
        <f t="shared" si="1"/>
        <v/>
      </c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25"/>
      <c r="C859" s="5" t="str">
        <f>IFERROR(__xludf.DUMMYFUNCTION("IF(A859="""","""",TEXTJOIN(CHAR(10),TRUE,FILTER('Chi tiết từng link'!$B$2:$B$2505,'Chi tiết từng link'!$D$2:$D$2505=A859)))"),"")</f>
        <v/>
      </c>
      <c r="D859" s="5" t="str">
        <f t="shared" si="1"/>
        <v/>
      </c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25"/>
      <c r="C860" s="5" t="str">
        <f>IFERROR(__xludf.DUMMYFUNCTION("IF(A860="""","""",TEXTJOIN(CHAR(10),TRUE,FILTER('Chi tiết từng link'!$B$2:$B$2505,'Chi tiết từng link'!$D$2:$D$2505=A860)))"),"")</f>
        <v/>
      </c>
      <c r="D860" s="5" t="str">
        <f t="shared" si="1"/>
        <v/>
      </c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25"/>
      <c r="C861" s="5" t="str">
        <f>IFERROR(__xludf.DUMMYFUNCTION("IF(A861="""","""",TEXTJOIN(CHAR(10),TRUE,FILTER('Chi tiết từng link'!$B$2:$B$2505,'Chi tiết từng link'!$D$2:$D$2505=A861)))"),"")</f>
        <v/>
      </c>
      <c r="D861" s="5" t="str">
        <f t="shared" si="1"/>
        <v/>
      </c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25"/>
      <c r="C862" s="5" t="str">
        <f>IFERROR(__xludf.DUMMYFUNCTION("IF(A862="""","""",TEXTJOIN(CHAR(10),TRUE,FILTER('Chi tiết từng link'!$B$2:$B$2505,'Chi tiết từng link'!$D$2:$D$2505=A862)))"),"")</f>
        <v/>
      </c>
      <c r="D862" s="5" t="str">
        <f t="shared" si="1"/>
        <v/>
      </c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25"/>
      <c r="C863" s="5" t="str">
        <f>IFERROR(__xludf.DUMMYFUNCTION("IF(A863="""","""",TEXTJOIN(CHAR(10),TRUE,FILTER('Chi tiết từng link'!$B$2:$B$2505,'Chi tiết từng link'!$D$2:$D$2505=A863)))"),"")</f>
        <v/>
      </c>
      <c r="D863" s="5" t="str">
        <f t="shared" si="1"/>
        <v/>
      </c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25"/>
      <c r="C864" s="5" t="str">
        <f>IFERROR(__xludf.DUMMYFUNCTION("IF(A864="""","""",TEXTJOIN(CHAR(10),TRUE,FILTER('Chi tiết từng link'!$B$2:$B$2505,'Chi tiết từng link'!$D$2:$D$2505=A864)))"),"")</f>
        <v/>
      </c>
      <c r="D864" s="5" t="str">
        <f t="shared" si="1"/>
        <v/>
      </c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25"/>
      <c r="C865" s="5" t="str">
        <f>IFERROR(__xludf.DUMMYFUNCTION("IF(A865="""","""",TEXTJOIN(CHAR(10),TRUE,FILTER('Chi tiết từng link'!$B$2:$B$2505,'Chi tiết từng link'!$D$2:$D$2505=A865)))"),"")</f>
        <v/>
      </c>
      <c r="D865" s="5" t="str">
        <f t="shared" si="1"/>
        <v/>
      </c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25"/>
      <c r="C866" s="5" t="str">
        <f>IFERROR(__xludf.DUMMYFUNCTION("IF(A866="""","""",TEXTJOIN(CHAR(10),TRUE,FILTER('Chi tiết từng link'!$B$2:$B$2505,'Chi tiết từng link'!$D$2:$D$2505=A866)))"),"")</f>
        <v/>
      </c>
      <c r="D866" s="5" t="str">
        <f t="shared" si="1"/>
        <v/>
      </c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25"/>
      <c r="C867" s="5" t="str">
        <f>IFERROR(__xludf.DUMMYFUNCTION("IF(A867="""","""",TEXTJOIN(CHAR(10),TRUE,FILTER('Chi tiết từng link'!$B$2:$B$2505,'Chi tiết từng link'!$D$2:$D$2505=A867)))"),"")</f>
        <v/>
      </c>
      <c r="D867" s="5" t="str">
        <f t="shared" si="1"/>
        <v/>
      </c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25"/>
      <c r="C868" s="5" t="str">
        <f>IFERROR(__xludf.DUMMYFUNCTION("IF(A868="""","""",TEXTJOIN(CHAR(10),TRUE,FILTER('Chi tiết từng link'!$B$2:$B$2505,'Chi tiết từng link'!$D$2:$D$2505=A868)))"),"")</f>
        <v/>
      </c>
      <c r="D868" s="5" t="str">
        <f t="shared" si="1"/>
        <v/>
      </c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25"/>
      <c r="C869" s="5" t="str">
        <f>IFERROR(__xludf.DUMMYFUNCTION("IF(A869="""","""",TEXTJOIN(CHAR(10),TRUE,FILTER('Chi tiết từng link'!$B$2:$B$2505,'Chi tiết từng link'!$D$2:$D$2505=A869)))"),"")</f>
        <v/>
      </c>
      <c r="D869" s="5" t="str">
        <f t="shared" si="1"/>
        <v/>
      </c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25"/>
      <c r="C870" s="5" t="str">
        <f>IFERROR(__xludf.DUMMYFUNCTION("IF(A870="""","""",TEXTJOIN(CHAR(10),TRUE,FILTER('Chi tiết từng link'!$B$2:$B$2505,'Chi tiết từng link'!$D$2:$D$2505=A870)))"),"")</f>
        <v/>
      </c>
      <c r="D870" s="5" t="str">
        <f t="shared" si="1"/>
        <v/>
      </c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25"/>
      <c r="C871" s="5" t="str">
        <f>IFERROR(__xludf.DUMMYFUNCTION("IF(A871="""","""",TEXTJOIN(CHAR(10),TRUE,FILTER('Chi tiết từng link'!$B$2:$B$2505,'Chi tiết từng link'!$D$2:$D$2505=A871)))"),"")</f>
        <v/>
      </c>
      <c r="D871" s="5" t="str">
        <f t="shared" si="1"/>
        <v/>
      </c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25"/>
      <c r="C872" s="5" t="str">
        <f>IFERROR(__xludf.DUMMYFUNCTION("IF(A872="""","""",TEXTJOIN(CHAR(10),TRUE,FILTER('Chi tiết từng link'!$B$2:$B$2505,'Chi tiết từng link'!$D$2:$D$2505=A872)))"),"")</f>
        <v/>
      </c>
      <c r="D872" s="5" t="str">
        <f t="shared" si="1"/>
        <v/>
      </c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25"/>
      <c r="C873" s="5" t="str">
        <f>IFERROR(__xludf.DUMMYFUNCTION("IF(A873="""","""",TEXTJOIN(CHAR(10),TRUE,FILTER('Chi tiết từng link'!$B$2:$B$2505,'Chi tiết từng link'!$D$2:$D$2505=A873)))"),"")</f>
        <v/>
      </c>
      <c r="D873" s="5" t="str">
        <f t="shared" si="1"/>
        <v/>
      </c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25"/>
      <c r="C874" s="5" t="str">
        <f>IFERROR(__xludf.DUMMYFUNCTION("IF(A874="""","""",TEXTJOIN(CHAR(10),TRUE,FILTER('Chi tiết từng link'!$B$2:$B$2505,'Chi tiết từng link'!$D$2:$D$2505=A874)))"),"")</f>
        <v/>
      </c>
      <c r="D874" s="5" t="str">
        <f t="shared" si="1"/>
        <v/>
      </c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25"/>
      <c r="C875" s="5" t="str">
        <f>IFERROR(__xludf.DUMMYFUNCTION("IF(A875="""","""",TEXTJOIN(CHAR(10),TRUE,FILTER('Chi tiết từng link'!$B$2:$B$2505,'Chi tiết từng link'!$D$2:$D$2505=A875)))"),"")</f>
        <v/>
      </c>
      <c r="D875" s="5" t="str">
        <f t="shared" si="1"/>
        <v/>
      </c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25"/>
      <c r="C876" s="5" t="str">
        <f>IFERROR(__xludf.DUMMYFUNCTION("IF(A876="""","""",TEXTJOIN(CHAR(10),TRUE,FILTER('Chi tiết từng link'!$B$2:$B$2505,'Chi tiết từng link'!$D$2:$D$2505=A876)))"),"")</f>
        <v/>
      </c>
      <c r="D876" s="5" t="str">
        <f t="shared" si="1"/>
        <v/>
      </c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25"/>
      <c r="C877" s="5" t="str">
        <f>IFERROR(__xludf.DUMMYFUNCTION("IF(A877="""","""",TEXTJOIN(CHAR(10),TRUE,FILTER('Chi tiết từng link'!$B$2:$B$2505,'Chi tiết từng link'!$D$2:$D$2505=A877)))"),"")</f>
        <v/>
      </c>
      <c r="D877" s="5" t="str">
        <f t="shared" si="1"/>
        <v/>
      </c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25"/>
      <c r="C878" s="5" t="str">
        <f>IFERROR(__xludf.DUMMYFUNCTION("IF(A878="""","""",TEXTJOIN(CHAR(10),TRUE,FILTER('Chi tiết từng link'!$B$2:$B$2505,'Chi tiết từng link'!$D$2:$D$2505=A878)))"),"")</f>
        <v/>
      </c>
      <c r="D878" s="5" t="str">
        <f t="shared" si="1"/>
        <v/>
      </c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25"/>
      <c r="C879" s="5" t="str">
        <f>IFERROR(__xludf.DUMMYFUNCTION("IF(A879="""","""",TEXTJOIN(CHAR(10),TRUE,FILTER('Chi tiết từng link'!$B$2:$B$2505,'Chi tiết từng link'!$D$2:$D$2505=A879)))"),"")</f>
        <v/>
      </c>
      <c r="D879" s="5" t="str">
        <f t="shared" si="1"/>
        <v/>
      </c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25"/>
      <c r="C880" s="5" t="str">
        <f>IFERROR(__xludf.DUMMYFUNCTION("IF(A880="""","""",TEXTJOIN(CHAR(10),TRUE,FILTER('Chi tiết từng link'!$B$2:$B$2505,'Chi tiết từng link'!$D$2:$D$2505=A880)))"),"")</f>
        <v/>
      </c>
      <c r="D880" s="5" t="str">
        <f t="shared" si="1"/>
        <v/>
      </c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25"/>
      <c r="C881" s="5" t="str">
        <f>IFERROR(__xludf.DUMMYFUNCTION("IF(A881="""","""",TEXTJOIN(CHAR(10),TRUE,FILTER('Chi tiết từng link'!$B$2:$B$2505,'Chi tiết từng link'!$D$2:$D$2505=A881)))"),"")</f>
        <v/>
      </c>
      <c r="D881" s="5" t="str">
        <f t="shared" si="1"/>
        <v/>
      </c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25"/>
      <c r="C882" s="5" t="str">
        <f>IFERROR(__xludf.DUMMYFUNCTION("IF(A882="""","""",TEXTJOIN(CHAR(10),TRUE,FILTER('Chi tiết từng link'!$B$2:$B$2505,'Chi tiết từng link'!$D$2:$D$2505=A882)))"),"")</f>
        <v/>
      </c>
      <c r="D882" s="5" t="str">
        <f t="shared" si="1"/>
        <v/>
      </c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25"/>
      <c r="C883" s="5" t="str">
        <f>IFERROR(__xludf.DUMMYFUNCTION("IF(A883="""","""",TEXTJOIN(CHAR(10),TRUE,FILTER('Chi tiết từng link'!$B$2:$B$2505,'Chi tiết từng link'!$D$2:$D$2505=A883)))"),"")</f>
        <v/>
      </c>
      <c r="D883" s="5" t="str">
        <f t="shared" si="1"/>
        <v/>
      </c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25"/>
      <c r="C884" s="5" t="str">
        <f>IFERROR(__xludf.DUMMYFUNCTION("IF(A884="""","""",TEXTJOIN(CHAR(10),TRUE,FILTER('Chi tiết từng link'!$B$2:$B$2505,'Chi tiết từng link'!$D$2:$D$2505=A884)))"),"")</f>
        <v/>
      </c>
      <c r="D884" s="5" t="str">
        <f t="shared" si="1"/>
        <v/>
      </c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25"/>
      <c r="C885" s="5" t="str">
        <f>IFERROR(__xludf.DUMMYFUNCTION("IF(A885="""","""",TEXTJOIN(CHAR(10),TRUE,FILTER('Chi tiết từng link'!$B$2:$B$2505,'Chi tiết từng link'!$D$2:$D$2505=A885)))"),"")</f>
        <v/>
      </c>
      <c r="D885" s="5" t="str">
        <f t="shared" si="1"/>
        <v/>
      </c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25"/>
      <c r="C886" s="5" t="str">
        <f>IFERROR(__xludf.DUMMYFUNCTION("IF(A886="""","""",TEXTJOIN(CHAR(10),TRUE,FILTER('Chi tiết từng link'!$B$2:$B$2505,'Chi tiết từng link'!$D$2:$D$2505=A886)))"),"")</f>
        <v/>
      </c>
      <c r="D886" s="5" t="str">
        <f t="shared" si="1"/>
        <v/>
      </c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25"/>
      <c r="C887" s="5" t="str">
        <f>IFERROR(__xludf.DUMMYFUNCTION("IF(A887="""","""",TEXTJOIN(CHAR(10),TRUE,FILTER('Chi tiết từng link'!$B$2:$B$2505,'Chi tiết từng link'!$D$2:$D$2505=A887)))"),"")</f>
        <v/>
      </c>
      <c r="D887" s="5" t="str">
        <f t="shared" si="1"/>
        <v/>
      </c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25"/>
      <c r="C888" s="5" t="str">
        <f>IFERROR(__xludf.DUMMYFUNCTION("IF(A888="""","""",TEXTJOIN(CHAR(10),TRUE,FILTER('Chi tiết từng link'!$B$2:$B$2505,'Chi tiết từng link'!$D$2:$D$2505=A888)))"),"")</f>
        <v/>
      </c>
      <c r="D888" s="5" t="str">
        <f t="shared" si="1"/>
        <v/>
      </c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25"/>
      <c r="C889" s="5" t="str">
        <f>IFERROR(__xludf.DUMMYFUNCTION("IF(A889="""","""",TEXTJOIN(CHAR(10),TRUE,FILTER('Chi tiết từng link'!$B$2:$B$2505,'Chi tiết từng link'!$D$2:$D$2505=A889)))"),"")</f>
        <v/>
      </c>
      <c r="D889" s="5" t="str">
        <f t="shared" si="1"/>
        <v/>
      </c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25"/>
      <c r="C890" s="5" t="str">
        <f>IFERROR(__xludf.DUMMYFUNCTION("IF(A890="""","""",TEXTJOIN(CHAR(10),TRUE,FILTER('Chi tiết từng link'!$B$2:$B$2505,'Chi tiết từng link'!$D$2:$D$2505=A890)))"),"")</f>
        <v/>
      </c>
      <c r="D890" s="5" t="str">
        <f t="shared" si="1"/>
        <v/>
      </c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25"/>
      <c r="C891" s="5" t="str">
        <f>IFERROR(__xludf.DUMMYFUNCTION("IF(A891="""","""",TEXTJOIN(CHAR(10),TRUE,FILTER('Chi tiết từng link'!$B$2:$B$2505,'Chi tiết từng link'!$D$2:$D$2505=A891)))"),"")</f>
        <v/>
      </c>
      <c r="D891" s="5" t="str">
        <f t="shared" si="1"/>
        <v/>
      </c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25"/>
      <c r="C892" s="5" t="str">
        <f>IFERROR(__xludf.DUMMYFUNCTION("IF(A892="""","""",TEXTJOIN(CHAR(10),TRUE,FILTER('Chi tiết từng link'!$B$2:$B$2505,'Chi tiết từng link'!$D$2:$D$2505=A892)))"),"")</f>
        <v/>
      </c>
      <c r="D892" s="5" t="str">
        <f t="shared" si="1"/>
        <v/>
      </c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25"/>
      <c r="C893" s="5" t="str">
        <f>IFERROR(__xludf.DUMMYFUNCTION("IF(A893="""","""",TEXTJOIN(CHAR(10),TRUE,FILTER('Chi tiết từng link'!$B$2:$B$2505,'Chi tiết từng link'!$D$2:$D$2505=A893)))"),"")</f>
        <v/>
      </c>
      <c r="D893" s="5" t="str">
        <f t="shared" si="1"/>
        <v/>
      </c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25"/>
      <c r="C894" s="5" t="str">
        <f>IFERROR(__xludf.DUMMYFUNCTION("IF(A894="""","""",TEXTJOIN(CHAR(10),TRUE,FILTER('Chi tiết từng link'!$B$2:$B$2505,'Chi tiết từng link'!$D$2:$D$2505=A894)))"),"")</f>
        <v/>
      </c>
      <c r="D894" s="5" t="str">
        <f t="shared" si="1"/>
        <v/>
      </c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25"/>
      <c r="C895" s="5" t="str">
        <f>IFERROR(__xludf.DUMMYFUNCTION("IF(A895="""","""",TEXTJOIN(CHAR(10),TRUE,FILTER('Chi tiết từng link'!$B$2:$B$2505,'Chi tiết từng link'!$D$2:$D$2505=A895)))"),"")</f>
        <v/>
      </c>
      <c r="D895" s="5" t="str">
        <f t="shared" si="1"/>
        <v/>
      </c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25"/>
      <c r="C896" s="5" t="str">
        <f>IFERROR(__xludf.DUMMYFUNCTION("IF(A896="""","""",TEXTJOIN(CHAR(10),TRUE,FILTER('Chi tiết từng link'!$B$2:$B$2505,'Chi tiết từng link'!$D$2:$D$2505=A896)))"),"")</f>
        <v/>
      </c>
      <c r="D896" s="5" t="str">
        <f t="shared" si="1"/>
        <v/>
      </c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25"/>
      <c r="C897" s="5" t="str">
        <f>IFERROR(__xludf.DUMMYFUNCTION("IF(A897="""","""",TEXTJOIN(CHAR(10),TRUE,FILTER('Chi tiết từng link'!$B$2:$B$2505,'Chi tiết từng link'!$D$2:$D$2505=A897)))"),"")</f>
        <v/>
      </c>
      <c r="D897" s="5" t="str">
        <f t="shared" si="1"/>
        <v/>
      </c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25"/>
      <c r="C898" s="5" t="str">
        <f>IFERROR(__xludf.DUMMYFUNCTION("IF(A898="""","""",TEXTJOIN(CHAR(10),TRUE,FILTER('Chi tiết từng link'!$B$2:$B$2505,'Chi tiết từng link'!$D$2:$D$2505=A898)))"),"")</f>
        <v/>
      </c>
      <c r="D898" s="5" t="str">
        <f t="shared" si="1"/>
        <v/>
      </c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25"/>
      <c r="C899" s="5" t="str">
        <f>IFERROR(__xludf.DUMMYFUNCTION("IF(A899="""","""",TEXTJOIN(CHAR(10),TRUE,FILTER('Chi tiết từng link'!$B$2:$B$2505,'Chi tiết từng link'!$D$2:$D$2505=A899)))"),"")</f>
        <v/>
      </c>
      <c r="D899" s="5" t="str">
        <f t="shared" si="1"/>
        <v/>
      </c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25"/>
      <c r="C900" s="5" t="str">
        <f>IFERROR(__xludf.DUMMYFUNCTION("IF(A900="""","""",TEXTJOIN(CHAR(10),TRUE,FILTER('Chi tiết từng link'!$B$2:$B$2505,'Chi tiết từng link'!$D$2:$D$2505=A900)))"),"")</f>
        <v/>
      </c>
      <c r="D900" s="5" t="str">
        <f t="shared" si="1"/>
        <v/>
      </c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25"/>
      <c r="C901" s="5" t="str">
        <f>IFERROR(__xludf.DUMMYFUNCTION("IF(A901="""","""",TEXTJOIN(CHAR(10),TRUE,FILTER('Chi tiết từng link'!$B$2:$B$2505,'Chi tiết từng link'!$D$2:$D$2505=A901)))"),"")</f>
        <v/>
      </c>
      <c r="D901" s="5" t="str">
        <f t="shared" si="1"/>
        <v/>
      </c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25"/>
      <c r="C902" s="5" t="str">
        <f>IFERROR(__xludf.DUMMYFUNCTION("IF(A902="""","""",TEXTJOIN(CHAR(10),TRUE,FILTER('Chi tiết từng link'!$B$2:$B$2505,'Chi tiết từng link'!$D$2:$D$2505=A902)))"),"")</f>
        <v/>
      </c>
      <c r="D902" s="5" t="str">
        <f t="shared" si="1"/>
        <v/>
      </c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25"/>
      <c r="C903" s="5" t="str">
        <f>IFERROR(__xludf.DUMMYFUNCTION("IF(A903="""","""",TEXTJOIN(CHAR(10),TRUE,FILTER('Chi tiết từng link'!$B$2:$B$2505,'Chi tiết từng link'!$D$2:$D$2505=A903)))"),"")</f>
        <v/>
      </c>
      <c r="D903" s="5" t="str">
        <f t="shared" si="1"/>
        <v/>
      </c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25"/>
      <c r="C904" s="5" t="str">
        <f>IFERROR(__xludf.DUMMYFUNCTION("IF(A904="""","""",TEXTJOIN(CHAR(10),TRUE,FILTER('Chi tiết từng link'!$B$2:$B$2505,'Chi tiết từng link'!$D$2:$D$2505=A904)))"),"")</f>
        <v/>
      </c>
      <c r="D904" s="5" t="str">
        <f t="shared" si="1"/>
        <v/>
      </c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25"/>
      <c r="C905" s="5" t="str">
        <f>IFERROR(__xludf.DUMMYFUNCTION("IF(A905="""","""",TEXTJOIN(CHAR(10),TRUE,FILTER('Chi tiết từng link'!$B$2:$B$2505,'Chi tiết từng link'!$D$2:$D$2505=A905)))"),"")</f>
        <v/>
      </c>
      <c r="D905" s="5" t="str">
        <f t="shared" si="1"/>
        <v/>
      </c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25"/>
      <c r="C906" s="5" t="str">
        <f>IFERROR(__xludf.DUMMYFUNCTION("IF(A906="""","""",TEXTJOIN(CHAR(10),TRUE,FILTER('Chi tiết từng link'!$B$2:$B$2505,'Chi tiết từng link'!$D$2:$D$2505=A906)))"),"")</f>
        <v/>
      </c>
      <c r="D906" s="5" t="str">
        <f t="shared" si="1"/>
        <v/>
      </c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25"/>
      <c r="C907" s="5" t="str">
        <f>IFERROR(__xludf.DUMMYFUNCTION("IF(A907="""","""",TEXTJOIN(CHAR(10),TRUE,FILTER('Chi tiết từng link'!$B$2:$B$2505,'Chi tiết từng link'!$D$2:$D$2505=A907)))"),"")</f>
        <v/>
      </c>
      <c r="D907" s="5" t="str">
        <f t="shared" si="1"/>
        <v/>
      </c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25"/>
      <c r="C908" s="5" t="str">
        <f>IFERROR(__xludf.DUMMYFUNCTION("IF(A908="""","""",TEXTJOIN(CHAR(10),TRUE,FILTER('Chi tiết từng link'!$B$2:$B$2505,'Chi tiết từng link'!$D$2:$D$2505=A908)))"),"")</f>
        <v/>
      </c>
      <c r="D908" s="5" t="str">
        <f t="shared" si="1"/>
        <v/>
      </c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25"/>
      <c r="C909" s="5" t="str">
        <f>IFERROR(__xludf.DUMMYFUNCTION("IF(A909="""","""",TEXTJOIN(CHAR(10),TRUE,FILTER('Chi tiết từng link'!$B$2:$B$2505,'Chi tiết từng link'!$D$2:$D$2505=A909)))"),"")</f>
        <v/>
      </c>
      <c r="D909" s="5" t="str">
        <f t="shared" si="1"/>
        <v/>
      </c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25"/>
      <c r="C910" s="5" t="str">
        <f>IFERROR(__xludf.DUMMYFUNCTION("IF(A910="""","""",TEXTJOIN(CHAR(10),TRUE,FILTER('Chi tiết từng link'!$B$2:$B$2505,'Chi tiết từng link'!$D$2:$D$2505=A910)))"),"")</f>
        <v/>
      </c>
      <c r="D910" s="5" t="str">
        <f t="shared" si="1"/>
        <v/>
      </c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25"/>
      <c r="C911" s="5" t="str">
        <f>IFERROR(__xludf.DUMMYFUNCTION("IF(A911="""","""",TEXTJOIN(CHAR(10),TRUE,FILTER('Chi tiết từng link'!$B$2:$B$2505,'Chi tiết từng link'!$D$2:$D$2505=A911)))"),"")</f>
        <v/>
      </c>
      <c r="D911" s="5" t="str">
        <f t="shared" si="1"/>
        <v/>
      </c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25"/>
      <c r="C912" s="5" t="str">
        <f>IFERROR(__xludf.DUMMYFUNCTION("IF(A912="""","""",TEXTJOIN(CHAR(10),TRUE,FILTER('Chi tiết từng link'!$B$2:$B$2505,'Chi tiết từng link'!$D$2:$D$2505=A912)))"),"")</f>
        <v/>
      </c>
      <c r="D912" s="5" t="str">
        <f t="shared" si="1"/>
        <v/>
      </c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25"/>
      <c r="C913" s="5" t="str">
        <f>IFERROR(__xludf.DUMMYFUNCTION("IF(A913="""","""",TEXTJOIN(CHAR(10),TRUE,FILTER('Chi tiết từng link'!$B$2:$B$2505,'Chi tiết từng link'!$D$2:$D$2505=A913)))"),"")</f>
        <v/>
      </c>
      <c r="D913" s="5" t="str">
        <f t="shared" si="1"/>
        <v/>
      </c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25"/>
      <c r="C914" s="5" t="str">
        <f>IFERROR(__xludf.DUMMYFUNCTION("IF(A914="""","""",TEXTJOIN(CHAR(10),TRUE,FILTER('Chi tiết từng link'!$B$2:$B$2505,'Chi tiết từng link'!$D$2:$D$2505=A914)))"),"")</f>
        <v/>
      </c>
      <c r="D914" s="5" t="str">
        <f t="shared" si="1"/>
        <v/>
      </c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25"/>
      <c r="C915" s="5" t="str">
        <f>IFERROR(__xludf.DUMMYFUNCTION("IF(A915="""","""",TEXTJOIN(CHAR(10),TRUE,FILTER('Chi tiết từng link'!$B$2:$B$2505,'Chi tiết từng link'!$D$2:$D$2505=A915)))"),"")</f>
        <v/>
      </c>
      <c r="D915" s="5" t="str">
        <f t="shared" si="1"/>
        <v/>
      </c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25"/>
      <c r="C916" s="5" t="str">
        <f>IFERROR(__xludf.DUMMYFUNCTION("IF(A916="""","""",TEXTJOIN(CHAR(10),TRUE,FILTER('Chi tiết từng link'!$B$2:$B$2505,'Chi tiết từng link'!$D$2:$D$2505=A916)))"),"")</f>
        <v/>
      </c>
      <c r="D916" s="5" t="str">
        <f t="shared" si="1"/>
        <v/>
      </c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25"/>
      <c r="C917" s="5" t="str">
        <f>IFERROR(__xludf.DUMMYFUNCTION("IF(A917="""","""",TEXTJOIN(CHAR(10),TRUE,FILTER('Chi tiết từng link'!$B$2:$B$2505,'Chi tiết từng link'!$D$2:$D$2505=A917)))"),"")</f>
        <v/>
      </c>
      <c r="D917" s="5" t="str">
        <f t="shared" si="1"/>
        <v/>
      </c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25"/>
      <c r="C918" s="5" t="str">
        <f>IFERROR(__xludf.DUMMYFUNCTION("IF(A918="""","""",TEXTJOIN(CHAR(10),TRUE,FILTER('Chi tiết từng link'!$B$2:$B$2505,'Chi tiết từng link'!$D$2:$D$2505=A918)))"),"")</f>
        <v/>
      </c>
      <c r="D918" s="5" t="str">
        <f t="shared" si="1"/>
        <v/>
      </c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25"/>
      <c r="C919" s="5" t="str">
        <f>IFERROR(__xludf.DUMMYFUNCTION("IF(A919="""","""",TEXTJOIN(CHAR(10),TRUE,FILTER('Chi tiết từng link'!$B$2:$B$2505,'Chi tiết từng link'!$D$2:$D$2505=A919)))"),"")</f>
        <v/>
      </c>
      <c r="D919" s="5" t="str">
        <f t="shared" si="1"/>
        <v/>
      </c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25"/>
      <c r="C920" s="5" t="str">
        <f>IFERROR(__xludf.DUMMYFUNCTION("IF(A920="""","""",TEXTJOIN(CHAR(10),TRUE,FILTER('Chi tiết từng link'!$B$2:$B$2505,'Chi tiết từng link'!$D$2:$D$2505=A920)))"),"")</f>
        <v/>
      </c>
      <c r="D920" s="5" t="str">
        <f t="shared" si="1"/>
        <v/>
      </c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25"/>
      <c r="C921" s="5" t="str">
        <f>IFERROR(__xludf.DUMMYFUNCTION("IF(A921="""","""",TEXTJOIN(CHAR(10),TRUE,FILTER('Chi tiết từng link'!$B$2:$B$2505,'Chi tiết từng link'!$D$2:$D$2505=A921)))"),"")</f>
        <v/>
      </c>
      <c r="D921" s="5" t="str">
        <f t="shared" si="1"/>
        <v/>
      </c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25"/>
      <c r="C922" s="5" t="str">
        <f>IFERROR(__xludf.DUMMYFUNCTION("IF(A922="""","""",TEXTJOIN(CHAR(10),TRUE,FILTER('Chi tiết từng link'!$B$2:$B$2505,'Chi tiết từng link'!$D$2:$D$2505=A922)))"),"")</f>
        <v/>
      </c>
      <c r="D922" s="5" t="str">
        <f t="shared" si="1"/>
        <v/>
      </c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25"/>
      <c r="C923" s="5" t="str">
        <f>IFERROR(__xludf.DUMMYFUNCTION("IF(A923="""","""",TEXTJOIN(CHAR(10),TRUE,FILTER('Chi tiết từng link'!$B$2:$B$2505,'Chi tiết từng link'!$D$2:$D$2505=A923)))"),"")</f>
        <v/>
      </c>
      <c r="D923" s="5" t="str">
        <f t="shared" si="1"/>
        <v/>
      </c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25"/>
      <c r="C924" s="5" t="str">
        <f>IFERROR(__xludf.DUMMYFUNCTION("IF(A924="""","""",TEXTJOIN(CHAR(10),TRUE,FILTER('Chi tiết từng link'!$B$2:$B$2505,'Chi tiết từng link'!$D$2:$D$2505=A924)))"),"")</f>
        <v/>
      </c>
      <c r="D924" s="5" t="str">
        <f t="shared" si="1"/>
        <v/>
      </c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25"/>
      <c r="C925" s="5" t="str">
        <f>IFERROR(__xludf.DUMMYFUNCTION("IF(A925="""","""",TEXTJOIN(CHAR(10),TRUE,FILTER('Chi tiết từng link'!$B$2:$B$2505,'Chi tiết từng link'!$D$2:$D$2505=A925)))"),"")</f>
        <v/>
      </c>
      <c r="D925" s="5" t="str">
        <f t="shared" si="1"/>
        <v/>
      </c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25"/>
      <c r="C926" s="5" t="str">
        <f>IFERROR(__xludf.DUMMYFUNCTION("IF(A926="""","""",TEXTJOIN(CHAR(10),TRUE,FILTER('Chi tiết từng link'!$B$2:$B$2505,'Chi tiết từng link'!$D$2:$D$2505=A926)))"),"")</f>
        <v/>
      </c>
      <c r="D926" s="5" t="str">
        <f t="shared" si="1"/>
        <v/>
      </c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25"/>
      <c r="C927" s="5" t="str">
        <f>IFERROR(__xludf.DUMMYFUNCTION("IF(A927="""","""",TEXTJOIN(CHAR(10),TRUE,FILTER('Chi tiết từng link'!$B$2:$B$2505,'Chi tiết từng link'!$D$2:$D$2505=A927)))"),"")</f>
        <v/>
      </c>
      <c r="D927" s="5" t="str">
        <f t="shared" si="1"/>
        <v/>
      </c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25"/>
      <c r="C928" s="5" t="str">
        <f>IFERROR(__xludf.DUMMYFUNCTION("IF(A928="""","""",TEXTJOIN(CHAR(10),TRUE,FILTER('Chi tiết từng link'!$B$2:$B$2505,'Chi tiết từng link'!$D$2:$D$2505=A928)))"),"")</f>
        <v/>
      </c>
      <c r="D928" s="5" t="str">
        <f t="shared" si="1"/>
        <v/>
      </c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25"/>
      <c r="C929" s="5" t="str">
        <f>IFERROR(__xludf.DUMMYFUNCTION("IF(A929="""","""",TEXTJOIN(CHAR(10),TRUE,FILTER('Chi tiết từng link'!$B$2:$B$2505,'Chi tiết từng link'!$D$2:$D$2505=A929)))"),"")</f>
        <v/>
      </c>
      <c r="D929" s="5" t="str">
        <f t="shared" si="1"/>
        <v/>
      </c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25"/>
      <c r="C930" s="5" t="str">
        <f>IFERROR(__xludf.DUMMYFUNCTION("IF(A930="""","""",TEXTJOIN(CHAR(10),TRUE,FILTER('Chi tiết từng link'!$B$2:$B$2505,'Chi tiết từng link'!$D$2:$D$2505=A930)))"),"")</f>
        <v/>
      </c>
      <c r="D930" s="5" t="str">
        <f t="shared" si="1"/>
        <v/>
      </c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25"/>
      <c r="C931" s="5" t="str">
        <f>IFERROR(__xludf.DUMMYFUNCTION("IF(A931="""","""",TEXTJOIN(CHAR(10),TRUE,FILTER('Chi tiết từng link'!$B$2:$B$2505,'Chi tiết từng link'!$D$2:$D$2505=A931)))"),"")</f>
        <v/>
      </c>
      <c r="D931" s="5" t="str">
        <f t="shared" si="1"/>
        <v/>
      </c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25"/>
      <c r="C932" s="5" t="str">
        <f>IFERROR(__xludf.DUMMYFUNCTION("IF(A932="""","""",TEXTJOIN(CHAR(10),TRUE,FILTER('Chi tiết từng link'!$B$2:$B$2505,'Chi tiết từng link'!$D$2:$D$2505=A932)))"),"")</f>
        <v/>
      </c>
      <c r="D932" s="5" t="str">
        <f t="shared" si="1"/>
        <v/>
      </c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25"/>
      <c r="C933" s="5" t="str">
        <f>IFERROR(__xludf.DUMMYFUNCTION("IF(A933="""","""",TEXTJOIN(CHAR(10),TRUE,FILTER('Chi tiết từng link'!$B$2:$B$2505,'Chi tiết từng link'!$D$2:$D$2505=A933)))"),"")</f>
        <v/>
      </c>
      <c r="D933" s="5" t="str">
        <f t="shared" si="1"/>
        <v/>
      </c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25"/>
      <c r="C934" s="5" t="str">
        <f>IFERROR(__xludf.DUMMYFUNCTION("IF(A934="""","""",TEXTJOIN(CHAR(10),TRUE,FILTER('Chi tiết từng link'!$B$2:$B$2505,'Chi tiết từng link'!$D$2:$D$2505=A934)))"),"")</f>
        <v/>
      </c>
      <c r="D934" s="5" t="str">
        <f t="shared" si="1"/>
        <v/>
      </c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25"/>
      <c r="C935" s="5" t="str">
        <f>IFERROR(__xludf.DUMMYFUNCTION("IF(A935="""","""",TEXTJOIN(CHAR(10),TRUE,FILTER('Chi tiết từng link'!$B$2:$B$2505,'Chi tiết từng link'!$D$2:$D$2505=A935)))"),"")</f>
        <v/>
      </c>
      <c r="D935" s="5" t="str">
        <f t="shared" si="1"/>
        <v/>
      </c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25"/>
      <c r="C936" s="5" t="str">
        <f>IFERROR(__xludf.DUMMYFUNCTION("IF(A936="""","""",TEXTJOIN(CHAR(10),TRUE,FILTER('Chi tiết từng link'!$B$2:$B$2505,'Chi tiết từng link'!$D$2:$D$2505=A936)))"),"")</f>
        <v/>
      </c>
      <c r="D936" s="5" t="str">
        <f t="shared" si="1"/>
        <v/>
      </c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25"/>
      <c r="C937" s="5" t="str">
        <f>IFERROR(__xludf.DUMMYFUNCTION("IF(A937="""","""",TEXTJOIN(CHAR(10),TRUE,FILTER('Chi tiết từng link'!$B$2:$B$2505,'Chi tiết từng link'!$D$2:$D$2505=A937)))"),"")</f>
        <v/>
      </c>
      <c r="D937" s="5" t="str">
        <f t="shared" si="1"/>
        <v/>
      </c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25"/>
      <c r="C938" s="5" t="str">
        <f>IFERROR(__xludf.DUMMYFUNCTION("IF(A938="""","""",TEXTJOIN(CHAR(10),TRUE,FILTER('Chi tiết từng link'!$B$2:$B$2505,'Chi tiết từng link'!$D$2:$D$2505=A938)))"),"")</f>
        <v/>
      </c>
      <c r="D938" s="5" t="str">
        <f t="shared" si="1"/>
        <v/>
      </c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25"/>
      <c r="C939" s="5" t="str">
        <f>IFERROR(__xludf.DUMMYFUNCTION("IF(A939="""","""",TEXTJOIN(CHAR(10),TRUE,FILTER('Chi tiết từng link'!$B$2:$B$2505,'Chi tiết từng link'!$D$2:$D$2505=A939)))"),"")</f>
        <v/>
      </c>
      <c r="D939" s="5" t="str">
        <f t="shared" si="1"/>
        <v/>
      </c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25"/>
      <c r="C940" s="5" t="str">
        <f>IFERROR(__xludf.DUMMYFUNCTION("IF(A940="""","""",TEXTJOIN(CHAR(10),TRUE,FILTER('Chi tiết từng link'!$B$2:$B$2505,'Chi tiết từng link'!$D$2:$D$2505=A940)))"),"")</f>
        <v/>
      </c>
      <c r="D940" s="5" t="str">
        <f t="shared" si="1"/>
        <v/>
      </c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25"/>
      <c r="C941" s="5" t="str">
        <f>IFERROR(__xludf.DUMMYFUNCTION("IF(A941="""","""",TEXTJOIN(CHAR(10),TRUE,FILTER('Chi tiết từng link'!$B$2:$B$2505,'Chi tiết từng link'!$D$2:$D$2505=A941)))"),"")</f>
        <v/>
      </c>
      <c r="D941" s="5" t="str">
        <f t="shared" si="1"/>
        <v/>
      </c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25"/>
      <c r="C942" s="5" t="str">
        <f>IFERROR(__xludf.DUMMYFUNCTION("IF(A942="""","""",TEXTJOIN(CHAR(10),TRUE,FILTER('Chi tiết từng link'!$B$2:$B$2505,'Chi tiết từng link'!$D$2:$D$2505=A942)))"),"")</f>
        <v/>
      </c>
      <c r="D942" s="5" t="str">
        <f t="shared" si="1"/>
        <v/>
      </c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25"/>
      <c r="C943" s="5" t="str">
        <f>IFERROR(__xludf.DUMMYFUNCTION("IF(A943="""","""",TEXTJOIN(CHAR(10),TRUE,FILTER('Chi tiết từng link'!$B$2:$B$2505,'Chi tiết từng link'!$D$2:$D$2505=A943)))"),"")</f>
        <v/>
      </c>
      <c r="D943" s="5" t="str">
        <f t="shared" si="1"/>
        <v/>
      </c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25"/>
      <c r="C944" s="5" t="str">
        <f>IFERROR(__xludf.DUMMYFUNCTION("IF(A944="""","""",TEXTJOIN(CHAR(10),TRUE,FILTER('Chi tiết từng link'!$B$2:$B$2505,'Chi tiết từng link'!$D$2:$D$2505=A944)))"),"")</f>
        <v/>
      </c>
      <c r="D944" s="5" t="str">
        <f t="shared" si="1"/>
        <v/>
      </c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25"/>
      <c r="C945" s="5" t="str">
        <f>IFERROR(__xludf.DUMMYFUNCTION("IF(A945="""","""",TEXTJOIN(CHAR(10),TRUE,FILTER('Chi tiết từng link'!$B$2:$B$2505,'Chi tiết từng link'!$D$2:$D$2505=A945)))"),"")</f>
        <v/>
      </c>
      <c r="D945" s="5" t="str">
        <f t="shared" si="1"/>
        <v/>
      </c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25"/>
      <c r="C946" s="5" t="str">
        <f>IFERROR(__xludf.DUMMYFUNCTION("IF(A946="""","""",TEXTJOIN(CHAR(10),TRUE,FILTER('Chi tiết từng link'!$B$2:$B$2505,'Chi tiết từng link'!$D$2:$D$2505=A946)))"),"")</f>
        <v/>
      </c>
      <c r="D946" s="5" t="str">
        <f t="shared" si="1"/>
        <v/>
      </c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25"/>
      <c r="C947" s="5" t="str">
        <f>IFERROR(__xludf.DUMMYFUNCTION("IF(A947="""","""",TEXTJOIN(CHAR(10),TRUE,FILTER('Chi tiết từng link'!$B$2:$B$2505,'Chi tiết từng link'!$D$2:$D$2505=A947)))"),"")</f>
        <v/>
      </c>
      <c r="D947" s="5" t="str">
        <f t="shared" si="1"/>
        <v/>
      </c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25"/>
      <c r="C948" s="5" t="str">
        <f>IFERROR(__xludf.DUMMYFUNCTION("IF(A948="""","""",TEXTJOIN(CHAR(10),TRUE,FILTER('Chi tiết từng link'!$B$2:$B$2505,'Chi tiết từng link'!$D$2:$D$2505=A948)))"),"")</f>
        <v/>
      </c>
      <c r="D948" s="5" t="str">
        <f t="shared" si="1"/>
        <v/>
      </c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25"/>
      <c r="C949" s="5" t="str">
        <f>IFERROR(__xludf.DUMMYFUNCTION("IF(A949="""","""",TEXTJOIN(CHAR(10),TRUE,FILTER('Chi tiết từng link'!$B$2:$B$2505,'Chi tiết từng link'!$D$2:$D$2505=A949)))"),"")</f>
        <v/>
      </c>
      <c r="D949" s="5" t="str">
        <f t="shared" si="1"/>
        <v/>
      </c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25"/>
      <c r="C950" s="5" t="str">
        <f>IFERROR(__xludf.DUMMYFUNCTION("IF(A950="""","""",TEXTJOIN(CHAR(10),TRUE,FILTER('Chi tiết từng link'!$B$2:$B$2505,'Chi tiết từng link'!$D$2:$D$2505=A950)))"),"")</f>
        <v/>
      </c>
      <c r="D950" s="5" t="str">
        <f t="shared" si="1"/>
        <v/>
      </c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25"/>
      <c r="C951" s="5" t="str">
        <f>IFERROR(__xludf.DUMMYFUNCTION("IF(A951="""","""",TEXTJOIN(CHAR(10),TRUE,FILTER('Chi tiết từng link'!$B$2:$B$2505,'Chi tiết từng link'!$D$2:$D$2505=A951)))"),"")</f>
        <v/>
      </c>
      <c r="D951" s="5" t="str">
        <f t="shared" si="1"/>
        <v/>
      </c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25"/>
      <c r="C952" s="5" t="str">
        <f>IFERROR(__xludf.DUMMYFUNCTION("IF(A952="""","""",TEXTJOIN(CHAR(10),TRUE,FILTER('Chi tiết từng link'!$B$2:$B$2505,'Chi tiết từng link'!$D$2:$D$2505=A952)))"),"")</f>
        <v/>
      </c>
      <c r="D952" s="5" t="str">
        <f t="shared" si="1"/>
        <v/>
      </c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25"/>
      <c r="C953" s="5" t="str">
        <f>IFERROR(__xludf.DUMMYFUNCTION("IF(A953="""","""",TEXTJOIN(CHAR(10),TRUE,FILTER('Chi tiết từng link'!$B$2:$B$2505,'Chi tiết từng link'!$D$2:$D$2505=A953)))"),"")</f>
        <v/>
      </c>
      <c r="D953" s="5" t="str">
        <f t="shared" si="1"/>
        <v/>
      </c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25"/>
      <c r="C954" s="5" t="str">
        <f>IFERROR(__xludf.DUMMYFUNCTION("IF(A954="""","""",TEXTJOIN(CHAR(10),TRUE,FILTER('Chi tiết từng link'!$B$2:$B$2505,'Chi tiết từng link'!$D$2:$D$2505=A954)))"),"")</f>
        <v/>
      </c>
      <c r="D954" s="5" t="str">
        <f t="shared" si="1"/>
        <v/>
      </c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25"/>
      <c r="C955" s="5" t="str">
        <f>IFERROR(__xludf.DUMMYFUNCTION("IF(A955="""","""",TEXTJOIN(CHAR(10),TRUE,FILTER('Chi tiết từng link'!$B$2:$B$2505,'Chi tiết từng link'!$D$2:$D$2505=A955)))"),"")</f>
        <v/>
      </c>
      <c r="D955" s="5" t="str">
        <f t="shared" si="1"/>
        <v/>
      </c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25"/>
      <c r="C956" s="5" t="str">
        <f>IFERROR(__xludf.DUMMYFUNCTION("IF(A956="""","""",TEXTJOIN(CHAR(10),TRUE,FILTER('Chi tiết từng link'!$B$2:$B$2505,'Chi tiết từng link'!$D$2:$D$2505=A956)))"),"")</f>
        <v/>
      </c>
      <c r="D956" s="5" t="str">
        <f t="shared" si="1"/>
        <v/>
      </c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25"/>
      <c r="C957" s="5" t="str">
        <f>IFERROR(__xludf.DUMMYFUNCTION("IF(A957="""","""",TEXTJOIN(CHAR(10),TRUE,FILTER('Chi tiết từng link'!$B$2:$B$2505,'Chi tiết từng link'!$D$2:$D$2505=A957)))"),"")</f>
        <v/>
      </c>
      <c r="D957" s="5" t="str">
        <f t="shared" si="1"/>
        <v/>
      </c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25"/>
      <c r="C958" s="5" t="str">
        <f>IFERROR(__xludf.DUMMYFUNCTION("IF(A958="""","""",TEXTJOIN(CHAR(10),TRUE,FILTER('Chi tiết từng link'!$B$2:$B$2505,'Chi tiết từng link'!$D$2:$D$2505=A958)))"),"")</f>
        <v/>
      </c>
      <c r="D958" s="5" t="str">
        <f t="shared" si="1"/>
        <v/>
      </c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25"/>
      <c r="C959" s="5" t="str">
        <f>IFERROR(__xludf.DUMMYFUNCTION("IF(A959="""","""",TEXTJOIN(CHAR(10),TRUE,FILTER('Chi tiết từng link'!$B$2:$B$2505,'Chi tiết từng link'!$D$2:$D$2505=A959)))"),"")</f>
        <v/>
      </c>
      <c r="D959" s="5" t="str">
        <f t="shared" si="1"/>
        <v/>
      </c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25"/>
      <c r="C960" s="5" t="str">
        <f>IFERROR(__xludf.DUMMYFUNCTION("IF(A960="""","""",TEXTJOIN(CHAR(10),TRUE,FILTER('Chi tiết từng link'!$B$2:$B$2505,'Chi tiết từng link'!$D$2:$D$2505=A960)))"),"")</f>
        <v/>
      </c>
      <c r="D960" s="5" t="str">
        <f t="shared" si="1"/>
        <v/>
      </c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25"/>
      <c r="C961" s="5" t="str">
        <f>IFERROR(__xludf.DUMMYFUNCTION("IF(A961="""","""",TEXTJOIN(CHAR(10),TRUE,FILTER('Chi tiết từng link'!$B$2:$B$2505,'Chi tiết từng link'!$D$2:$D$2505=A961)))"),"")</f>
        <v/>
      </c>
      <c r="D961" s="5" t="str">
        <f t="shared" si="1"/>
        <v/>
      </c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25"/>
      <c r="C962" s="5" t="str">
        <f>IFERROR(__xludf.DUMMYFUNCTION("IF(A962="""","""",TEXTJOIN(CHAR(10),TRUE,FILTER('Chi tiết từng link'!$B$2:$B$2505,'Chi tiết từng link'!$D$2:$D$2505=A962)))"),"")</f>
        <v/>
      </c>
      <c r="D962" s="5" t="str">
        <f t="shared" si="1"/>
        <v/>
      </c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25"/>
      <c r="C963" s="5" t="str">
        <f>IFERROR(__xludf.DUMMYFUNCTION("IF(A963="""","""",TEXTJOIN(CHAR(10),TRUE,FILTER('Chi tiết từng link'!$B$2:$B$2505,'Chi tiết từng link'!$D$2:$D$2505=A963)))"),"")</f>
        <v/>
      </c>
      <c r="D963" s="5" t="str">
        <f t="shared" si="1"/>
        <v/>
      </c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25"/>
      <c r="C964" s="5" t="str">
        <f>IFERROR(__xludf.DUMMYFUNCTION("IF(A964="""","""",TEXTJOIN(CHAR(10),TRUE,FILTER('Chi tiết từng link'!$B$2:$B$2505,'Chi tiết từng link'!$D$2:$D$2505=A964)))"),"")</f>
        <v/>
      </c>
      <c r="D964" s="5" t="str">
        <f t="shared" si="1"/>
        <v/>
      </c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25"/>
      <c r="C965" s="5" t="str">
        <f>IFERROR(__xludf.DUMMYFUNCTION("IF(A965="""","""",TEXTJOIN(CHAR(10),TRUE,FILTER('Chi tiết từng link'!$B$2:$B$2505,'Chi tiết từng link'!$D$2:$D$2505=A965)))"),"")</f>
        <v/>
      </c>
      <c r="D965" s="5" t="str">
        <f t="shared" si="1"/>
        <v/>
      </c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25"/>
      <c r="C966" s="5" t="str">
        <f>IFERROR(__xludf.DUMMYFUNCTION("IF(A966="""","""",TEXTJOIN(CHAR(10),TRUE,FILTER('Chi tiết từng link'!$B$2:$B$2505,'Chi tiết từng link'!$D$2:$D$2505=A966)))"),"")</f>
        <v/>
      </c>
      <c r="D966" s="5" t="str">
        <f t="shared" si="1"/>
        <v/>
      </c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25"/>
      <c r="C967" s="5" t="str">
        <f>IFERROR(__xludf.DUMMYFUNCTION("IF(A967="""","""",TEXTJOIN(CHAR(10),TRUE,FILTER('Chi tiết từng link'!$B$2:$B$2505,'Chi tiết từng link'!$D$2:$D$2505=A967)))"),"")</f>
        <v/>
      </c>
      <c r="D967" s="5" t="str">
        <f t="shared" si="1"/>
        <v/>
      </c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25"/>
      <c r="C968" s="5" t="str">
        <f>IFERROR(__xludf.DUMMYFUNCTION("IF(A968="""","""",TEXTJOIN(CHAR(10),TRUE,FILTER('Chi tiết từng link'!$B$2:$B$2505,'Chi tiết từng link'!$D$2:$D$2505=A968)))"),"")</f>
        <v/>
      </c>
      <c r="D968" s="5" t="str">
        <f t="shared" si="1"/>
        <v/>
      </c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25"/>
      <c r="C969" s="5" t="str">
        <f>IFERROR(__xludf.DUMMYFUNCTION("IF(A969="""","""",TEXTJOIN(CHAR(10),TRUE,FILTER('Chi tiết từng link'!$B$2:$B$2505,'Chi tiết từng link'!$D$2:$D$2505=A969)))"),"")</f>
        <v/>
      </c>
      <c r="D969" s="5" t="str">
        <f t="shared" si="1"/>
        <v/>
      </c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25"/>
      <c r="C970" s="5" t="str">
        <f>IFERROR(__xludf.DUMMYFUNCTION("IF(A970="""","""",TEXTJOIN(CHAR(10),TRUE,FILTER('Chi tiết từng link'!$B$2:$B$2505,'Chi tiết từng link'!$D$2:$D$2505=A970)))"),"")</f>
        <v/>
      </c>
      <c r="D970" s="5" t="str">
        <f t="shared" si="1"/>
        <v/>
      </c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25"/>
      <c r="C971" s="5" t="str">
        <f>IFERROR(__xludf.DUMMYFUNCTION("IF(A971="""","""",TEXTJOIN(CHAR(10),TRUE,FILTER('Chi tiết từng link'!$B$2:$B$2505,'Chi tiết từng link'!$D$2:$D$2505=A971)))"),"")</f>
        <v/>
      </c>
      <c r="D971" s="5" t="str">
        <f t="shared" si="1"/>
        <v/>
      </c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25"/>
      <c r="C972" s="5" t="str">
        <f>IFERROR(__xludf.DUMMYFUNCTION("IF(A972="""","""",TEXTJOIN(CHAR(10),TRUE,FILTER('Chi tiết từng link'!$B$2:$B$2505,'Chi tiết từng link'!$D$2:$D$2505=A972)))"),"")</f>
        <v/>
      </c>
      <c r="D972" s="5" t="str">
        <f t="shared" si="1"/>
        <v/>
      </c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25"/>
      <c r="C973" s="5" t="str">
        <f>IFERROR(__xludf.DUMMYFUNCTION("IF(A973="""","""",TEXTJOIN(CHAR(10),TRUE,FILTER('Chi tiết từng link'!$B$2:$B$2505,'Chi tiết từng link'!$D$2:$D$2505=A973)))"),"")</f>
        <v/>
      </c>
      <c r="D973" s="5" t="str">
        <f t="shared" si="1"/>
        <v/>
      </c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25"/>
      <c r="C974" s="5" t="str">
        <f>IFERROR(__xludf.DUMMYFUNCTION("IF(A974="""","""",TEXTJOIN(CHAR(10),TRUE,FILTER('Chi tiết từng link'!$B$2:$B$2505,'Chi tiết từng link'!$D$2:$D$2505=A974)))"),"")</f>
        <v/>
      </c>
      <c r="D974" s="5" t="str">
        <f t="shared" si="1"/>
        <v/>
      </c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25"/>
      <c r="C975" s="5" t="str">
        <f>IFERROR(__xludf.DUMMYFUNCTION("IF(A975="""","""",TEXTJOIN(CHAR(10),TRUE,FILTER('Chi tiết từng link'!$B$2:$B$2505,'Chi tiết từng link'!$D$2:$D$2505=A975)))"),"")</f>
        <v/>
      </c>
      <c r="D975" s="5" t="str">
        <f t="shared" si="1"/>
        <v/>
      </c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25"/>
      <c r="C976" s="5" t="str">
        <f>IFERROR(__xludf.DUMMYFUNCTION("IF(A976="""","""",TEXTJOIN(CHAR(10),TRUE,FILTER('Chi tiết từng link'!$B$2:$B$2505,'Chi tiết từng link'!$D$2:$D$2505=A976)))"),"")</f>
        <v/>
      </c>
      <c r="D976" s="5" t="str">
        <f t="shared" si="1"/>
        <v/>
      </c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25"/>
      <c r="C977" s="5" t="str">
        <f>IFERROR(__xludf.DUMMYFUNCTION("IF(A977="""","""",TEXTJOIN(CHAR(10),TRUE,FILTER('Chi tiết từng link'!$B$2:$B$2505,'Chi tiết từng link'!$D$2:$D$2505=A977)))"),"")</f>
        <v/>
      </c>
      <c r="D977" s="5" t="str">
        <f t="shared" si="1"/>
        <v/>
      </c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25"/>
      <c r="C978" s="5" t="str">
        <f>IFERROR(__xludf.DUMMYFUNCTION("IF(A978="""","""",TEXTJOIN(CHAR(10),TRUE,FILTER('Chi tiết từng link'!$B$2:$B$2505,'Chi tiết từng link'!$D$2:$D$2505=A978)))"),"")</f>
        <v/>
      </c>
      <c r="D978" s="5" t="str">
        <f t="shared" si="1"/>
        <v/>
      </c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25"/>
      <c r="C979" s="5" t="str">
        <f>IFERROR(__xludf.DUMMYFUNCTION("IF(A979="""","""",TEXTJOIN(CHAR(10),TRUE,FILTER('Chi tiết từng link'!$B$2:$B$2505,'Chi tiết từng link'!$D$2:$D$2505=A979)))"),"")</f>
        <v/>
      </c>
      <c r="D979" s="5" t="str">
        <f t="shared" si="1"/>
        <v/>
      </c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25"/>
      <c r="C980" s="5" t="str">
        <f>IFERROR(__xludf.DUMMYFUNCTION("IF(A980="""","""",TEXTJOIN(CHAR(10),TRUE,FILTER('Chi tiết từng link'!$B$2:$B$2505,'Chi tiết từng link'!$D$2:$D$2505=A980)))"),"")</f>
        <v/>
      </c>
      <c r="D980" s="5" t="str">
        <f t="shared" si="1"/>
        <v/>
      </c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25"/>
      <c r="C981" s="5" t="str">
        <f>IFERROR(__xludf.DUMMYFUNCTION("IF(A981="""","""",TEXTJOIN(CHAR(10),TRUE,FILTER('Chi tiết từng link'!$B$2:$B$2505,'Chi tiết từng link'!$D$2:$D$2505=A981)))"),"")</f>
        <v/>
      </c>
      <c r="D981" s="5" t="str">
        <f t="shared" si="1"/>
        <v/>
      </c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25"/>
      <c r="C982" s="5" t="str">
        <f>IFERROR(__xludf.DUMMYFUNCTION("IF(A982="""","""",TEXTJOIN(CHAR(10),TRUE,FILTER('Chi tiết từng link'!$B$2:$B$2505,'Chi tiết từng link'!$D$2:$D$2505=A982)))"),"")</f>
        <v/>
      </c>
      <c r="D982" s="5" t="str">
        <f t="shared" si="1"/>
        <v/>
      </c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25"/>
      <c r="C983" s="5" t="str">
        <f>IFERROR(__xludf.DUMMYFUNCTION("IF(A983="""","""",TEXTJOIN(CHAR(10),TRUE,FILTER('Chi tiết từng link'!$B$2:$B$2505,'Chi tiết từng link'!$D$2:$D$2505=A983)))"),"")</f>
        <v/>
      </c>
      <c r="D983" s="5" t="str">
        <f t="shared" si="1"/>
        <v/>
      </c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25"/>
      <c r="C984" s="5" t="str">
        <f>IFERROR(__xludf.DUMMYFUNCTION("IF(A984="""","""",TEXTJOIN(CHAR(10),TRUE,FILTER('Chi tiết từng link'!$B$2:$B$2505,'Chi tiết từng link'!$D$2:$D$2505=A984)))"),"")</f>
        <v/>
      </c>
      <c r="D984" s="5" t="str">
        <f t="shared" si="1"/>
        <v/>
      </c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25"/>
      <c r="C985" s="5" t="str">
        <f>IFERROR(__xludf.DUMMYFUNCTION("IF(A985="""","""",TEXTJOIN(CHAR(10),TRUE,FILTER('Chi tiết từng link'!$B$2:$B$2505,'Chi tiết từng link'!$D$2:$D$2505=A985)))"),"")</f>
        <v/>
      </c>
      <c r="D985" s="5" t="str">
        <f t="shared" si="1"/>
        <v/>
      </c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25"/>
      <c r="C986" s="5" t="str">
        <f>IFERROR(__xludf.DUMMYFUNCTION("IF(A986="""","""",TEXTJOIN(CHAR(10),TRUE,FILTER('Chi tiết từng link'!$B$2:$B$2505,'Chi tiết từng link'!$D$2:$D$2505=A986)))"),"")</f>
        <v/>
      </c>
      <c r="D986" s="5" t="str">
        <f t="shared" si="1"/>
        <v/>
      </c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25"/>
      <c r="C987" s="5" t="str">
        <f>IFERROR(__xludf.DUMMYFUNCTION("IF(A987="""","""",TEXTJOIN(CHAR(10),TRUE,FILTER('Chi tiết từng link'!$B$2:$B$2505,'Chi tiết từng link'!$D$2:$D$2505=A987)))"),"")</f>
        <v/>
      </c>
      <c r="D987" s="5" t="str">
        <f t="shared" si="1"/>
        <v/>
      </c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25"/>
      <c r="C988" s="5" t="str">
        <f>IFERROR(__xludf.DUMMYFUNCTION("IF(A988="""","""",TEXTJOIN(CHAR(10),TRUE,FILTER('Chi tiết từng link'!$B$2:$B$2505,'Chi tiết từng link'!$D$2:$D$2505=A988)))"),"")</f>
        <v/>
      </c>
      <c r="D988" s="5" t="str">
        <f t="shared" si="1"/>
        <v/>
      </c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25"/>
      <c r="C989" s="5" t="str">
        <f>IFERROR(__xludf.DUMMYFUNCTION("IF(A989="""","""",TEXTJOIN(CHAR(10),TRUE,FILTER('Chi tiết từng link'!$B$2:$B$2505,'Chi tiết từng link'!$D$2:$D$2505=A989)))"),"")</f>
        <v/>
      </c>
      <c r="D989" s="5" t="str">
        <f t="shared" si="1"/>
        <v/>
      </c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25"/>
      <c r="C990" s="5" t="str">
        <f>IFERROR(__xludf.DUMMYFUNCTION("IF(A990="""","""",TEXTJOIN(CHAR(10),TRUE,FILTER('Chi tiết từng link'!$B$2:$B$2505,'Chi tiết từng link'!$D$2:$D$2505=A990)))"),"")</f>
        <v/>
      </c>
      <c r="D990" s="5" t="str">
        <f t="shared" si="1"/>
        <v/>
      </c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25"/>
      <c r="C991" s="5" t="str">
        <f>IFERROR(__xludf.DUMMYFUNCTION("IF(A991="""","""",TEXTJOIN(CHAR(10),TRUE,FILTER('Chi tiết từng link'!$B$2:$B$2505,'Chi tiết từng link'!$D$2:$D$2505=A991)))"),"")</f>
        <v/>
      </c>
      <c r="D991" s="5" t="str">
        <f t="shared" si="1"/>
        <v/>
      </c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25"/>
      <c r="C992" s="5" t="str">
        <f>IFERROR(__xludf.DUMMYFUNCTION("IF(A992="""","""",TEXTJOIN(CHAR(10),TRUE,FILTER('Chi tiết từng link'!$B$2:$B$2505,'Chi tiết từng link'!$D$2:$D$2505=A992)))"),"")</f>
        <v/>
      </c>
      <c r="D992" s="5" t="str">
        <f t="shared" si="1"/>
        <v/>
      </c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25"/>
      <c r="C993" s="5" t="str">
        <f>IFERROR(__xludf.DUMMYFUNCTION("IF(A993="""","""",TEXTJOIN(CHAR(10),TRUE,FILTER('Chi tiết từng link'!$B$2:$B$2505,'Chi tiết từng link'!$D$2:$D$2505=A993)))"),"")</f>
        <v/>
      </c>
      <c r="D993" s="5" t="str">
        <f t="shared" si="1"/>
        <v/>
      </c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25"/>
      <c r="C994" s="5" t="str">
        <f>IFERROR(__xludf.DUMMYFUNCTION("IF(A994="""","""",TEXTJOIN(CHAR(10),TRUE,FILTER('Chi tiết từng link'!$B$2:$B$2505,'Chi tiết từng link'!$D$2:$D$2505=A994)))"),"")</f>
        <v/>
      </c>
      <c r="D994" s="5" t="str">
        <f t="shared" si="1"/>
        <v/>
      </c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25"/>
      <c r="C995" s="5" t="str">
        <f>IFERROR(__xludf.DUMMYFUNCTION("IF(A995="""","""",TEXTJOIN(CHAR(10),TRUE,FILTER('Chi tiết từng link'!$B$2:$B$2505,'Chi tiết từng link'!$D$2:$D$2505=A995)))"),"")</f>
        <v/>
      </c>
      <c r="D995" s="5" t="str">
        <f t="shared" si="1"/>
        <v/>
      </c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25"/>
      <c r="C996" s="5" t="str">
        <f>IFERROR(__xludf.DUMMYFUNCTION("IF(A996="""","""",TEXTJOIN(CHAR(10),TRUE,FILTER('Chi tiết từng link'!$B$2:$B$2505,'Chi tiết từng link'!$D$2:$D$2505=A996)))"),"")</f>
        <v/>
      </c>
      <c r="D996" s="5" t="str">
        <f t="shared" si="1"/>
        <v/>
      </c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25"/>
      <c r="C997" s="5" t="str">
        <f>IFERROR(__xludf.DUMMYFUNCTION("IF(A997="""","""",TEXTJOIN(CHAR(10),TRUE,FILTER('Chi tiết từng link'!$B$2:$B$2505,'Chi tiết từng link'!$D$2:$D$2505=A997)))"),"")</f>
        <v/>
      </c>
      <c r="D997" s="5" t="str">
        <f t="shared" si="1"/>
        <v/>
      </c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25"/>
      <c r="C998" s="5" t="str">
        <f>IFERROR(__xludf.DUMMYFUNCTION("IF(A998="""","""",TEXTJOIN(CHAR(10),TRUE,FILTER('Chi tiết từng link'!$B$2:$B$2505,'Chi tiết từng link'!$D$2:$D$2505=A998)))"),"")</f>
        <v/>
      </c>
      <c r="D998" s="5" t="str">
        <f t="shared" si="1"/>
        <v/>
      </c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25"/>
      <c r="C999" s="5" t="str">
        <f>IFERROR(__xludf.DUMMYFUNCTION("IF(A999="""","""",TEXTJOIN(CHAR(10),TRUE,FILTER('Chi tiết từng link'!$B$2:$B$2505,'Chi tiết từng link'!$D$2:$D$2505=A999)))"),"")</f>
        <v/>
      </c>
      <c r="D999" s="5" t="str">
        <f t="shared" si="1"/>
        <v/>
      </c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25"/>
      <c r="C1000" s="5" t="str">
        <f>IFERROR(__xludf.DUMMYFUNCTION("IF(A1000="""","""",TEXTJOIN(CHAR(10),TRUE,FILTER('Chi tiết từng link'!$B$2:$B$2505,'Chi tiết từng link'!$D$2:$D$2505=A1000)))"),"")</f>
        <v/>
      </c>
      <c r="D1000" s="5" t="str">
        <f t="shared" si="1"/>
        <v/>
      </c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autoFilter ref="$A$1:$D$1000"/>
  <conditionalFormatting sqref="D2:D1000">
    <cfRule type="cellIs" dxfId="3" priority="1" stopIfTrue="1" operator="equal">
      <formula>"Vượt giới hạn 3"</formula>
    </cfRule>
  </conditionalFormatting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  <hyperlink r:id="rId251" ref="A253"/>
    <hyperlink r:id="rId252" ref="A254"/>
    <hyperlink r:id="rId253" ref="A255"/>
    <hyperlink r:id="rId254" ref="A256"/>
    <hyperlink r:id="rId255" ref="A257"/>
    <hyperlink r:id="rId256" ref="A258"/>
    <hyperlink r:id="rId257" ref="A259"/>
    <hyperlink r:id="rId258" ref="A260"/>
    <hyperlink r:id="rId259" ref="A261"/>
    <hyperlink r:id="rId260" ref="A262"/>
    <hyperlink r:id="rId261" ref="A263"/>
    <hyperlink r:id="rId262" ref="A264"/>
    <hyperlink r:id="rId263" ref="A265"/>
    <hyperlink r:id="rId264" ref="A266"/>
    <hyperlink r:id="rId265" ref="A267"/>
    <hyperlink r:id="rId266" ref="A268"/>
    <hyperlink r:id="rId267" ref="A269"/>
    <hyperlink r:id="rId268" ref="A270"/>
    <hyperlink r:id="rId269" ref="A271"/>
    <hyperlink r:id="rId270" ref="A272"/>
    <hyperlink r:id="rId271" ref="A273"/>
    <hyperlink r:id="rId272" ref="A274"/>
    <hyperlink r:id="rId273" ref="A275"/>
    <hyperlink r:id="rId274" ref="A276"/>
    <hyperlink r:id="rId275" ref="A277"/>
    <hyperlink r:id="rId276" ref="A278"/>
    <hyperlink r:id="rId277" ref="A279"/>
    <hyperlink r:id="rId278" ref="A280"/>
    <hyperlink r:id="rId279" ref="A281"/>
    <hyperlink r:id="rId280" ref="A282"/>
    <hyperlink r:id="rId281" ref="A283"/>
    <hyperlink r:id="rId282" ref="A284"/>
    <hyperlink r:id="rId283" ref="A285"/>
    <hyperlink r:id="rId284" ref="A286"/>
    <hyperlink r:id="rId285" ref="A287"/>
    <hyperlink r:id="rId286" ref="A288"/>
    <hyperlink r:id="rId287" ref="A289"/>
    <hyperlink r:id="rId288" ref="A290"/>
    <hyperlink r:id="rId289" ref="A291"/>
    <hyperlink r:id="rId290" ref="A292"/>
    <hyperlink r:id="rId291" ref="A293"/>
    <hyperlink r:id="rId292" ref="A294"/>
    <hyperlink r:id="rId293" ref="A295"/>
    <hyperlink r:id="rId294" ref="A296"/>
    <hyperlink r:id="rId295" ref="A297"/>
    <hyperlink r:id="rId296" ref="A298"/>
    <hyperlink r:id="rId297" ref="A299"/>
    <hyperlink r:id="rId298" ref="A300"/>
    <hyperlink r:id="rId299" ref="A301"/>
    <hyperlink r:id="rId300" ref="A302"/>
    <hyperlink r:id="rId301" ref="A303"/>
    <hyperlink r:id="rId302" ref="A304"/>
    <hyperlink r:id="rId303" ref="A305"/>
    <hyperlink r:id="rId304" ref="A306"/>
    <hyperlink r:id="rId305" ref="A307"/>
    <hyperlink r:id="rId306" ref="A308"/>
    <hyperlink r:id="rId307" ref="A309"/>
    <hyperlink r:id="rId308" ref="A310"/>
    <hyperlink r:id="rId309" ref="A311"/>
    <hyperlink r:id="rId310" ref="A312"/>
    <hyperlink r:id="rId311" ref="A313"/>
    <hyperlink r:id="rId312" ref="A314"/>
    <hyperlink r:id="rId313" ref="A315"/>
    <hyperlink r:id="rId314" ref="A316"/>
    <hyperlink r:id="rId315" ref="A317"/>
    <hyperlink r:id="rId316" ref="A318"/>
    <hyperlink r:id="rId317" ref="A319"/>
    <hyperlink r:id="rId318" ref="A320"/>
    <hyperlink r:id="rId319" ref="A321"/>
    <hyperlink r:id="rId320" ref="A322"/>
    <hyperlink r:id="rId321" ref="A323"/>
    <hyperlink r:id="rId322" ref="A324"/>
    <hyperlink r:id="rId323" ref="A325"/>
    <hyperlink r:id="rId324" ref="A326"/>
    <hyperlink r:id="rId325" ref="A327"/>
    <hyperlink r:id="rId326" ref="A328"/>
    <hyperlink r:id="rId327" ref="A329"/>
    <hyperlink r:id="rId328" ref="A330"/>
    <hyperlink r:id="rId329" ref="A331"/>
    <hyperlink r:id="rId330" ref="A332"/>
    <hyperlink r:id="rId331" ref="A333"/>
    <hyperlink r:id="rId332" ref="A334"/>
    <hyperlink r:id="rId333" ref="A335"/>
    <hyperlink r:id="rId334" ref="A336"/>
    <hyperlink r:id="rId335" ref="A337"/>
    <hyperlink r:id="rId336" ref="A338"/>
    <hyperlink r:id="rId337" ref="A339"/>
    <hyperlink r:id="rId338" ref="A340"/>
    <hyperlink r:id="rId339" ref="A341"/>
    <hyperlink r:id="rId340" ref="A342"/>
    <hyperlink r:id="rId341" ref="A343"/>
    <hyperlink r:id="rId342" ref="A344"/>
    <hyperlink r:id="rId343" ref="A345"/>
    <hyperlink r:id="rId344" ref="A346"/>
    <hyperlink r:id="rId345" ref="A347"/>
    <hyperlink r:id="rId346" ref="A348"/>
    <hyperlink r:id="rId347" ref="A349"/>
    <hyperlink r:id="rId348" ref="A350"/>
    <hyperlink r:id="rId349" ref="A351"/>
    <hyperlink r:id="rId350" ref="A352"/>
    <hyperlink r:id="rId351" ref="A353"/>
    <hyperlink r:id="rId352" ref="A354"/>
    <hyperlink r:id="rId353" ref="A355"/>
    <hyperlink r:id="rId354" ref="A356"/>
    <hyperlink r:id="rId355" ref="A357"/>
    <hyperlink r:id="rId356" ref="A358"/>
    <hyperlink r:id="rId357" ref="A359"/>
    <hyperlink r:id="rId358" ref="A360"/>
    <hyperlink r:id="rId359" ref="A361"/>
    <hyperlink r:id="rId360" ref="A362"/>
    <hyperlink r:id="rId361" ref="A363"/>
    <hyperlink r:id="rId362" ref="A364"/>
    <hyperlink r:id="rId363" ref="A365"/>
    <hyperlink r:id="rId364" ref="A366"/>
    <hyperlink r:id="rId365" ref="A367"/>
    <hyperlink r:id="rId366" ref="A368"/>
    <hyperlink r:id="rId367" ref="A369"/>
    <hyperlink r:id="rId368" ref="A370"/>
    <hyperlink r:id="rId369" ref="A371"/>
    <hyperlink r:id="rId370" ref="A372"/>
    <hyperlink r:id="rId371" ref="A373"/>
    <hyperlink r:id="rId372" ref="A374"/>
    <hyperlink r:id="rId373" ref="A375"/>
    <hyperlink r:id="rId374" ref="A376"/>
    <hyperlink r:id="rId375" ref="A377"/>
    <hyperlink r:id="rId376" ref="A378"/>
    <hyperlink r:id="rId377" ref="A379"/>
    <hyperlink r:id="rId378" ref="A380"/>
    <hyperlink r:id="rId379" ref="A381"/>
    <hyperlink r:id="rId380" ref="A382"/>
    <hyperlink r:id="rId381" ref="A383"/>
    <hyperlink r:id="rId382" ref="A384"/>
    <hyperlink r:id="rId383" ref="A385"/>
    <hyperlink r:id="rId384" ref="A386"/>
    <hyperlink r:id="rId385" ref="A387"/>
    <hyperlink r:id="rId386" ref="A388"/>
    <hyperlink r:id="rId387" ref="A389"/>
    <hyperlink r:id="rId388" ref="A390"/>
    <hyperlink r:id="rId389" ref="A391"/>
    <hyperlink r:id="rId390" ref="A392"/>
    <hyperlink r:id="rId391" ref="A393"/>
    <hyperlink r:id="rId392" ref="A394"/>
    <hyperlink r:id="rId393" ref="A395"/>
    <hyperlink r:id="rId394" ref="A396"/>
    <hyperlink r:id="rId395" ref="A397"/>
    <hyperlink r:id="rId396" ref="A398"/>
    <hyperlink r:id="rId397" ref="A399"/>
    <hyperlink r:id="rId398" ref="A400"/>
    <hyperlink r:id="rId399" ref="A401"/>
    <hyperlink r:id="rId400" ref="A402"/>
    <hyperlink r:id="rId401" ref="A403"/>
    <hyperlink r:id="rId402" ref="A404"/>
    <hyperlink r:id="rId403" ref="A405"/>
    <hyperlink r:id="rId404" ref="A406"/>
    <hyperlink r:id="rId405" ref="A407"/>
    <hyperlink r:id="rId406" ref="A408"/>
    <hyperlink r:id="rId407" ref="A409"/>
    <hyperlink r:id="rId408" ref="A410"/>
    <hyperlink r:id="rId409" ref="A411"/>
    <hyperlink r:id="rId410" ref="A412"/>
    <hyperlink r:id="rId411" ref="A413"/>
    <hyperlink r:id="rId412" ref="A414"/>
    <hyperlink r:id="rId413" ref="A415"/>
    <hyperlink r:id="rId414" ref="A416"/>
    <hyperlink r:id="rId415" ref="A417"/>
    <hyperlink r:id="rId416" ref="A418"/>
    <hyperlink r:id="rId417" ref="A419"/>
    <hyperlink r:id="rId418" ref="A420"/>
    <hyperlink r:id="rId419" ref="A421"/>
    <hyperlink r:id="rId420" ref="A422"/>
    <hyperlink r:id="rId421" ref="A423"/>
    <hyperlink r:id="rId422" ref="A424"/>
    <hyperlink r:id="rId423" ref="A425"/>
    <hyperlink r:id="rId424" ref="A426"/>
    <hyperlink r:id="rId425" ref="A427"/>
    <hyperlink r:id="rId426" ref="A428"/>
    <hyperlink r:id="rId427" ref="A429"/>
    <hyperlink r:id="rId428" ref="A430"/>
    <hyperlink r:id="rId429" ref="A431"/>
    <hyperlink r:id="rId430" ref="A432"/>
    <hyperlink r:id="rId431" ref="A433"/>
    <hyperlink r:id="rId432" ref="A434"/>
    <hyperlink r:id="rId433" ref="A435"/>
    <hyperlink r:id="rId434" ref="A436"/>
    <hyperlink r:id="rId435" ref="A437"/>
    <hyperlink r:id="rId436" ref="A438"/>
    <hyperlink r:id="rId437" ref="A439"/>
    <hyperlink r:id="rId438" ref="A440"/>
    <hyperlink r:id="rId439" ref="A441"/>
    <hyperlink r:id="rId440" ref="A442"/>
    <hyperlink r:id="rId441" ref="A443"/>
    <hyperlink r:id="rId442" ref="A444"/>
    <hyperlink r:id="rId443" ref="A445"/>
    <hyperlink r:id="rId444" ref="A446"/>
    <hyperlink r:id="rId445" ref="A447"/>
    <hyperlink r:id="rId446" ref="A448"/>
    <hyperlink r:id="rId447" ref="A449"/>
    <hyperlink r:id="rId448" ref="A450"/>
    <hyperlink r:id="rId449" ref="A451"/>
    <hyperlink r:id="rId450" ref="A452"/>
    <hyperlink r:id="rId451" ref="A453"/>
    <hyperlink r:id="rId452" ref="A454"/>
    <hyperlink r:id="rId453" ref="A455"/>
    <hyperlink r:id="rId454" ref="A456"/>
    <hyperlink r:id="rId455" ref="A457"/>
    <hyperlink r:id="rId456" ref="A458"/>
    <hyperlink r:id="rId457" ref="A459"/>
    <hyperlink r:id="rId458" ref="A460"/>
    <hyperlink r:id="rId459" ref="A461"/>
    <hyperlink r:id="rId460" ref="A462"/>
    <hyperlink r:id="rId461" ref="A463"/>
    <hyperlink r:id="rId462" ref="A464"/>
    <hyperlink r:id="rId463" ref="A465"/>
    <hyperlink r:id="rId464" ref="A466"/>
    <hyperlink r:id="rId465" ref="A467"/>
    <hyperlink r:id="rId466" ref="A468"/>
    <hyperlink r:id="rId467" ref="A469"/>
    <hyperlink r:id="rId468" ref="A470"/>
    <hyperlink r:id="rId469" ref="A471"/>
    <hyperlink r:id="rId470" ref="A472"/>
    <hyperlink r:id="rId471" ref="A473"/>
    <hyperlink r:id="rId472" ref="A474"/>
    <hyperlink r:id="rId473" ref="A475"/>
    <hyperlink r:id="rId474" ref="A476"/>
    <hyperlink r:id="rId475" ref="A477"/>
    <hyperlink r:id="rId476" ref="A478"/>
    <hyperlink r:id="rId477" ref="A479"/>
    <hyperlink r:id="rId478" ref="A480"/>
    <hyperlink r:id="rId479" ref="A481"/>
    <hyperlink r:id="rId480" ref="A482"/>
    <hyperlink r:id="rId481" ref="A483"/>
    <hyperlink r:id="rId482" ref="A484"/>
    <hyperlink r:id="rId483" ref="A485"/>
    <hyperlink r:id="rId484" ref="A486"/>
    <hyperlink r:id="rId485" ref="A487"/>
    <hyperlink r:id="rId486" ref="A488"/>
    <hyperlink r:id="rId487" ref="A489"/>
    <hyperlink r:id="rId488" ref="A490"/>
    <hyperlink r:id="rId489" ref="A491"/>
    <hyperlink r:id="rId490" ref="A492"/>
    <hyperlink r:id="rId491" ref="A493"/>
    <hyperlink r:id="rId492" ref="A494"/>
    <hyperlink r:id="rId493" ref="A495"/>
    <hyperlink r:id="rId494" ref="A496"/>
    <hyperlink r:id="rId495" ref="A497"/>
    <hyperlink r:id="rId496" ref="A498"/>
    <hyperlink r:id="rId497" ref="A499"/>
    <hyperlink r:id="rId498" ref="A500"/>
    <hyperlink r:id="rId499" ref="A501"/>
    <hyperlink r:id="rId500" ref="A502"/>
    <hyperlink r:id="rId501" ref="A503"/>
    <hyperlink r:id="rId502" ref="A504"/>
    <hyperlink r:id="rId503" ref="A505"/>
    <hyperlink r:id="rId504" ref="A506"/>
    <hyperlink r:id="rId505" ref="A507"/>
    <hyperlink r:id="rId506" ref="A508"/>
    <hyperlink r:id="rId507" ref="A509"/>
    <hyperlink r:id="rId508" ref="A510"/>
    <hyperlink r:id="rId509" ref="A511"/>
    <hyperlink r:id="rId510" ref="A512"/>
    <hyperlink r:id="rId511" ref="A513"/>
    <hyperlink r:id="rId512" ref="A514"/>
    <hyperlink r:id="rId513" ref="A515"/>
    <hyperlink r:id="rId514" ref="A516"/>
    <hyperlink r:id="rId515" ref="A517"/>
    <hyperlink r:id="rId516" ref="A518"/>
    <hyperlink r:id="rId517" ref="A519"/>
    <hyperlink r:id="rId518" ref="A520"/>
    <hyperlink r:id="rId519" ref="A521"/>
    <hyperlink r:id="rId520" ref="A522"/>
    <hyperlink r:id="rId521" ref="A523"/>
    <hyperlink r:id="rId522" ref="A524"/>
    <hyperlink r:id="rId523" ref="A525"/>
    <hyperlink r:id="rId524" ref="A526"/>
    <hyperlink r:id="rId525" ref="A527"/>
    <hyperlink r:id="rId526" ref="A528"/>
    <hyperlink r:id="rId527" ref="A529"/>
    <hyperlink r:id="rId528" ref="A530"/>
    <hyperlink r:id="rId529" ref="A531"/>
    <hyperlink r:id="rId530" ref="A532"/>
    <hyperlink r:id="rId531" ref="A533"/>
    <hyperlink r:id="rId532" ref="A534"/>
    <hyperlink r:id="rId533" ref="A535"/>
    <hyperlink r:id="rId534" ref="A536"/>
    <hyperlink r:id="rId535" ref="A537"/>
    <hyperlink r:id="rId536" ref="A538"/>
    <hyperlink r:id="rId537" ref="A539"/>
    <hyperlink r:id="rId538" ref="A540"/>
    <hyperlink r:id="rId539" ref="A541"/>
    <hyperlink r:id="rId540" ref="A542"/>
    <hyperlink r:id="rId541" ref="A543"/>
    <hyperlink r:id="rId542" ref="A544"/>
    <hyperlink r:id="rId543" ref="A545"/>
    <hyperlink r:id="rId544" ref="A546"/>
    <hyperlink r:id="rId545" ref="A547"/>
    <hyperlink r:id="rId546" ref="A548"/>
    <hyperlink r:id="rId547" ref="A549"/>
    <hyperlink r:id="rId548" ref="A550"/>
    <hyperlink r:id="rId549" ref="A551"/>
    <hyperlink r:id="rId550" ref="A552"/>
    <hyperlink r:id="rId551" ref="A553"/>
    <hyperlink r:id="rId552" ref="A554"/>
    <hyperlink r:id="rId553" ref="A555"/>
    <hyperlink r:id="rId554" ref="A556"/>
    <hyperlink r:id="rId555" ref="A557"/>
    <hyperlink r:id="rId556" ref="A558"/>
    <hyperlink r:id="rId557" ref="A559"/>
    <hyperlink r:id="rId558" ref="A560"/>
    <hyperlink r:id="rId559" ref="A561"/>
    <hyperlink r:id="rId560" ref="A562"/>
    <hyperlink r:id="rId561" ref="A563"/>
    <hyperlink r:id="rId562" ref="A564"/>
    <hyperlink r:id="rId563" ref="A565"/>
    <hyperlink r:id="rId564" ref="A566"/>
    <hyperlink r:id="rId565" ref="A567"/>
    <hyperlink r:id="rId566" ref="A568"/>
    <hyperlink r:id="rId567" ref="A569"/>
    <hyperlink r:id="rId568" ref="A570"/>
    <hyperlink r:id="rId569" ref="A571"/>
    <hyperlink r:id="rId570" ref="A572"/>
    <hyperlink r:id="rId571" ref="A573"/>
    <hyperlink r:id="rId572" ref="A574"/>
    <hyperlink r:id="rId573" ref="A575"/>
    <hyperlink r:id="rId574" ref="A576"/>
    <hyperlink r:id="rId575" ref="A577"/>
    <hyperlink r:id="rId576" ref="A578"/>
    <hyperlink r:id="rId577" ref="A579"/>
    <hyperlink r:id="rId578" ref="A580"/>
    <hyperlink r:id="rId579" ref="A581"/>
    <hyperlink r:id="rId580" ref="A582"/>
    <hyperlink r:id="rId581" ref="A583"/>
    <hyperlink r:id="rId582" ref="A584"/>
    <hyperlink r:id="rId583" ref="A585"/>
    <hyperlink r:id="rId584" ref="A586"/>
    <hyperlink r:id="rId585" ref="A587"/>
    <hyperlink r:id="rId586" ref="A588"/>
    <hyperlink r:id="rId587" ref="A589"/>
    <hyperlink r:id="rId588" ref="A590"/>
    <hyperlink r:id="rId589" ref="A591"/>
    <hyperlink r:id="rId590" ref="A592"/>
    <hyperlink r:id="rId591" ref="A593"/>
    <hyperlink r:id="rId592" ref="A594"/>
    <hyperlink r:id="rId593" ref="A595"/>
    <hyperlink r:id="rId594" ref="A596"/>
    <hyperlink r:id="rId595" ref="A597"/>
    <hyperlink r:id="rId596" ref="A598"/>
    <hyperlink r:id="rId597" ref="A599"/>
    <hyperlink r:id="rId598" ref="A600"/>
    <hyperlink r:id="rId599" ref="A601"/>
    <hyperlink r:id="rId600" ref="A602"/>
    <hyperlink r:id="rId601" ref="A603"/>
    <hyperlink r:id="rId602" ref="A604"/>
    <hyperlink r:id="rId603" ref="A605"/>
    <hyperlink r:id="rId604" ref="A606"/>
    <hyperlink r:id="rId605" ref="A607"/>
    <hyperlink r:id="rId606" ref="A608"/>
    <hyperlink r:id="rId607" ref="A609"/>
    <hyperlink r:id="rId608" ref="A610"/>
    <hyperlink r:id="rId609" ref="A611"/>
    <hyperlink r:id="rId610" ref="A612"/>
    <hyperlink r:id="rId611" ref="A613"/>
    <hyperlink r:id="rId612" ref="A614"/>
    <hyperlink r:id="rId613" ref="A615"/>
    <hyperlink r:id="rId614" ref="A616"/>
    <hyperlink r:id="rId615" ref="A617"/>
    <hyperlink r:id="rId616" ref="A618"/>
    <hyperlink r:id="rId617" ref="A619"/>
    <hyperlink r:id="rId618" ref="A620"/>
    <hyperlink r:id="rId619" ref="A621"/>
    <hyperlink r:id="rId620" ref="A622"/>
    <hyperlink r:id="rId621" ref="A623"/>
    <hyperlink r:id="rId622" ref="A624"/>
    <hyperlink r:id="rId623" ref="A625"/>
    <hyperlink r:id="rId624" ref="A626"/>
    <hyperlink r:id="rId625" ref="A627"/>
    <hyperlink r:id="rId626" ref="A628"/>
    <hyperlink r:id="rId627" ref="A629"/>
    <hyperlink r:id="rId628" ref="A630"/>
    <hyperlink r:id="rId629" ref="A631"/>
    <hyperlink r:id="rId630" ref="A632"/>
    <hyperlink r:id="rId631" ref="A633"/>
    <hyperlink r:id="rId632" ref="A634"/>
    <hyperlink r:id="rId633" ref="A635"/>
    <hyperlink r:id="rId634" ref="A636"/>
    <hyperlink r:id="rId635" ref="A637"/>
    <hyperlink r:id="rId636" ref="A638"/>
    <hyperlink r:id="rId637" ref="A639"/>
    <hyperlink r:id="rId638" ref="A640"/>
    <hyperlink r:id="rId639" ref="A641"/>
    <hyperlink r:id="rId640" ref="A642"/>
    <hyperlink r:id="rId641" ref="A643"/>
    <hyperlink r:id="rId642" ref="A644"/>
    <hyperlink r:id="rId643" ref="A645"/>
    <hyperlink r:id="rId644" ref="A646"/>
    <hyperlink r:id="rId645" ref="A647"/>
    <hyperlink r:id="rId646" ref="A648"/>
    <hyperlink r:id="rId647" ref="A649"/>
    <hyperlink r:id="rId648" ref="A650"/>
    <hyperlink r:id="rId649" ref="A651"/>
    <hyperlink r:id="rId650" ref="A652"/>
    <hyperlink r:id="rId651" ref="A653"/>
    <hyperlink r:id="rId652" ref="A654"/>
    <hyperlink r:id="rId653" ref="A655"/>
    <hyperlink r:id="rId654" ref="A656"/>
    <hyperlink r:id="rId655" ref="A657"/>
    <hyperlink r:id="rId656" ref="A658"/>
    <hyperlink r:id="rId657" ref="A659"/>
    <hyperlink r:id="rId658" ref="A660"/>
    <hyperlink r:id="rId659" ref="A661"/>
    <hyperlink r:id="rId660" ref="A662"/>
    <hyperlink r:id="rId661" ref="A663"/>
    <hyperlink r:id="rId662" ref="A664"/>
    <hyperlink r:id="rId663" ref="A665"/>
    <hyperlink r:id="rId664" ref="A666"/>
    <hyperlink r:id="rId665" ref="A667"/>
    <hyperlink r:id="rId666" ref="A668"/>
    <hyperlink r:id="rId667" ref="A669"/>
    <hyperlink r:id="rId668" ref="A670"/>
    <hyperlink r:id="rId669" ref="A671"/>
    <hyperlink r:id="rId670" ref="A672"/>
    <hyperlink r:id="rId671" ref="A673"/>
    <hyperlink r:id="rId672" ref="A674"/>
    <hyperlink r:id="rId673" ref="A675"/>
    <hyperlink r:id="rId674" ref="A676"/>
    <hyperlink r:id="rId675" ref="A677"/>
    <hyperlink r:id="rId676" ref="A678"/>
    <hyperlink r:id="rId677" ref="A679"/>
    <hyperlink r:id="rId678" ref="A680"/>
    <hyperlink r:id="rId679" ref="A681"/>
    <hyperlink r:id="rId680" ref="A682"/>
    <hyperlink r:id="rId681" ref="A683"/>
    <hyperlink r:id="rId682" ref="A684"/>
    <hyperlink r:id="rId683" ref="A685"/>
    <hyperlink r:id="rId684" ref="A686"/>
    <hyperlink r:id="rId685" ref="A687"/>
    <hyperlink r:id="rId686" ref="A688"/>
    <hyperlink r:id="rId687" ref="A689"/>
    <hyperlink r:id="rId688" ref="A690"/>
    <hyperlink r:id="rId689" ref="A691"/>
    <hyperlink r:id="rId690" ref="A692"/>
    <hyperlink r:id="rId691" ref="A693"/>
    <hyperlink r:id="rId692" ref="A694"/>
    <hyperlink r:id="rId693" ref="A695"/>
    <hyperlink r:id="rId694" ref="A696"/>
    <hyperlink r:id="rId695" ref="A697"/>
    <hyperlink r:id="rId696" ref="A698"/>
    <hyperlink r:id="rId697" ref="A699"/>
    <hyperlink r:id="rId698" ref="A700"/>
    <hyperlink r:id="rId699" ref="A701"/>
    <hyperlink r:id="rId700" ref="A702"/>
    <hyperlink r:id="rId701" ref="A703"/>
    <hyperlink r:id="rId702" ref="A704"/>
    <hyperlink r:id="rId703" ref="A705"/>
    <hyperlink r:id="rId704" ref="A706"/>
    <hyperlink r:id="rId705" ref="A707"/>
    <hyperlink r:id="rId706" ref="A708"/>
    <hyperlink r:id="rId707" ref="A709"/>
    <hyperlink r:id="rId708" ref="A710"/>
    <hyperlink r:id="rId709" ref="A711"/>
    <hyperlink r:id="rId710" ref="A712"/>
    <hyperlink r:id="rId711" ref="A713"/>
    <hyperlink r:id="rId712" ref="A714"/>
    <hyperlink r:id="rId713" ref="A715"/>
    <hyperlink r:id="rId714" ref="A716"/>
    <hyperlink r:id="rId715" ref="A717"/>
    <hyperlink r:id="rId716" ref="A718"/>
    <hyperlink r:id="rId717" ref="A719"/>
    <hyperlink r:id="rId718" ref="A720"/>
    <hyperlink r:id="rId719" ref="A721"/>
    <hyperlink r:id="rId720" ref="A722"/>
    <hyperlink r:id="rId721" ref="A723"/>
    <hyperlink r:id="rId722" ref="A724"/>
    <hyperlink r:id="rId723" ref="A725"/>
    <hyperlink r:id="rId724" ref="A726"/>
    <hyperlink r:id="rId725" ref="A727"/>
    <hyperlink r:id="rId726" ref="A728"/>
    <hyperlink r:id="rId727" ref="A729"/>
    <hyperlink r:id="rId728" ref="A730"/>
    <hyperlink r:id="rId729" ref="A731"/>
    <hyperlink r:id="rId730" ref="A732"/>
    <hyperlink r:id="rId731" ref="A733"/>
    <hyperlink r:id="rId732" ref="A734"/>
    <hyperlink r:id="rId733" ref="A735"/>
    <hyperlink r:id="rId734" ref="A736"/>
    <hyperlink r:id="rId735" ref="A737"/>
    <hyperlink r:id="rId736" ref="A738"/>
    <hyperlink r:id="rId737" ref="A739"/>
    <hyperlink r:id="rId738" ref="A740"/>
    <hyperlink r:id="rId739" ref="A741"/>
    <hyperlink r:id="rId740" ref="A742"/>
    <hyperlink r:id="rId741" ref="A743"/>
    <hyperlink r:id="rId742" ref="A744"/>
    <hyperlink r:id="rId743" ref="A745"/>
    <hyperlink r:id="rId744" ref="A746"/>
    <hyperlink r:id="rId745" ref="A747"/>
    <hyperlink r:id="rId746" ref="A748"/>
    <hyperlink r:id="rId747" ref="A749"/>
    <hyperlink r:id="rId748" ref="A750"/>
    <hyperlink r:id="rId749" ref="A751"/>
    <hyperlink r:id="rId750" ref="A752"/>
    <hyperlink r:id="rId751" ref="A753"/>
  </hyperlinks>
  <drawing r:id="rId75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71.88"/>
    <col customWidth="1" min="3" max="3" width="16.38"/>
    <col customWidth="1" min="4" max="4" width="27.0"/>
    <col customWidth="1" min="5" max="5" width="35.5"/>
    <col customWidth="1" min="6" max="6" width="44.38"/>
  </cols>
  <sheetData>
    <row r="1">
      <c r="A1" s="31" t="s">
        <v>1</v>
      </c>
      <c r="B1" s="32" t="s">
        <v>444</v>
      </c>
      <c r="C1" s="31" t="s">
        <v>445</v>
      </c>
      <c r="D1" s="31" t="s">
        <v>446</v>
      </c>
      <c r="E1" s="32" t="s">
        <v>28</v>
      </c>
      <c r="F1" s="32" t="s">
        <v>448</v>
      </c>
    </row>
    <row r="2">
      <c r="A2" s="31">
        <v>1.0</v>
      </c>
      <c r="B2" s="33" t="s">
        <v>26</v>
      </c>
      <c r="C2" s="31">
        <v>0.0</v>
      </c>
      <c r="D2" s="31">
        <v>0.0</v>
      </c>
    </row>
    <row r="3">
      <c r="A3" s="31">
        <v>2.0</v>
      </c>
      <c r="B3" s="33" t="s">
        <v>56</v>
      </c>
      <c r="C3" s="31">
        <v>0.0</v>
      </c>
      <c r="D3" s="31">
        <v>0.0</v>
      </c>
    </row>
    <row r="4">
      <c r="A4" s="31">
        <v>3.0</v>
      </c>
      <c r="B4" s="33" t="s">
        <v>67</v>
      </c>
      <c r="C4" s="31">
        <v>0.0</v>
      </c>
      <c r="D4" s="31">
        <v>0.0</v>
      </c>
    </row>
    <row r="5">
      <c r="A5" s="31">
        <v>4.0</v>
      </c>
      <c r="B5" s="33" t="s">
        <v>74</v>
      </c>
      <c r="C5" s="31">
        <v>0.0</v>
      </c>
      <c r="D5" s="31">
        <v>0.0</v>
      </c>
    </row>
    <row r="6">
      <c r="A6" s="31">
        <v>5.0</v>
      </c>
      <c r="B6" s="33" t="s">
        <v>80</v>
      </c>
      <c r="C6" s="31">
        <v>0.0</v>
      </c>
      <c r="D6" s="31">
        <v>0.0</v>
      </c>
    </row>
    <row r="7">
      <c r="A7" s="31">
        <v>6.0</v>
      </c>
      <c r="B7" s="33" t="s">
        <v>85</v>
      </c>
      <c r="C7" s="31">
        <v>0.0</v>
      </c>
      <c r="D7" s="31">
        <v>0.0</v>
      </c>
    </row>
    <row r="8">
      <c r="A8" s="31">
        <v>7.0</v>
      </c>
      <c r="B8" s="33" t="s">
        <v>92</v>
      </c>
      <c r="C8" s="31">
        <v>0.0</v>
      </c>
      <c r="D8" s="31">
        <v>0.0</v>
      </c>
    </row>
    <row r="9">
      <c r="A9" s="31">
        <v>8.0</v>
      </c>
      <c r="B9" s="33" t="s">
        <v>98</v>
      </c>
      <c r="C9" s="31">
        <v>0.0</v>
      </c>
      <c r="D9" s="31">
        <v>0.0</v>
      </c>
    </row>
    <row r="10">
      <c r="A10" s="31">
        <v>9.0</v>
      </c>
      <c r="B10" s="33" t="s">
        <v>104</v>
      </c>
      <c r="C10" s="31">
        <v>0.0</v>
      </c>
      <c r="D10" s="31">
        <v>0.0</v>
      </c>
    </row>
    <row r="11">
      <c r="A11" s="31">
        <v>10.0</v>
      </c>
      <c r="B11" s="33" t="s">
        <v>108</v>
      </c>
      <c r="C11" s="31">
        <v>0.0</v>
      </c>
      <c r="D11" s="31">
        <v>0.0</v>
      </c>
    </row>
    <row r="12">
      <c r="A12" s="31">
        <v>11.0</v>
      </c>
      <c r="B12" s="33" t="s">
        <v>112</v>
      </c>
      <c r="C12" s="31">
        <v>0.0</v>
      </c>
      <c r="D12" s="31">
        <v>0.0</v>
      </c>
    </row>
    <row r="13">
      <c r="A13" s="31">
        <v>12.0</v>
      </c>
      <c r="B13" s="33" t="s">
        <v>116</v>
      </c>
      <c r="C13" s="31">
        <v>0.0</v>
      </c>
      <c r="D13" s="31">
        <v>0.0</v>
      </c>
    </row>
    <row r="14">
      <c r="A14" s="31">
        <v>13.0</v>
      </c>
      <c r="B14" s="33" t="s">
        <v>119</v>
      </c>
      <c r="C14" s="31">
        <v>0.0</v>
      </c>
      <c r="D14" s="31">
        <v>0.0</v>
      </c>
    </row>
    <row r="15">
      <c r="A15" s="31">
        <v>14.0</v>
      </c>
      <c r="B15" s="33" t="s">
        <v>122</v>
      </c>
      <c r="C15" s="31">
        <v>0.0</v>
      </c>
      <c r="D15" s="31">
        <v>0.0</v>
      </c>
    </row>
    <row r="16">
      <c r="A16" s="31">
        <v>15.0</v>
      </c>
      <c r="B16" s="33" t="s">
        <v>125</v>
      </c>
      <c r="C16" s="31">
        <v>0.0</v>
      </c>
      <c r="D16" s="31">
        <v>0.0</v>
      </c>
    </row>
    <row r="17">
      <c r="A17" s="31">
        <v>16.0</v>
      </c>
      <c r="B17" s="33" t="s">
        <v>130</v>
      </c>
      <c r="C17" s="31">
        <v>0.0</v>
      </c>
      <c r="D17" s="31">
        <v>0.0</v>
      </c>
    </row>
    <row r="18">
      <c r="A18" s="31">
        <v>17.0</v>
      </c>
      <c r="B18" s="33" t="s">
        <v>134</v>
      </c>
      <c r="C18" s="31">
        <v>1.0</v>
      </c>
      <c r="D18" s="31">
        <v>1.0</v>
      </c>
      <c r="E18" s="32" t="s">
        <v>457</v>
      </c>
      <c r="F18" s="33" t="s">
        <v>122</v>
      </c>
    </row>
    <row r="19">
      <c r="A19" s="31">
        <v>18.0</v>
      </c>
      <c r="B19" s="33" t="s">
        <v>142</v>
      </c>
      <c r="C19" s="31">
        <v>0.0</v>
      </c>
      <c r="D19" s="31">
        <v>0.0</v>
      </c>
    </row>
    <row r="20">
      <c r="A20" s="31">
        <v>19.0</v>
      </c>
      <c r="B20" s="33" t="s">
        <v>147</v>
      </c>
      <c r="C20" s="31">
        <v>0.0</v>
      </c>
      <c r="D20" s="31">
        <v>0.0</v>
      </c>
    </row>
    <row r="21">
      <c r="A21" s="31">
        <v>20.0</v>
      </c>
      <c r="B21" s="33" t="s">
        <v>151</v>
      </c>
      <c r="C21" s="31">
        <v>0.0</v>
      </c>
      <c r="D21" s="31">
        <v>0.0</v>
      </c>
    </row>
    <row r="22">
      <c r="A22" s="31">
        <v>21.0</v>
      </c>
      <c r="B22" s="33" t="s">
        <v>154</v>
      </c>
      <c r="C22" s="31">
        <v>0.0</v>
      </c>
      <c r="D22" s="31">
        <v>0.0</v>
      </c>
    </row>
    <row r="23">
      <c r="A23" s="31">
        <v>22.0</v>
      </c>
      <c r="B23" s="33" t="s">
        <v>126</v>
      </c>
      <c r="C23" s="31">
        <v>0.0</v>
      </c>
      <c r="D23" s="31">
        <v>0.0</v>
      </c>
    </row>
    <row r="24">
      <c r="A24" s="31">
        <v>23.0</v>
      </c>
      <c r="B24" s="33" t="s">
        <v>162</v>
      </c>
      <c r="C24" s="31">
        <v>0.0</v>
      </c>
      <c r="D24" s="31">
        <v>0.0</v>
      </c>
    </row>
    <row r="25">
      <c r="A25" s="31">
        <v>24.0</v>
      </c>
      <c r="B25" s="33" t="s">
        <v>164</v>
      </c>
      <c r="C25" s="31">
        <v>0.0</v>
      </c>
      <c r="D25" s="31">
        <v>0.0</v>
      </c>
    </row>
    <row r="26">
      <c r="A26" s="31">
        <v>25.0</v>
      </c>
      <c r="B26" s="33" t="s">
        <v>166</v>
      </c>
      <c r="C26" s="31">
        <v>0.0</v>
      </c>
      <c r="D26" s="31">
        <v>0.0</v>
      </c>
    </row>
    <row r="27">
      <c r="A27" s="31">
        <v>26.0</v>
      </c>
      <c r="B27" s="33" t="s">
        <v>176</v>
      </c>
      <c r="C27" s="31">
        <v>0.0</v>
      </c>
      <c r="D27" s="31">
        <v>0.0</v>
      </c>
    </row>
    <row r="28">
      <c r="A28" s="31">
        <v>27.0</v>
      </c>
      <c r="B28" s="33" t="s">
        <v>184</v>
      </c>
      <c r="C28" s="31">
        <v>0.0</v>
      </c>
      <c r="D28" s="31">
        <v>0.0</v>
      </c>
    </row>
    <row r="29">
      <c r="A29" s="31">
        <v>28.0</v>
      </c>
      <c r="B29" s="33" t="s">
        <v>187</v>
      </c>
      <c r="C29" s="31">
        <v>0.0</v>
      </c>
      <c r="D29" s="31">
        <v>0.0</v>
      </c>
    </row>
    <row r="30">
      <c r="A30" s="31">
        <v>29.0</v>
      </c>
      <c r="B30" s="33" t="s">
        <v>194</v>
      </c>
      <c r="C30" s="31">
        <v>0.0</v>
      </c>
      <c r="D30" s="31">
        <v>0.0</v>
      </c>
    </row>
    <row r="31">
      <c r="A31" s="31">
        <v>30.0</v>
      </c>
      <c r="B31" s="33" t="s">
        <v>198</v>
      </c>
      <c r="C31" s="31">
        <v>0.0</v>
      </c>
      <c r="D31" s="31">
        <v>0.0</v>
      </c>
    </row>
    <row r="32">
      <c r="A32" s="31">
        <v>31.0</v>
      </c>
      <c r="B32" s="33" t="s">
        <v>202</v>
      </c>
      <c r="C32" s="31">
        <v>0.0</v>
      </c>
      <c r="D32" s="31">
        <v>0.0</v>
      </c>
    </row>
    <row r="33">
      <c r="A33" s="31">
        <v>32.0</v>
      </c>
      <c r="B33" s="33" t="s">
        <v>204</v>
      </c>
      <c r="C33" s="31">
        <v>0.0</v>
      </c>
      <c r="D33" s="31">
        <v>0.0</v>
      </c>
    </row>
    <row r="34">
      <c r="A34" s="31">
        <v>33.0</v>
      </c>
      <c r="B34" s="33" t="s">
        <v>207</v>
      </c>
      <c r="C34" s="31">
        <v>0.0</v>
      </c>
      <c r="D34" s="31">
        <v>0.0</v>
      </c>
    </row>
    <row r="35">
      <c r="A35" s="31">
        <v>34.0</v>
      </c>
      <c r="B35" s="33" t="s">
        <v>211</v>
      </c>
      <c r="C35" s="31">
        <v>0.0</v>
      </c>
      <c r="D35" s="31">
        <v>0.0</v>
      </c>
    </row>
    <row r="36">
      <c r="A36" s="31">
        <v>35.0</v>
      </c>
      <c r="B36" s="33" t="s">
        <v>215</v>
      </c>
      <c r="C36" s="31">
        <v>0.0</v>
      </c>
      <c r="D36" s="31">
        <v>0.0</v>
      </c>
    </row>
    <row r="37">
      <c r="A37" s="31">
        <v>36.0</v>
      </c>
      <c r="B37" s="33" t="s">
        <v>219</v>
      </c>
      <c r="C37" s="31">
        <v>0.0</v>
      </c>
      <c r="D37" s="31">
        <v>0.0</v>
      </c>
    </row>
    <row r="38">
      <c r="A38" s="31">
        <v>37.0</v>
      </c>
      <c r="B38" s="33" t="s">
        <v>224</v>
      </c>
      <c r="C38" s="31">
        <v>0.0</v>
      </c>
      <c r="D38" s="31">
        <v>0.0</v>
      </c>
    </row>
    <row r="39">
      <c r="A39" s="31">
        <v>38.0</v>
      </c>
      <c r="B39" s="33" t="s">
        <v>228</v>
      </c>
      <c r="C39" s="31">
        <v>0.0</v>
      </c>
      <c r="D39" s="31">
        <v>0.0</v>
      </c>
    </row>
    <row r="40">
      <c r="A40" s="31">
        <v>39.0</v>
      </c>
      <c r="B40" s="33" t="s">
        <v>232</v>
      </c>
      <c r="C40" s="31">
        <v>0.0</v>
      </c>
      <c r="D40" s="31">
        <v>0.0</v>
      </c>
    </row>
    <row r="41">
      <c r="A41" s="31">
        <v>40.0</v>
      </c>
      <c r="B41" s="33" t="s">
        <v>238</v>
      </c>
      <c r="C41" s="31">
        <v>0.0</v>
      </c>
      <c r="D41" s="31">
        <v>0.0</v>
      </c>
    </row>
    <row r="42">
      <c r="A42" s="31">
        <v>41.0</v>
      </c>
      <c r="B42" s="33" t="s">
        <v>244</v>
      </c>
      <c r="C42" s="31">
        <v>0.0</v>
      </c>
      <c r="D42" s="31">
        <v>0.0</v>
      </c>
    </row>
    <row r="43">
      <c r="A43" s="31">
        <v>42.0</v>
      </c>
      <c r="B43" s="33" t="s">
        <v>251</v>
      </c>
      <c r="C43" s="31">
        <v>0.0</v>
      </c>
      <c r="D43" s="31">
        <v>0.0</v>
      </c>
    </row>
    <row r="44">
      <c r="A44" s="31">
        <v>43.0</v>
      </c>
      <c r="B44" s="33" t="s">
        <v>255</v>
      </c>
      <c r="C44" s="31">
        <v>0.0</v>
      </c>
      <c r="D44" s="31">
        <v>0.0</v>
      </c>
    </row>
    <row r="45">
      <c r="A45" s="31">
        <v>44.0</v>
      </c>
      <c r="B45" s="33" t="s">
        <v>261</v>
      </c>
      <c r="C45" s="31">
        <v>0.0</v>
      </c>
      <c r="D45" s="31">
        <v>0.0</v>
      </c>
    </row>
    <row r="46">
      <c r="A46" s="31">
        <v>45.0</v>
      </c>
      <c r="B46" s="33" t="s">
        <v>263</v>
      </c>
      <c r="C46" s="31">
        <v>0.0</v>
      </c>
      <c r="D46" s="31">
        <v>0.0</v>
      </c>
    </row>
    <row r="47">
      <c r="A47" s="31">
        <v>46.0</v>
      </c>
      <c r="B47" s="33" t="s">
        <v>267</v>
      </c>
      <c r="C47" s="31">
        <v>0.0</v>
      </c>
      <c r="D47" s="31">
        <v>0.0</v>
      </c>
    </row>
    <row r="48">
      <c r="A48" s="31">
        <v>47.0</v>
      </c>
      <c r="B48" s="33" t="s">
        <v>270</v>
      </c>
      <c r="C48" s="31">
        <v>0.0</v>
      </c>
      <c r="D48" s="31">
        <v>0.0</v>
      </c>
    </row>
    <row r="49">
      <c r="A49" s="31">
        <v>48.0</v>
      </c>
      <c r="B49" s="33" t="s">
        <v>273</v>
      </c>
      <c r="C49" s="31">
        <v>0.0</v>
      </c>
      <c r="D49" s="31">
        <v>0.0</v>
      </c>
    </row>
    <row r="50">
      <c r="A50" s="31">
        <v>49.0</v>
      </c>
      <c r="B50" s="33" t="s">
        <v>277</v>
      </c>
      <c r="C50" s="31">
        <v>0.0</v>
      </c>
      <c r="D50" s="31">
        <v>0.0</v>
      </c>
    </row>
    <row r="51">
      <c r="A51" s="31">
        <v>50.0</v>
      </c>
      <c r="B51" s="33" t="s">
        <v>281</v>
      </c>
      <c r="C51" s="31">
        <v>0.0</v>
      </c>
      <c r="D51" s="31">
        <v>0.0</v>
      </c>
    </row>
    <row r="52">
      <c r="A52" s="31">
        <v>51.0</v>
      </c>
      <c r="B52" s="33" t="s">
        <v>286</v>
      </c>
      <c r="C52" s="31">
        <v>0.0</v>
      </c>
      <c r="D52" s="31">
        <v>0.0</v>
      </c>
    </row>
    <row r="53">
      <c r="A53" s="31">
        <v>52.0</v>
      </c>
      <c r="B53" s="33" t="s">
        <v>153</v>
      </c>
      <c r="C53" s="31">
        <v>0.0</v>
      </c>
      <c r="D53" s="31">
        <v>0.0</v>
      </c>
    </row>
    <row r="54">
      <c r="A54" s="31">
        <v>53.0</v>
      </c>
      <c r="B54" s="33" t="s">
        <v>297</v>
      </c>
      <c r="C54" s="31">
        <v>0.0</v>
      </c>
      <c r="D54" s="31">
        <v>0.0</v>
      </c>
    </row>
    <row r="55">
      <c r="A55" s="31">
        <v>54.0</v>
      </c>
      <c r="B55" s="33" t="s">
        <v>300</v>
      </c>
      <c r="C55" s="31">
        <v>0.0</v>
      </c>
      <c r="D55" s="31">
        <v>0.0</v>
      </c>
    </row>
    <row r="56">
      <c r="A56" s="31">
        <v>55.0</v>
      </c>
      <c r="B56" s="33" t="s">
        <v>304</v>
      </c>
      <c r="C56" s="31">
        <v>0.0</v>
      </c>
      <c r="D56" s="31">
        <v>0.0</v>
      </c>
    </row>
    <row r="57">
      <c r="A57" s="31">
        <v>56.0</v>
      </c>
      <c r="B57" s="33" t="s">
        <v>247</v>
      </c>
      <c r="C57" s="31">
        <v>0.0</v>
      </c>
      <c r="D57" s="31">
        <v>0.0</v>
      </c>
    </row>
    <row r="58">
      <c r="A58" s="31">
        <v>57.0</v>
      </c>
      <c r="B58" s="33" t="s">
        <v>316</v>
      </c>
      <c r="C58" s="31">
        <v>0.0</v>
      </c>
      <c r="D58" s="31">
        <v>0.0</v>
      </c>
    </row>
    <row r="59">
      <c r="A59" s="31">
        <v>58.0</v>
      </c>
      <c r="B59" s="33" t="s">
        <v>128</v>
      </c>
      <c r="C59" s="31">
        <v>0.0</v>
      </c>
      <c r="D59" s="31">
        <v>0.0</v>
      </c>
    </row>
    <row r="60">
      <c r="A60" s="31">
        <v>59.0</v>
      </c>
      <c r="B60" s="33" t="s">
        <v>90</v>
      </c>
      <c r="C60" s="31">
        <v>0.0</v>
      </c>
      <c r="D60" s="31">
        <v>0.0</v>
      </c>
    </row>
    <row r="61">
      <c r="A61" s="31">
        <v>60.0</v>
      </c>
      <c r="B61" s="33" t="s">
        <v>212</v>
      </c>
      <c r="C61" s="31">
        <v>0.0</v>
      </c>
      <c r="D61" s="31">
        <v>0.0</v>
      </c>
    </row>
    <row r="62">
      <c r="A62" s="31">
        <v>61.0</v>
      </c>
      <c r="B62" s="33" t="s">
        <v>331</v>
      </c>
      <c r="C62" s="31">
        <v>0.0</v>
      </c>
      <c r="D62" s="31">
        <v>0.0</v>
      </c>
    </row>
    <row r="63">
      <c r="A63" s="31">
        <v>62.0</v>
      </c>
      <c r="B63" s="33" t="s">
        <v>334</v>
      </c>
      <c r="C63" s="31">
        <v>0.0</v>
      </c>
      <c r="D63" s="31">
        <v>0.0</v>
      </c>
    </row>
    <row r="64">
      <c r="A64" s="31">
        <v>63.0</v>
      </c>
      <c r="B64" s="33" t="s">
        <v>337</v>
      </c>
      <c r="C64" s="31">
        <v>0.0</v>
      </c>
      <c r="D64" s="31">
        <v>0.0</v>
      </c>
    </row>
    <row r="65">
      <c r="A65" s="31">
        <v>64.0</v>
      </c>
      <c r="B65" s="33" t="s">
        <v>344</v>
      </c>
      <c r="C65" s="31">
        <v>0.0</v>
      </c>
      <c r="D65" s="31">
        <v>0.0</v>
      </c>
    </row>
    <row r="66">
      <c r="A66" s="31">
        <v>65.0</v>
      </c>
      <c r="B66" s="33" t="s">
        <v>349</v>
      </c>
      <c r="C66" s="31">
        <v>0.0</v>
      </c>
      <c r="D66" s="31">
        <v>0.0</v>
      </c>
    </row>
    <row r="67">
      <c r="A67" s="31">
        <v>66.0</v>
      </c>
      <c r="B67" s="33" t="s">
        <v>355</v>
      </c>
      <c r="C67" s="31">
        <v>0.0</v>
      </c>
      <c r="D67" s="31">
        <v>0.0</v>
      </c>
    </row>
    <row r="68">
      <c r="A68" s="31">
        <v>67.0</v>
      </c>
      <c r="B68" s="33" t="s">
        <v>361</v>
      </c>
      <c r="C68" s="31">
        <v>0.0</v>
      </c>
      <c r="D68" s="31">
        <v>0.0</v>
      </c>
    </row>
    <row r="69">
      <c r="A69" s="31">
        <v>68.0</v>
      </c>
      <c r="B69" s="33" t="s">
        <v>366</v>
      </c>
      <c r="C69" s="31">
        <v>0.0</v>
      </c>
      <c r="D69" s="31">
        <v>0.0</v>
      </c>
    </row>
    <row r="70">
      <c r="A70" s="31">
        <v>69.0</v>
      </c>
      <c r="B70" s="33" t="s">
        <v>370</v>
      </c>
      <c r="C70" s="31">
        <v>0.0</v>
      </c>
      <c r="D70" s="31">
        <v>0.0</v>
      </c>
    </row>
    <row r="71">
      <c r="A71" s="31">
        <v>70.0</v>
      </c>
      <c r="B71" s="33" t="s">
        <v>374</v>
      </c>
      <c r="C71" s="31">
        <v>0.0</v>
      </c>
      <c r="D71" s="31">
        <v>0.0</v>
      </c>
    </row>
    <row r="72">
      <c r="A72" s="31">
        <v>71.0</v>
      </c>
      <c r="B72" s="33" t="s">
        <v>382</v>
      </c>
      <c r="C72" s="31">
        <v>0.0</v>
      </c>
      <c r="D72" s="31">
        <v>0.0</v>
      </c>
    </row>
    <row r="73">
      <c r="A73" s="31">
        <v>72.0</v>
      </c>
      <c r="B73" s="33" t="s">
        <v>387</v>
      </c>
      <c r="C73" s="31">
        <v>0.0</v>
      </c>
      <c r="D73" s="31">
        <v>0.0</v>
      </c>
    </row>
    <row r="74">
      <c r="A74" s="31">
        <v>73.0</v>
      </c>
      <c r="B74" s="33" t="s">
        <v>391</v>
      </c>
      <c r="C74" s="31">
        <v>0.0</v>
      </c>
      <c r="D74" s="31">
        <v>0.0</v>
      </c>
    </row>
    <row r="75">
      <c r="A75" s="31">
        <v>74.0</v>
      </c>
      <c r="B75" s="33" t="s">
        <v>393</v>
      </c>
      <c r="C75" s="31">
        <v>0.0</v>
      </c>
      <c r="D75" s="31">
        <v>0.0</v>
      </c>
    </row>
    <row r="76">
      <c r="A76" s="31">
        <v>75.0</v>
      </c>
      <c r="B76" s="33" t="s">
        <v>395</v>
      </c>
      <c r="C76" s="31">
        <v>0.0</v>
      </c>
      <c r="D76" s="31">
        <v>0.0</v>
      </c>
    </row>
    <row r="77">
      <c r="A77" s="34"/>
      <c r="C77" s="34"/>
      <c r="D77" s="34"/>
    </row>
    <row r="78">
      <c r="A78" s="34"/>
      <c r="B78" s="32" t="s">
        <v>488</v>
      </c>
      <c r="C78" s="31">
        <v>1.0</v>
      </c>
      <c r="D78" s="34"/>
    </row>
    <row r="79">
      <c r="A79" s="34"/>
      <c r="B79" s="32" t="s">
        <v>489</v>
      </c>
      <c r="C79" s="31">
        <v>74.0</v>
      </c>
      <c r="D79" s="34"/>
    </row>
    <row r="80">
      <c r="A80" s="34"/>
      <c r="B80" s="32" t="s">
        <v>490</v>
      </c>
      <c r="C80" s="31">
        <v>1.0</v>
      </c>
      <c r="D80" s="34"/>
    </row>
    <row r="81">
      <c r="A81" s="34"/>
      <c r="C81" s="34"/>
      <c r="D81" s="34"/>
    </row>
    <row r="82">
      <c r="A82" s="34"/>
      <c r="C82" s="34"/>
      <c r="D82" s="34"/>
    </row>
    <row r="83">
      <c r="A83" s="34"/>
      <c r="C83" s="34"/>
      <c r="D83" s="34"/>
    </row>
    <row r="84">
      <c r="A84" s="34"/>
      <c r="C84" s="34"/>
      <c r="D84" s="34"/>
    </row>
    <row r="85">
      <c r="A85" s="34"/>
      <c r="C85" s="34"/>
      <c r="D85" s="34"/>
    </row>
    <row r="86">
      <c r="A86" s="34"/>
      <c r="C86" s="34"/>
      <c r="D86" s="34"/>
    </row>
    <row r="87">
      <c r="A87" s="34"/>
      <c r="C87" s="34"/>
      <c r="D87" s="34"/>
    </row>
    <row r="88">
      <c r="A88" s="34"/>
      <c r="C88" s="34"/>
      <c r="D88" s="34"/>
    </row>
    <row r="89">
      <c r="A89" s="34"/>
      <c r="C89" s="34"/>
      <c r="D89" s="34"/>
    </row>
    <row r="90">
      <c r="A90" s="34"/>
      <c r="C90" s="34"/>
      <c r="D90" s="34"/>
    </row>
    <row r="91">
      <c r="A91" s="34"/>
      <c r="C91" s="34"/>
      <c r="D91" s="34"/>
    </row>
    <row r="92">
      <c r="A92" s="34"/>
      <c r="C92" s="34"/>
      <c r="D92" s="34"/>
    </row>
    <row r="93">
      <c r="A93" s="34"/>
      <c r="C93" s="34"/>
      <c r="D93" s="34"/>
    </row>
    <row r="94">
      <c r="A94" s="34"/>
      <c r="C94" s="34"/>
      <c r="D94" s="34"/>
    </row>
    <row r="95">
      <c r="A95" s="34"/>
      <c r="C95" s="34"/>
      <c r="D95" s="34"/>
    </row>
    <row r="96">
      <c r="A96" s="34"/>
      <c r="C96" s="34"/>
      <c r="D96" s="34"/>
    </row>
    <row r="97">
      <c r="A97" s="34"/>
      <c r="C97" s="34"/>
      <c r="D97" s="34"/>
    </row>
    <row r="98">
      <c r="A98" s="34"/>
      <c r="C98" s="34"/>
      <c r="D98" s="34"/>
    </row>
    <row r="99">
      <c r="A99" s="34"/>
      <c r="C99" s="34"/>
      <c r="D99" s="34"/>
    </row>
    <row r="100">
      <c r="A100" s="34"/>
      <c r="C100" s="34"/>
      <c r="D100" s="34"/>
    </row>
    <row r="101">
      <c r="A101" s="34"/>
      <c r="C101" s="34"/>
      <c r="D101" s="34"/>
    </row>
    <row r="102">
      <c r="A102" s="34"/>
      <c r="C102" s="34"/>
      <c r="D102" s="34"/>
    </row>
    <row r="103">
      <c r="A103" s="34"/>
      <c r="C103" s="34"/>
      <c r="D103" s="34"/>
    </row>
    <row r="104">
      <c r="A104" s="34"/>
      <c r="C104" s="34"/>
      <c r="D104" s="34"/>
    </row>
    <row r="105">
      <c r="A105" s="34"/>
      <c r="C105" s="34"/>
      <c r="D105" s="34"/>
    </row>
    <row r="106">
      <c r="A106" s="34"/>
      <c r="C106" s="34"/>
      <c r="D106" s="34"/>
    </row>
    <row r="107">
      <c r="A107" s="34"/>
      <c r="C107" s="34"/>
      <c r="D107" s="34"/>
    </row>
    <row r="108">
      <c r="A108" s="34"/>
      <c r="C108" s="34"/>
      <c r="D108" s="34"/>
    </row>
    <row r="109">
      <c r="A109" s="34"/>
      <c r="C109" s="34"/>
      <c r="D109" s="34"/>
    </row>
    <row r="110">
      <c r="A110" s="34"/>
      <c r="C110" s="34"/>
      <c r="D110" s="34"/>
    </row>
    <row r="111">
      <c r="A111" s="34"/>
      <c r="C111" s="34"/>
      <c r="D111" s="34"/>
    </row>
    <row r="112">
      <c r="A112" s="34"/>
      <c r="C112" s="34"/>
      <c r="D112" s="34"/>
    </row>
    <row r="113">
      <c r="A113" s="34"/>
      <c r="C113" s="34"/>
      <c r="D113" s="34"/>
    </row>
    <row r="114">
      <c r="A114" s="34"/>
      <c r="C114" s="34"/>
      <c r="D114" s="34"/>
    </row>
    <row r="115">
      <c r="A115" s="34"/>
      <c r="C115" s="34"/>
      <c r="D115" s="34"/>
    </row>
    <row r="116">
      <c r="A116" s="34"/>
      <c r="C116" s="34"/>
      <c r="D116" s="34"/>
    </row>
    <row r="117">
      <c r="A117" s="34"/>
      <c r="C117" s="34"/>
      <c r="D117" s="34"/>
    </row>
    <row r="118">
      <c r="A118" s="34"/>
      <c r="C118" s="34"/>
      <c r="D118" s="34"/>
    </row>
    <row r="119">
      <c r="A119" s="34"/>
      <c r="C119" s="34"/>
      <c r="D119" s="34"/>
    </row>
    <row r="120">
      <c r="A120" s="34"/>
      <c r="C120" s="34"/>
      <c r="D120" s="34"/>
    </row>
    <row r="121">
      <c r="A121" s="34"/>
      <c r="C121" s="34"/>
      <c r="D121" s="34"/>
    </row>
    <row r="122">
      <c r="A122" s="34"/>
      <c r="C122" s="34"/>
      <c r="D122" s="34"/>
    </row>
    <row r="123">
      <c r="A123" s="34"/>
      <c r="C123" s="34"/>
      <c r="D123" s="34"/>
    </row>
    <row r="124">
      <c r="A124" s="34"/>
      <c r="C124" s="34"/>
      <c r="D124" s="34"/>
    </row>
    <row r="125">
      <c r="A125" s="34"/>
      <c r="C125" s="34"/>
      <c r="D125" s="34"/>
    </row>
    <row r="126">
      <c r="A126" s="34"/>
      <c r="C126" s="34"/>
      <c r="D126" s="34"/>
    </row>
    <row r="127">
      <c r="A127" s="34"/>
      <c r="C127" s="34"/>
      <c r="D127" s="34"/>
    </row>
    <row r="128">
      <c r="A128" s="34"/>
      <c r="C128" s="34"/>
      <c r="D128" s="34"/>
    </row>
    <row r="129">
      <c r="A129" s="34"/>
      <c r="C129" s="34"/>
      <c r="D129" s="34"/>
    </row>
    <row r="130">
      <c r="A130" s="34"/>
      <c r="C130" s="34"/>
      <c r="D130" s="34"/>
    </row>
    <row r="131">
      <c r="A131" s="34"/>
      <c r="C131" s="34"/>
      <c r="D131" s="34"/>
    </row>
    <row r="132">
      <c r="A132" s="34"/>
      <c r="C132" s="34"/>
      <c r="D132" s="34"/>
    </row>
    <row r="133">
      <c r="A133" s="34"/>
      <c r="C133" s="34"/>
      <c r="D133" s="34"/>
    </row>
    <row r="134">
      <c r="A134" s="34"/>
      <c r="C134" s="34"/>
      <c r="D134" s="34"/>
    </row>
    <row r="135">
      <c r="A135" s="34"/>
      <c r="C135" s="34"/>
      <c r="D135" s="34"/>
    </row>
    <row r="136">
      <c r="A136" s="34"/>
      <c r="C136" s="34"/>
      <c r="D136" s="34"/>
    </row>
    <row r="137">
      <c r="A137" s="34"/>
      <c r="C137" s="34"/>
      <c r="D137" s="34"/>
    </row>
    <row r="138">
      <c r="A138" s="34"/>
      <c r="C138" s="34"/>
      <c r="D138" s="34"/>
    </row>
    <row r="139">
      <c r="A139" s="34"/>
      <c r="C139" s="34"/>
      <c r="D139" s="34"/>
    </row>
    <row r="140">
      <c r="A140" s="34"/>
      <c r="C140" s="34"/>
      <c r="D140" s="34"/>
    </row>
    <row r="141">
      <c r="A141" s="34"/>
      <c r="C141" s="34"/>
      <c r="D141" s="34"/>
    </row>
    <row r="142">
      <c r="A142" s="34"/>
      <c r="C142" s="34"/>
      <c r="D142" s="34"/>
    </row>
    <row r="143">
      <c r="A143" s="34"/>
      <c r="C143" s="34"/>
      <c r="D143" s="34"/>
    </row>
    <row r="144">
      <c r="A144" s="34"/>
      <c r="C144" s="34"/>
      <c r="D144" s="34"/>
    </row>
    <row r="145">
      <c r="A145" s="34"/>
      <c r="C145" s="34"/>
      <c r="D145" s="34"/>
    </row>
    <row r="146">
      <c r="A146" s="34"/>
      <c r="C146" s="34"/>
      <c r="D146" s="34"/>
    </row>
    <row r="147">
      <c r="A147" s="34"/>
      <c r="C147" s="34"/>
      <c r="D147" s="34"/>
    </row>
    <row r="148">
      <c r="A148" s="34"/>
      <c r="C148" s="34"/>
      <c r="D148" s="34"/>
    </row>
    <row r="149">
      <c r="A149" s="34"/>
      <c r="C149" s="34"/>
      <c r="D149" s="34"/>
    </row>
    <row r="150">
      <c r="A150" s="34"/>
      <c r="C150" s="34"/>
      <c r="D150" s="34"/>
    </row>
    <row r="151">
      <c r="A151" s="34"/>
      <c r="C151" s="34"/>
      <c r="D151" s="34"/>
    </row>
    <row r="152">
      <c r="A152" s="34"/>
      <c r="C152" s="34"/>
      <c r="D152" s="34"/>
    </row>
    <row r="153">
      <c r="A153" s="34"/>
      <c r="C153" s="34"/>
      <c r="D153" s="34"/>
    </row>
    <row r="154">
      <c r="A154" s="34"/>
      <c r="C154" s="34"/>
      <c r="D154" s="34"/>
    </row>
    <row r="155">
      <c r="A155" s="34"/>
      <c r="C155" s="34"/>
      <c r="D155" s="34"/>
    </row>
    <row r="156">
      <c r="A156" s="34"/>
      <c r="C156" s="34"/>
      <c r="D156" s="34"/>
    </row>
    <row r="157">
      <c r="A157" s="34"/>
      <c r="C157" s="34"/>
      <c r="D157" s="34"/>
    </row>
    <row r="158">
      <c r="A158" s="34"/>
      <c r="C158" s="34"/>
      <c r="D158" s="34"/>
    </row>
    <row r="159">
      <c r="A159" s="34"/>
      <c r="C159" s="34"/>
      <c r="D159" s="34"/>
    </row>
    <row r="160">
      <c r="A160" s="34"/>
      <c r="C160" s="34"/>
      <c r="D160" s="34"/>
    </row>
    <row r="161">
      <c r="A161" s="34"/>
      <c r="C161" s="34"/>
      <c r="D161" s="34"/>
    </row>
    <row r="162">
      <c r="A162" s="34"/>
      <c r="C162" s="34"/>
      <c r="D162" s="34"/>
    </row>
    <row r="163">
      <c r="A163" s="34"/>
      <c r="C163" s="34"/>
      <c r="D163" s="34"/>
    </row>
    <row r="164">
      <c r="A164" s="34"/>
      <c r="C164" s="34"/>
      <c r="D164" s="34"/>
    </row>
    <row r="165">
      <c r="A165" s="34"/>
      <c r="C165" s="34"/>
      <c r="D165" s="34"/>
    </row>
    <row r="166">
      <c r="A166" s="34"/>
      <c r="C166" s="34"/>
      <c r="D166" s="34"/>
    </row>
    <row r="167">
      <c r="A167" s="34"/>
      <c r="C167" s="34"/>
      <c r="D167" s="34"/>
    </row>
    <row r="168">
      <c r="A168" s="34"/>
      <c r="C168" s="34"/>
      <c r="D168" s="34"/>
    </row>
    <row r="169">
      <c r="A169" s="34"/>
      <c r="C169" s="34"/>
      <c r="D169" s="34"/>
    </row>
    <row r="170">
      <c r="A170" s="34"/>
      <c r="C170" s="34"/>
      <c r="D170" s="34"/>
    </row>
    <row r="171">
      <c r="A171" s="34"/>
      <c r="C171" s="34"/>
      <c r="D171" s="34"/>
    </row>
    <row r="172">
      <c r="A172" s="34"/>
      <c r="C172" s="34"/>
      <c r="D172" s="34"/>
    </row>
    <row r="173">
      <c r="A173" s="34"/>
      <c r="C173" s="34"/>
      <c r="D173" s="34"/>
    </row>
    <row r="174">
      <c r="A174" s="34"/>
      <c r="C174" s="34"/>
      <c r="D174" s="34"/>
    </row>
    <row r="175">
      <c r="A175" s="34"/>
      <c r="C175" s="34"/>
      <c r="D175" s="34"/>
    </row>
    <row r="176">
      <c r="A176" s="34"/>
      <c r="C176" s="34"/>
      <c r="D176" s="34"/>
    </row>
    <row r="177">
      <c r="A177" s="34"/>
      <c r="C177" s="34"/>
      <c r="D177" s="34"/>
    </row>
    <row r="178">
      <c r="A178" s="34"/>
      <c r="C178" s="34"/>
      <c r="D178" s="34"/>
    </row>
    <row r="179">
      <c r="A179" s="34"/>
      <c r="C179" s="34"/>
      <c r="D179" s="34"/>
    </row>
    <row r="180">
      <c r="A180" s="34"/>
      <c r="C180" s="34"/>
      <c r="D180" s="34"/>
    </row>
    <row r="181">
      <c r="A181" s="34"/>
      <c r="C181" s="34"/>
      <c r="D181" s="34"/>
    </row>
    <row r="182">
      <c r="A182" s="34"/>
      <c r="C182" s="34"/>
      <c r="D182" s="34"/>
    </row>
    <row r="183">
      <c r="A183" s="34"/>
      <c r="C183" s="34"/>
      <c r="D183" s="34"/>
    </row>
    <row r="184">
      <c r="A184" s="34"/>
      <c r="C184" s="34"/>
      <c r="D184" s="34"/>
    </row>
    <row r="185">
      <c r="A185" s="34"/>
      <c r="C185" s="34"/>
      <c r="D185" s="34"/>
    </row>
    <row r="186">
      <c r="A186" s="34"/>
      <c r="C186" s="34"/>
      <c r="D186" s="34"/>
    </row>
    <row r="187">
      <c r="A187" s="34"/>
      <c r="C187" s="34"/>
      <c r="D187" s="34"/>
    </row>
    <row r="188">
      <c r="A188" s="34"/>
      <c r="C188" s="34"/>
      <c r="D188" s="34"/>
    </row>
    <row r="189">
      <c r="A189" s="34"/>
      <c r="C189" s="34"/>
      <c r="D189" s="34"/>
    </row>
    <row r="190">
      <c r="A190" s="34"/>
      <c r="C190" s="34"/>
      <c r="D190" s="34"/>
    </row>
    <row r="191">
      <c r="A191" s="34"/>
      <c r="C191" s="34"/>
      <c r="D191" s="34"/>
    </row>
    <row r="192">
      <c r="A192" s="34"/>
      <c r="C192" s="34"/>
      <c r="D192" s="34"/>
    </row>
    <row r="193">
      <c r="A193" s="34"/>
      <c r="C193" s="34"/>
      <c r="D193" s="34"/>
    </row>
    <row r="194">
      <c r="A194" s="34"/>
      <c r="C194" s="34"/>
      <c r="D194" s="34"/>
    </row>
    <row r="195">
      <c r="A195" s="34"/>
      <c r="C195" s="34"/>
      <c r="D195" s="34"/>
    </row>
    <row r="196">
      <c r="A196" s="34"/>
      <c r="C196" s="34"/>
      <c r="D196" s="34"/>
    </row>
    <row r="197">
      <c r="A197" s="34"/>
      <c r="C197" s="34"/>
      <c r="D197" s="34"/>
    </row>
    <row r="198">
      <c r="A198" s="34"/>
      <c r="C198" s="34"/>
      <c r="D198" s="34"/>
    </row>
    <row r="199">
      <c r="A199" s="34"/>
      <c r="C199" s="34"/>
      <c r="D199" s="34"/>
    </row>
    <row r="200">
      <c r="A200" s="34"/>
      <c r="C200" s="34"/>
      <c r="D200" s="34"/>
    </row>
    <row r="201">
      <c r="A201" s="34"/>
      <c r="C201" s="34"/>
      <c r="D201" s="34"/>
    </row>
    <row r="202">
      <c r="A202" s="34"/>
      <c r="C202" s="34"/>
      <c r="D202" s="34"/>
    </row>
    <row r="203">
      <c r="A203" s="34"/>
      <c r="C203" s="34"/>
      <c r="D203" s="34"/>
    </row>
    <row r="204">
      <c r="A204" s="34"/>
      <c r="C204" s="34"/>
      <c r="D204" s="34"/>
    </row>
    <row r="205">
      <c r="A205" s="34"/>
      <c r="C205" s="34"/>
      <c r="D205" s="34"/>
    </row>
    <row r="206">
      <c r="A206" s="34"/>
      <c r="C206" s="34"/>
      <c r="D206" s="34"/>
    </row>
    <row r="207">
      <c r="A207" s="34"/>
      <c r="C207" s="34"/>
      <c r="D207" s="34"/>
    </row>
    <row r="208">
      <c r="A208" s="34"/>
      <c r="C208" s="34"/>
      <c r="D208" s="34"/>
    </row>
    <row r="209">
      <c r="A209" s="34"/>
      <c r="C209" s="34"/>
      <c r="D209" s="34"/>
    </row>
    <row r="210">
      <c r="A210" s="34"/>
      <c r="C210" s="34"/>
      <c r="D210" s="34"/>
    </row>
    <row r="211">
      <c r="A211" s="34"/>
      <c r="C211" s="34"/>
      <c r="D211" s="34"/>
    </row>
    <row r="212">
      <c r="A212" s="34"/>
      <c r="C212" s="34"/>
      <c r="D212" s="34"/>
    </row>
    <row r="213">
      <c r="A213" s="34"/>
      <c r="C213" s="34"/>
      <c r="D213" s="34"/>
    </row>
    <row r="214">
      <c r="A214" s="34"/>
      <c r="C214" s="34"/>
      <c r="D214" s="34"/>
    </row>
    <row r="215">
      <c r="A215" s="34"/>
      <c r="C215" s="34"/>
      <c r="D215" s="34"/>
    </row>
    <row r="216">
      <c r="A216" s="34"/>
      <c r="C216" s="34"/>
      <c r="D216" s="34"/>
    </row>
    <row r="217">
      <c r="A217" s="34"/>
      <c r="C217" s="34"/>
      <c r="D217" s="34"/>
    </row>
    <row r="218">
      <c r="A218" s="34"/>
      <c r="C218" s="34"/>
      <c r="D218" s="34"/>
    </row>
    <row r="219">
      <c r="A219" s="34"/>
      <c r="C219" s="34"/>
      <c r="D219" s="34"/>
    </row>
    <row r="220">
      <c r="A220" s="34"/>
      <c r="C220" s="34"/>
      <c r="D220" s="34"/>
    </row>
    <row r="221">
      <c r="A221" s="34"/>
      <c r="C221" s="34"/>
      <c r="D221" s="34"/>
    </row>
    <row r="222">
      <c r="A222" s="34"/>
      <c r="C222" s="34"/>
      <c r="D222" s="34"/>
    </row>
    <row r="223">
      <c r="A223" s="34"/>
      <c r="C223" s="34"/>
      <c r="D223" s="34"/>
    </row>
    <row r="224">
      <c r="A224" s="34"/>
      <c r="C224" s="34"/>
      <c r="D224" s="34"/>
    </row>
    <row r="225">
      <c r="A225" s="34"/>
      <c r="C225" s="34"/>
      <c r="D225" s="34"/>
    </row>
    <row r="226">
      <c r="A226" s="34"/>
      <c r="C226" s="34"/>
      <c r="D226" s="34"/>
    </row>
    <row r="227">
      <c r="A227" s="34"/>
      <c r="C227" s="34"/>
      <c r="D227" s="34"/>
    </row>
    <row r="228">
      <c r="A228" s="34"/>
      <c r="C228" s="34"/>
      <c r="D228" s="34"/>
    </row>
    <row r="229">
      <c r="A229" s="34"/>
      <c r="C229" s="34"/>
      <c r="D229" s="34"/>
    </row>
    <row r="230">
      <c r="A230" s="34"/>
      <c r="C230" s="34"/>
      <c r="D230" s="34"/>
    </row>
    <row r="231">
      <c r="A231" s="34"/>
      <c r="C231" s="34"/>
      <c r="D231" s="34"/>
    </row>
    <row r="232">
      <c r="A232" s="34"/>
      <c r="C232" s="34"/>
      <c r="D232" s="34"/>
    </row>
    <row r="233">
      <c r="A233" s="34"/>
      <c r="C233" s="34"/>
      <c r="D233" s="34"/>
    </row>
    <row r="234">
      <c r="A234" s="34"/>
      <c r="C234" s="34"/>
      <c r="D234" s="34"/>
    </row>
    <row r="235">
      <c r="A235" s="34"/>
      <c r="C235" s="34"/>
      <c r="D235" s="34"/>
    </row>
    <row r="236">
      <c r="A236" s="34"/>
      <c r="C236" s="34"/>
      <c r="D236" s="34"/>
    </row>
    <row r="237">
      <c r="A237" s="34"/>
      <c r="C237" s="34"/>
      <c r="D237" s="34"/>
    </row>
    <row r="238">
      <c r="A238" s="34"/>
      <c r="C238" s="34"/>
      <c r="D238" s="34"/>
    </row>
    <row r="239">
      <c r="A239" s="34"/>
      <c r="C239" s="34"/>
      <c r="D239" s="34"/>
    </row>
    <row r="240">
      <c r="A240" s="34"/>
      <c r="C240" s="34"/>
      <c r="D240" s="34"/>
    </row>
    <row r="241">
      <c r="A241" s="34"/>
      <c r="C241" s="34"/>
      <c r="D241" s="34"/>
    </row>
    <row r="242">
      <c r="A242" s="34"/>
      <c r="C242" s="34"/>
      <c r="D242" s="34"/>
    </row>
    <row r="243">
      <c r="A243" s="34"/>
      <c r="C243" s="34"/>
      <c r="D243" s="34"/>
    </row>
    <row r="244">
      <c r="A244" s="34"/>
      <c r="C244" s="34"/>
      <c r="D244" s="34"/>
    </row>
    <row r="245">
      <c r="A245" s="34"/>
      <c r="C245" s="34"/>
      <c r="D245" s="34"/>
    </row>
    <row r="246">
      <c r="A246" s="34"/>
      <c r="C246" s="34"/>
      <c r="D246" s="34"/>
    </row>
    <row r="247">
      <c r="A247" s="34"/>
      <c r="C247" s="34"/>
      <c r="D247" s="34"/>
    </row>
    <row r="248">
      <c r="A248" s="34"/>
      <c r="C248" s="34"/>
      <c r="D248" s="34"/>
    </row>
    <row r="249">
      <c r="A249" s="34"/>
      <c r="C249" s="34"/>
      <c r="D249" s="34"/>
    </row>
    <row r="250">
      <c r="A250" s="34"/>
      <c r="C250" s="34"/>
      <c r="D250" s="34"/>
    </row>
    <row r="251">
      <c r="A251" s="34"/>
      <c r="C251" s="34"/>
      <c r="D251" s="34"/>
    </row>
    <row r="252">
      <c r="A252" s="34"/>
      <c r="C252" s="34"/>
      <c r="D252" s="34"/>
    </row>
    <row r="253">
      <c r="A253" s="34"/>
      <c r="C253" s="34"/>
      <c r="D253" s="34"/>
    </row>
    <row r="254">
      <c r="A254" s="34"/>
      <c r="C254" s="34"/>
      <c r="D254" s="34"/>
    </row>
    <row r="255">
      <c r="A255" s="34"/>
      <c r="C255" s="34"/>
      <c r="D255" s="34"/>
    </row>
    <row r="256">
      <c r="A256" s="34"/>
      <c r="C256" s="34"/>
      <c r="D256" s="34"/>
    </row>
    <row r="257">
      <c r="A257" s="34"/>
      <c r="C257" s="34"/>
      <c r="D257" s="34"/>
    </row>
    <row r="258">
      <c r="A258" s="34"/>
      <c r="C258" s="34"/>
      <c r="D258" s="34"/>
    </row>
    <row r="259">
      <c r="A259" s="34"/>
      <c r="C259" s="34"/>
      <c r="D259" s="34"/>
    </row>
    <row r="260">
      <c r="A260" s="34"/>
      <c r="C260" s="34"/>
      <c r="D260" s="34"/>
    </row>
    <row r="261">
      <c r="A261" s="34"/>
      <c r="C261" s="34"/>
      <c r="D261" s="34"/>
    </row>
    <row r="262">
      <c r="A262" s="34"/>
      <c r="C262" s="34"/>
      <c r="D262" s="34"/>
    </row>
    <row r="263">
      <c r="A263" s="34"/>
      <c r="C263" s="34"/>
      <c r="D263" s="34"/>
    </row>
    <row r="264">
      <c r="A264" s="34"/>
      <c r="C264" s="34"/>
      <c r="D264" s="34"/>
    </row>
    <row r="265">
      <c r="A265" s="34"/>
      <c r="C265" s="34"/>
      <c r="D265" s="34"/>
    </row>
    <row r="266">
      <c r="A266" s="34"/>
      <c r="C266" s="34"/>
      <c r="D266" s="34"/>
    </row>
    <row r="267">
      <c r="A267" s="34"/>
      <c r="C267" s="34"/>
      <c r="D267" s="34"/>
    </row>
    <row r="268">
      <c r="A268" s="34"/>
      <c r="C268" s="34"/>
      <c r="D268" s="34"/>
    </row>
    <row r="269">
      <c r="A269" s="34"/>
      <c r="C269" s="34"/>
      <c r="D269" s="34"/>
    </row>
    <row r="270">
      <c r="A270" s="34"/>
      <c r="C270" s="34"/>
      <c r="D270" s="34"/>
    </row>
    <row r="271">
      <c r="A271" s="34"/>
      <c r="C271" s="34"/>
      <c r="D271" s="34"/>
    </row>
    <row r="272">
      <c r="A272" s="34"/>
      <c r="C272" s="34"/>
      <c r="D272" s="34"/>
    </row>
    <row r="273">
      <c r="A273" s="34"/>
      <c r="C273" s="34"/>
      <c r="D273" s="34"/>
    </row>
    <row r="274">
      <c r="A274" s="34"/>
      <c r="C274" s="34"/>
      <c r="D274" s="34"/>
    </row>
    <row r="275">
      <c r="A275" s="34"/>
      <c r="C275" s="34"/>
      <c r="D275" s="34"/>
    </row>
    <row r="276">
      <c r="A276" s="34"/>
      <c r="C276" s="34"/>
      <c r="D276" s="34"/>
    </row>
    <row r="277">
      <c r="A277" s="34"/>
      <c r="C277" s="34"/>
      <c r="D277" s="34"/>
    </row>
    <row r="278">
      <c r="A278" s="34"/>
      <c r="C278" s="34"/>
      <c r="D278" s="34"/>
    </row>
    <row r="279">
      <c r="A279" s="34"/>
      <c r="C279" s="34"/>
      <c r="D279" s="34"/>
    </row>
    <row r="280">
      <c r="A280" s="34"/>
      <c r="C280" s="34"/>
      <c r="D280" s="34"/>
    </row>
    <row r="281">
      <c r="A281" s="34"/>
      <c r="C281" s="34"/>
      <c r="D281" s="34"/>
    </row>
    <row r="282">
      <c r="A282" s="34"/>
      <c r="C282" s="34"/>
      <c r="D282" s="34"/>
    </row>
    <row r="283">
      <c r="A283" s="34"/>
      <c r="C283" s="34"/>
      <c r="D283" s="34"/>
    </row>
    <row r="284">
      <c r="A284" s="34"/>
      <c r="C284" s="34"/>
      <c r="D284" s="34"/>
    </row>
    <row r="285">
      <c r="A285" s="34"/>
      <c r="C285" s="34"/>
      <c r="D285" s="34"/>
    </row>
    <row r="286">
      <c r="A286" s="34"/>
      <c r="C286" s="34"/>
      <c r="D286" s="34"/>
    </row>
    <row r="287">
      <c r="A287" s="34"/>
      <c r="C287" s="34"/>
      <c r="D287" s="34"/>
    </row>
    <row r="288">
      <c r="A288" s="34"/>
      <c r="C288" s="34"/>
      <c r="D288" s="34"/>
    </row>
    <row r="289">
      <c r="A289" s="34"/>
      <c r="C289" s="34"/>
      <c r="D289" s="34"/>
    </row>
    <row r="290">
      <c r="A290" s="34"/>
      <c r="C290" s="34"/>
      <c r="D290" s="34"/>
    </row>
    <row r="291">
      <c r="A291" s="34"/>
      <c r="C291" s="34"/>
      <c r="D291" s="34"/>
    </row>
    <row r="292">
      <c r="A292" s="34"/>
      <c r="C292" s="34"/>
      <c r="D292" s="34"/>
    </row>
    <row r="293">
      <c r="A293" s="34"/>
      <c r="C293" s="34"/>
      <c r="D293" s="34"/>
    </row>
    <row r="294">
      <c r="A294" s="34"/>
      <c r="C294" s="34"/>
      <c r="D294" s="34"/>
    </row>
    <row r="295">
      <c r="A295" s="34"/>
      <c r="C295" s="34"/>
      <c r="D295" s="34"/>
    </row>
    <row r="296">
      <c r="A296" s="34"/>
      <c r="C296" s="34"/>
      <c r="D296" s="34"/>
    </row>
    <row r="297">
      <c r="A297" s="34"/>
      <c r="C297" s="34"/>
      <c r="D297" s="34"/>
    </row>
    <row r="298">
      <c r="A298" s="34"/>
      <c r="C298" s="34"/>
      <c r="D298" s="34"/>
    </row>
    <row r="299">
      <c r="A299" s="34"/>
      <c r="C299" s="34"/>
      <c r="D299" s="34"/>
    </row>
    <row r="300">
      <c r="A300" s="34"/>
      <c r="C300" s="34"/>
      <c r="D300" s="34"/>
    </row>
    <row r="301">
      <c r="A301" s="34"/>
      <c r="C301" s="34"/>
      <c r="D301" s="34"/>
    </row>
    <row r="302">
      <c r="A302" s="34"/>
      <c r="C302" s="34"/>
      <c r="D302" s="34"/>
    </row>
    <row r="303">
      <c r="A303" s="34"/>
      <c r="C303" s="34"/>
      <c r="D303" s="34"/>
    </row>
    <row r="304">
      <c r="A304" s="34"/>
      <c r="C304" s="34"/>
      <c r="D304" s="34"/>
    </row>
    <row r="305">
      <c r="A305" s="34"/>
      <c r="C305" s="34"/>
      <c r="D305" s="34"/>
    </row>
    <row r="306">
      <c r="A306" s="34"/>
      <c r="C306" s="34"/>
      <c r="D306" s="34"/>
    </row>
    <row r="307">
      <c r="A307" s="34"/>
      <c r="C307" s="34"/>
      <c r="D307" s="34"/>
    </row>
    <row r="308">
      <c r="A308" s="34"/>
      <c r="C308" s="34"/>
      <c r="D308" s="34"/>
    </row>
    <row r="309">
      <c r="A309" s="34"/>
      <c r="C309" s="34"/>
      <c r="D309" s="34"/>
    </row>
    <row r="310">
      <c r="A310" s="34"/>
      <c r="C310" s="34"/>
      <c r="D310" s="34"/>
    </row>
    <row r="311">
      <c r="A311" s="34"/>
      <c r="C311" s="34"/>
      <c r="D311" s="34"/>
    </row>
    <row r="312">
      <c r="A312" s="34"/>
      <c r="C312" s="34"/>
      <c r="D312" s="34"/>
    </row>
    <row r="313">
      <c r="A313" s="34"/>
      <c r="C313" s="34"/>
      <c r="D313" s="34"/>
    </row>
    <row r="314">
      <c r="A314" s="34"/>
      <c r="C314" s="34"/>
      <c r="D314" s="34"/>
    </row>
    <row r="315">
      <c r="A315" s="34"/>
      <c r="C315" s="34"/>
      <c r="D315" s="34"/>
    </row>
    <row r="316">
      <c r="A316" s="34"/>
      <c r="C316" s="34"/>
      <c r="D316" s="34"/>
    </row>
    <row r="317">
      <c r="A317" s="34"/>
      <c r="C317" s="34"/>
      <c r="D317" s="34"/>
    </row>
    <row r="318">
      <c r="A318" s="34"/>
      <c r="C318" s="34"/>
      <c r="D318" s="34"/>
    </row>
    <row r="319">
      <c r="A319" s="34"/>
      <c r="C319" s="34"/>
      <c r="D319" s="34"/>
    </row>
    <row r="320">
      <c r="A320" s="34"/>
      <c r="C320" s="34"/>
      <c r="D320" s="34"/>
    </row>
    <row r="321">
      <c r="A321" s="34"/>
      <c r="C321" s="34"/>
      <c r="D321" s="34"/>
    </row>
    <row r="322">
      <c r="A322" s="34"/>
      <c r="C322" s="34"/>
      <c r="D322" s="34"/>
    </row>
    <row r="323">
      <c r="A323" s="34"/>
      <c r="C323" s="34"/>
      <c r="D323" s="34"/>
    </row>
    <row r="324">
      <c r="A324" s="34"/>
      <c r="C324" s="34"/>
      <c r="D324" s="34"/>
    </row>
    <row r="325">
      <c r="A325" s="34"/>
      <c r="C325" s="34"/>
      <c r="D325" s="34"/>
    </row>
    <row r="326">
      <c r="A326" s="34"/>
      <c r="C326" s="34"/>
      <c r="D326" s="34"/>
    </row>
    <row r="327">
      <c r="A327" s="34"/>
      <c r="C327" s="34"/>
      <c r="D327" s="34"/>
    </row>
    <row r="328">
      <c r="A328" s="34"/>
      <c r="C328" s="34"/>
      <c r="D328" s="34"/>
    </row>
    <row r="329">
      <c r="A329" s="34"/>
      <c r="C329" s="34"/>
      <c r="D329" s="34"/>
    </row>
    <row r="330">
      <c r="A330" s="34"/>
      <c r="C330" s="34"/>
      <c r="D330" s="34"/>
    </row>
    <row r="331">
      <c r="A331" s="34"/>
      <c r="C331" s="34"/>
      <c r="D331" s="34"/>
    </row>
    <row r="332">
      <c r="A332" s="34"/>
      <c r="C332" s="34"/>
      <c r="D332" s="34"/>
    </row>
    <row r="333">
      <c r="A333" s="34"/>
      <c r="C333" s="34"/>
      <c r="D333" s="34"/>
    </row>
    <row r="334">
      <c r="A334" s="34"/>
      <c r="C334" s="34"/>
      <c r="D334" s="34"/>
    </row>
    <row r="335">
      <c r="A335" s="34"/>
      <c r="C335" s="34"/>
      <c r="D335" s="34"/>
    </row>
    <row r="336">
      <c r="A336" s="34"/>
      <c r="C336" s="34"/>
      <c r="D336" s="34"/>
    </row>
    <row r="337">
      <c r="A337" s="34"/>
      <c r="C337" s="34"/>
      <c r="D337" s="34"/>
    </row>
    <row r="338">
      <c r="A338" s="34"/>
      <c r="C338" s="34"/>
      <c r="D338" s="34"/>
    </row>
    <row r="339">
      <c r="A339" s="34"/>
      <c r="C339" s="34"/>
      <c r="D339" s="34"/>
    </row>
    <row r="340">
      <c r="A340" s="34"/>
      <c r="C340" s="34"/>
      <c r="D340" s="34"/>
    </row>
    <row r="341">
      <c r="A341" s="34"/>
      <c r="C341" s="34"/>
      <c r="D341" s="34"/>
    </row>
    <row r="342">
      <c r="A342" s="34"/>
      <c r="C342" s="34"/>
      <c r="D342" s="34"/>
    </row>
    <row r="343">
      <c r="A343" s="34"/>
      <c r="C343" s="34"/>
      <c r="D343" s="34"/>
    </row>
    <row r="344">
      <c r="A344" s="34"/>
      <c r="C344" s="34"/>
      <c r="D344" s="34"/>
    </row>
    <row r="345">
      <c r="A345" s="34"/>
      <c r="C345" s="34"/>
      <c r="D345" s="34"/>
    </row>
    <row r="346">
      <c r="A346" s="34"/>
      <c r="C346" s="34"/>
      <c r="D346" s="34"/>
    </row>
    <row r="347">
      <c r="A347" s="34"/>
      <c r="C347" s="34"/>
      <c r="D347" s="34"/>
    </row>
    <row r="348">
      <c r="A348" s="34"/>
      <c r="C348" s="34"/>
      <c r="D348" s="34"/>
    </row>
    <row r="349">
      <c r="A349" s="34"/>
      <c r="C349" s="34"/>
      <c r="D349" s="34"/>
    </row>
    <row r="350">
      <c r="A350" s="34"/>
      <c r="C350" s="34"/>
      <c r="D350" s="34"/>
    </row>
    <row r="351">
      <c r="A351" s="34"/>
      <c r="C351" s="34"/>
      <c r="D351" s="34"/>
    </row>
    <row r="352">
      <c r="A352" s="34"/>
      <c r="C352" s="34"/>
      <c r="D352" s="34"/>
    </row>
    <row r="353">
      <c r="A353" s="34"/>
      <c r="C353" s="34"/>
      <c r="D353" s="34"/>
    </row>
    <row r="354">
      <c r="A354" s="34"/>
      <c r="C354" s="34"/>
      <c r="D354" s="34"/>
    </row>
    <row r="355">
      <c r="A355" s="34"/>
      <c r="C355" s="34"/>
      <c r="D355" s="34"/>
    </row>
    <row r="356">
      <c r="A356" s="34"/>
      <c r="C356" s="34"/>
      <c r="D356" s="34"/>
    </row>
    <row r="357">
      <c r="A357" s="34"/>
      <c r="C357" s="34"/>
      <c r="D357" s="34"/>
    </row>
    <row r="358">
      <c r="A358" s="34"/>
      <c r="C358" s="34"/>
      <c r="D358" s="34"/>
    </row>
    <row r="359">
      <c r="A359" s="34"/>
      <c r="C359" s="34"/>
      <c r="D359" s="34"/>
    </row>
    <row r="360">
      <c r="A360" s="34"/>
      <c r="C360" s="34"/>
      <c r="D360" s="34"/>
    </row>
    <row r="361">
      <c r="A361" s="34"/>
      <c r="C361" s="34"/>
      <c r="D361" s="34"/>
    </row>
    <row r="362">
      <c r="A362" s="34"/>
      <c r="C362" s="34"/>
      <c r="D362" s="34"/>
    </row>
    <row r="363">
      <c r="A363" s="34"/>
      <c r="C363" s="34"/>
      <c r="D363" s="34"/>
    </row>
    <row r="364">
      <c r="A364" s="34"/>
      <c r="C364" s="34"/>
      <c r="D364" s="34"/>
    </row>
    <row r="365">
      <c r="A365" s="34"/>
      <c r="C365" s="34"/>
      <c r="D365" s="34"/>
    </row>
    <row r="366">
      <c r="A366" s="34"/>
      <c r="C366" s="34"/>
      <c r="D366" s="34"/>
    </row>
    <row r="367">
      <c r="A367" s="34"/>
      <c r="C367" s="34"/>
      <c r="D367" s="34"/>
    </row>
    <row r="368">
      <c r="A368" s="34"/>
      <c r="C368" s="34"/>
      <c r="D368" s="34"/>
    </row>
    <row r="369">
      <c r="A369" s="34"/>
      <c r="C369" s="34"/>
      <c r="D369" s="34"/>
    </row>
    <row r="370">
      <c r="A370" s="34"/>
      <c r="C370" s="34"/>
      <c r="D370" s="34"/>
    </row>
    <row r="371">
      <c r="A371" s="34"/>
      <c r="C371" s="34"/>
      <c r="D371" s="34"/>
    </row>
    <row r="372">
      <c r="A372" s="34"/>
      <c r="C372" s="34"/>
      <c r="D372" s="34"/>
    </row>
    <row r="373">
      <c r="A373" s="34"/>
      <c r="C373" s="34"/>
      <c r="D373" s="34"/>
    </row>
    <row r="374">
      <c r="A374" s="34"/>
      <c r="C374" s="34"/>
      <c r="D374" s="34"/>
    </row>
    <row r="375">
      <c r="A375" s="34"/>
      <c r="C375" s="34"/>
      <c r="D375" s="34"/>
    </row>
    <row r="376">
      <c r="A376" s="34"/>
      <c r="C376" s="34"/>
      <c r="D376" s="34"/>
    </row>
    <row r="377">
      <c r="A377" s="34"/>
      <c r="C377" s="34"/>
      <c r="D377" s="34"/>
    </row>
    <row r="378">
      <c r="A378" s="34"/>
      <c r="C378" s="34"/>
      <c r="D378" s="34"/>
    </row>
    <row r="379">
      <c r="A379" s="34"/>
      <c r="C379" s="34"/>
      <c r="D379" s="34"/>
    </row>
    <row r="380">
      <c r="A380" s="34"/>
      <c r="C380" s="34"/>
      <c r="D380" s="34"/>
    </row>
    <row r="381">
      <c r="A381" s="34"/>
      <c r="C381" s="34"/>
      <c r="D381" s="34"/>
    </row>
    <row r="382">
      <c r="A382" s="34"/>
      <c r="C382" s="34"/>
      <c r="D382" s="34"/>
    </row>
    <row r="383">
      <c r="A383" s="34"/>
      <c r="C383" s="34"/>
      <c r="D383" s="34"/>
    </row>
    <row r="384">
      <c r="A384" s="34"/>
      <c r="C384" s="34"/>
      <c r="D384" s="34"/>
    </row>
    <row r="385">
      <c r="A385" s="34"/>
      <c r="C385" s="34"/>
      <c r="D385" s="34"/>
    </row>
    <row r="386">
      <c r="A386" s="34"/>
      <c r="C386" s="34"/>
      <c r="D386" s="34"/>
    </row>
    <row r="387">
      <c r="A387" s="34"/>
      <c r="C387" s="34"/>
      <c r="D387" s="34"/>
    </row>
    <row r="388">
      <c r="A388" s="34"/>
      <c r="C388" s="34"/>
      <c r="D388" s="34"/>
    </row>
    <row r="389">
      <c r="A389" s="34"/>
      <c r="C389" s="34"/>
      <c r="D389" s="34"/>
    </row>
    <row r="390">
      <c r="A390" s="34"/>
      <c r="C390" s="34"/>
      <c r="D390" s="34"/>
    </row>
    <row r="391">
      <c r="A391" s="34"/>
      <c r="C391" s="34"/>
      <c r="D391" s="34"/>
    </row>
    <row r="392">
      <c r="A392" s="34"/>
      <c r="C392" s="34"/>
      <c r="D392" s="34"/>
    </row>
    <row r="393">
      <c r="A393" s="34"/>
      <c r="C393" s="34"/>
      <c r="D393" s="34"/>
    </row>
    <row r="394">
      <c r="A394" s="34"/>
      <c r="C394" s="34"/>
      <c r="D394" s="34"/>
    </row>
    <row r="395">
      <c r="A395" s="34"/>
      <c r="C395" s="34"/>
      <c r="D395" s="34"/>
    </row>
    <row r="396">
      <c r="A396" s="34"/>
      <c r="C396" s="34"/>
      <c r="D396" s="34"/>
    </row>
    <row r="397">
      <c r="A397" s="34"/>
      <c r="C397" s="34"/>
      <c r="D397" s="34"/>
    </row>
    <row r="398">
      <c r="A398" s="34"/>
      <c r="C398" s="34"/>
      <c r="D398" s="34"/>
    </row>
    <row r="399">
      <c r="A399" s="34"/>
      <c r="C399" s="34"/>
      <c r="D399" s="34"/>
    </row>
    <row r="400">
      <c r="A400" s="34"/>
      <c r="C400" s="34"/>
      <c r="D400" s="34"/>
    </row>
    <row r="401">
      <c r="A401" s="34"/>
      <c r="C401" s="34"/>
      <c r="D401" s="34"/>
    </row>
    <row r="402">
      <c r="A402" s="34"/>
      <c r="C402" s="34"/>
      <c r="D402" s="34"/>
    </row>
    <row r="403">
      <c r="A403" s="34"/>
      <c r="C403" s="34"/>
      <c r="D403" s="34"/>
    </row>
    <row r="404">
      <c r="A404" s="34"/>
      <c r="C404" s="34"/>
      <c r="D404" s="34"/>
    </row>
    <row r="405">
      <c r="A405" s="34"/>
      <c r="C405" s="34"/>
      <c r="D405" s="34"/>
    </row>
    <row r="406">
      <c r="A406" s="34"/>
      <c r="C406" s="34"/>
      <c r="D406" s="34"/>
    </row>
    <row r="407">
      <c r="A407" s="34"/>
      <c r="C407" s="34"/>
      <c r="D407" s="34"/>
    </row>
    <row r="408">
      <c r="A408" s="34"/>
      <c r="C408" s="34"/>
      <c r="D408" s="34"/>
    </row>
    <row r="409">
      <c r="A409" s="34"/>
      <c r="C409" s="34"/>
      <c r="D409" s="34"/>
    </row>
    <row r="410">
      <c r="A410" s="34"/>
      <c r="C410" s="34"/>
      <c r="D410" s="34"/>
    </row>
    <row r="411">
      <c r="A411" s="34"/>
      <c r="C411" s="34"/>
      <c r="D411" s="34"/>
    </row>
    <row r="412">
      <c r="A412" s="34"/>
      <c r="C412" s="34"/>
      <c r="D412" s="34"/>
    </row>
    <row r="413">
      <c r="A413" s="34"/>
      <c r="C413" s="34"/>
      <c r="D413" s="34"/>
    </row>
    <row r="414">
      <c r="A414" s="34"/>
      <c r="C414" s="34"/>
      <c r="D414" s="34"/>
    </row>
    <row r="415">
      <c r="A415" s="34"/>
      <c r="C415" s="34"/>
      <c r="D415" s="34"/>
    </row>
    <row r="416">
      <c r="A416" s="34"/>
      <c r="C416" s="34"/>
      <c r="D416" s="34"/>
    </row>
    <row r="417">
      <c r="A417" s="34"/>
      <c r="C417" s="34"/>
      <c r="D417" s="34"/>
    </row>
    <row r="418">
      <c r="A418" s="34"/>
      <c r="C418" s="34"/>
      <c r="D418" s="34"/>
    </row>
    <row r="419">
      <c r="A419" s="34"/>
      <c r="C419" s="34"/>
      <c r="D419" s="34"/>
    </row>
    <row r="420">
      <c r="A420" s="34"/>
      <c r="C420" s="34"/>
      <c r="D420" s="34"/>
    </row>
    <row r="421">
      <c r="A421" s="34"/>
      <c r="C421" s="34"/>
      <c r="D421" s="34"/>
    </row>
    <row r="422">
      <c r="A422" s="34"/>
      <c r="C422" s="34"/>
      <c r="D422" s="34"/>
    </row>
    <row r="423">
      <c r="A423" s="34"/>
      <c r="C423" s="34"/>
      <c r="D423" s="34"/>
    </row>
    <row r="424">
      <c r="A424" s="34"/>
      <c r="C424" s="34"/>
      <c r="D424" s="34"/>
    </row>
    <row r="425">
      <c r="A425" s="34"/>
      <c r="C425" s="34"/>
      <c r="D425" s="34"/>
    </row>
    <row r="426">
      <c r="A426" s="34"/>
      <c r="C426" s="34"/>
      <c r="D426" s="34"/>
    </row>
    <row r="427">
      <c r="A427" s="34"/>
      <c r="C427" s="34"/>
      <c r="D427" s="34"/>
    </row>
    <row r="428">
      <c r="A428" s="34"/>
      <c r="C428" s="34"/>
      <c r="D428" s="34"/>
    </row>
    <row r="429">
      <c r="A429" s="34"/>
      <c r="C429" s="34"/>
      <c r="D429" s="34"/>
    </row>
    <row r="430">
      <c r="A430" s="34"/>
      <c r="C430" s="34"/>
      <c r="D430" s="34"/>
    </row>
    <row r="431">
      <c r="A431" s="34"/>
      <c r="C431" s="34"/>
      <c r="D431" s="34"/>
    </row>
    <row r="432">
      <c r="A432" s="34"/>
      <c r="C432" s="34"/>
      <c r="D432" s="34"/>
    </row>
    <row r="433">
      <c r="A433" s="34"/>
      <c r="C433" s="34"/>
      <c r="D433" s="34"/>
    </row>
    <row r="434">
      <c r="A434" s="34"/>
      <c r="C434" s="34"/>
      <c r="D434" s="34"/>
    </row>
    <row r="435">
      <c r="A435" s="34"/>
      <c r="C435" s="34"/>
      <c r="D435" s="34"/>
    </row>
    <row r="436">
      <c r="A436" s="34"/>
      <c r="C436" s="34"/>
      <c r="D436" s="34"/>
    </row>
    <row r="437">
      <c r="A437" s="34"/>
      <c r="C437" s="34"/>
      <c r="D437" s="34"/>
    </row>
    <row r="438">
      <c r="A438" s="34"/>
      <c r="C438" s="34"/>
      <c r="D438" s="34"/>
    </row>
    <row r="439">
      <c r="A439" s="34"/>
      <c r="C439" s="34"/>
      <c r="D439" s="34"/>
    </row>
    <row r="440">
      <c r="A440" s="34"/>
      <c r="C440" s="34"/>
      <c r="D440" s="34"/>
    </row>
    <row r="441">
      <c r="A441" s="34"/>
      <c r="C441" s="34"/>
      <c r="D441" s="34"/>
    </row>
    <row r="442">
      <c r="A442" s="34"/>
      <c r="C442" s="34"/>
      <c r="D442" s="34"/>
    </row>
    <row r="443">
      <c r="A443" s="34"/>
      <c r="C443" s="34"/>
      <c r="D443" s="34"/>
    </row>
    <row r="444">
      <c r="A444" s="34"/>
      <c r="C444" s="34"/>
      <c r="D444" s="34"/>
    </row>
    <row r="445">
      <c r="A445" s="34"/>
      <c r="C445" s="34"/>
      <c r="D445" s="34"/>
    </row>
    <row r="446">
      <c r="A446" s="34"/>
      <c r="C446" s="34"/>
      <c r="D446" s="34"/>
    </row>
    <row r="447">
      <c r="A447" s="34"/>
      <c r="C447" s="34"/>
      <c r="D447" s="34"/>
    </row>
    <row r="448">
      <c r="A448" s="34"/>
      <c r="C448" s="34"/>
      <c r="D448" s="34"/>
    </row>
    <row r="449">
      <c r="A449" s="34"/>
      <c r="C449" s="34"/>
      <c r="D449" s="34"/>
    </row>
    <row r="450">
      <c r="A450" s="34"/>
      <c r="C450" s="34"/>
      <c r="D450" s="34"/>
    </row>
    <row r="451">
      <c r="A451" s="34"/>
      <c r="C451" s="34"/>
      <c r="D451" s="34"/>
    </row>
    <row r="452">
      <c r="A452" s="34"/>
      <c r="C452" s="34"/>
      <c r="D452" s="34"/>
    </row>
    <row r="453">
      <c r="A453" s="34"/>
      <c r="C453" s="34"/>
      <c r="D453" s="34"/>
    </row>
    <row r="454">
      <c r="A454" s="34"/>
      <c r="C454" s="34"/>
      <c r="D454" s="34"/>
    </row>
    <row r="455">
      <c r="A455" s="34"/>
      <c r="C455" s="34"/>
      <c r="D455" s="34"/>
    </row>
    <row r="456">
      <c r="A456" s="34"/>
      <c r="C456" s="34"/>
      <c r="D456" s="34"/>
    </row>
    <row r="457">
      <c r="A457" s="34"/>
      <c r="C457" s="34"/>
      <c r="D457" s="34"/>
    </row>
    <row r="458">
      <c r="A458" s="34"/>
      <c r="C458" s="34"/>
      <c r="D458" s="34"/>
    </row>
    <row r="459">
      <c r="A459" s="34"/>
      <c r="C459" s="34"/>
      <c r="D459" s="34"/>
    </row>
    <row r="460">
      <c r="A460" s="34"/>
      <c r="C460" s="34"/>
      <c r="D460" s="34"/>
    </row>
    <row r="461">
      <c r="A461" s="34"/>
      <c r="C461" s="34"/>
      <c r="D461" s="34"/>
    </row>
    <row r="462">
      <c r="A462" s="34"/>
      <c r="C462" s="34"/>
      <c r="D462" s="34"/>
    </row>
    <row r="463">
      <c r="A463" s="34"/>
      <c r="C463" s="34"/>
      <c r="D463" s="34"/>
    </row>
    <row r="464">
      <c r="A464" s="34"/>
      <c r="C464" s="34"/>
      <c r="D464" s="34"/>
    </row>
    <row r="465">
      <c r="A465" s="34"/>
      <c r="C465" s="34"/>
      <c r="D465" s="34"/>
    </row>
    <row r="466">
      <c r="A466" s="34"/>
      <c r="C466" s="34"/>
      <c r="D466" s="34"/>
    </row>
    <row r="467">
      <c r="A467" s="34"/>
      <c r="C467" s="34"/>
      <c r="D467" s="34"/>
    </row>
    <row r="468">
      <c r="A468" s="34"/>
      <c r="C468" s="34"/>
      <c r="D468" s="34"/>
    </row>
    <row r="469">
      <c r="A469" s="34"/>
      <c r="C469" s="34"/>
      <c r="D469" s="34"/>
    </row>
    <row r="470">
      <c r="A470" s="34"/>
      <c r="C470" s="34"/>
      <c r="D470" s="34"/>
    </row>
    <row r="471">
      <c r="A471" s="34"/>
      <c r="C471" s="34"/>
      <c r="D471" s="34"/>
    </row>
    <row r="472">
      <c r="A472" s="34"/>
      <c r="C472" s="34"/>
      <c r="D472" s="34"/>
    </row>
    <row r="473">
      <c r="A473" s="34"/>
      <c r="C473" s="34"/>
      <c r="D473" s="34"/>
    </row>
    <row r="474">
      <c r="A474" s="34"/>
      <c r="C474" s="34"/>
      <c r="D474" s="34"/>
    </row>
    <row r="475">
      <c r="A475" s="34"/>
      <c r="C475" s="34"/>
      <c r="D475" s="34"/>
    </row>
    <row r="476">
      <c r="A476" s="34"/>
      <c r="C476" s="34"/>
      <c r="D476" s="34"/>
    </row>
    <row r="477">
      <c r="A477" s="34"/>
      <c r="C477" s="34"/>
      <c r="D477" s="34"/>
    </row>
    <row r="478">
      <c r="A478" s="34"/>
      <c r="C478" s="34"/>
      <c r="D478" s="34"/>
    </row>
    <row r="479">
      <c r="A479" s="34"/>
      <c r="C479" s="34"/>
      <c r="D479" s="34"/>
    </row>
    <row r="480">
      <c r="A480" s="34"/>
      <c r="C480" s="34"/>
      <c r="D480" s="34"/>
    </row>
    <row r="481">
      <c r="A481" s="34"/>
      <c r="C481" s="34"/>
      <c r="D481" s="34"/>
    </row>
    <row r="482">
      <c r="A482" s="34"/>
      <c r="C482" s="34"/>
      <c r="D482" s="34"/>
    </row>
    <row r="483">
      <c r="A483" s="34"/>
      <c r="C483" s="34"/>
      <c r="D483" s="34"/>
    </row>
    <row r="484">
      <c r="A484" s="34"/>
      <c r="C484" s="34"/>
      <c r="D484" s="34"/>
    </row>
    <row r="485">
      <c r="A485" s="34"/>
      <c r="C485" s="34"/>
      <c r="D485" s="34"/>
    </row>
    <row r="486">
      <c r="A486" s="34"/>
      <c r="C486" s="34"/>
      <c r="D486" s="34"/>
    </row>
    <row r="487">
      <c r="A487" s="34"/>
      <c r="C487" s="34"/>
      <c r="D487" s="34"/>
    </row>
    <row r="488">
      <c r="A488" s="34"/>
      <c r="C488" s="34"/>
      <c r="D488" s="34"/>
    </row>
    <row r="489">
      <c r="A489" s="34"/>
      <c r="C489" s="34"/>
      <c r="D489" s="34"/>
    </row>
    <row r="490">
      <c r="A490" s="34"/>
      <c r="C490" s="34"/>
      <c r="D490" s="34"/>
    </row>
    <row r="491">
      <c r="A491" s="34"/>
      <c r="C491" s="34"/>
      <c r="D491" s="34"/>
    </row>
    <row r="492">
      <c r="A492" s="34"/>
      <c r="C492" s="34"/>
      <c r="D492" s="34"/>
    </row>
    <row r="493">
      <c r="A493" s="34"/>
      <c r="C493" s="34"/>
      <c r="D493" s="34"/>
    </row>
    <row r="494">
      <c r="A494" s="34"/>
      <c r="C494" s="34"/>
      <c r="D494" s="34"/>
    </row>
    <row r="495">
      <c r="A495" s="34"/>
      <c r="C495" s="34"/>
      <c r="D495" s="34"/>
    </row>
    <row r="496">
      <c r="A496" s="34"/>
      <c r="C496" s="34"/>
      <c r="D496" s="34"/>
    </row>
    <row r="497">
      <c r="A497" s="34"/>
      <c r="C497" s="34"/>
      <c r="D497" s="34"/>
    </row>
    <row r="498">
      <c r="A498" s="34"/>
      <c r="C498" s="34"/>
      <c r="D498" s="34"/>
    </row>
    <row r="499">
      <c r="A499" s="34"/>
      <c r="C499" s="34"/>
      <c r="D499" s="34"/>
    </row>
    <row r="500">
      <c r="A500" s="34"/>
      <c r="C500" s="34"/>
      <c r="D500" s="34"/>
    </row>
    <row r="501">
      <c r="A501" s="34"/>
      <c r="C501" s="34"/>
      <c r="D501" s="34"/>
    </row>
    <row r="502">
      <c r="A502" s="34"/>
      <c r="C502" s="34"/>
      <c r="D502" s="34"/>
    </row>
    <row r="503">
      <c r="A503" s="34"/>
      <c r="C503" s="34"/>
      <c r="D503" s="34"/>
    </row>
    <row r="504">
      <c r="A504" s="34"/>
      <c r="C504" s="34"/>
      <c r="D504" s="34"/>
    </row>
    <row r="505">
      <c r="A505" s="34"/>
      <c r="C505" s="34"/>
      <c r="D505" s="34"/>
    </row>
    <row r="506">
      <c r="A506" s="34"/>
      <c r="C506" s="34"/>
      <c r="D506" s="34"/>
    </row>
    <row r="507">
      <c r="A507" s="34"/>
      <c r="C507" s="34"/>
      <c r="D507" s="34"/>
    </row>
    <row r="508">
      <c r="A508" s="34"/>
      <c r="C508" s="34"/>
      <c r="D508" s="34"/>
    </row>
    <row r="509">
      <c r="A509" s="34"/>
      <c r="C509" s="34"/>
      <c r="D509" s="34"/>
    </row>
    <row r="510">
      <c r="A510" s="34"/>
      <c r="C510" s="34"/>
      <c r="D510" s="34"/>
    </row>
    <row r="511">
      <c r="A511" s="34"/>
      <c r="C511" s="34"/>
      <c r="D511" s="34"/>
    </row>
    <row r="512">
      <c r="A512" s="34"/>
      <c r="C512" s="34"/>
      <c r="D512" s="34"/>
    </row>
    <row r="513">
      <c r="A513" s="34"/>
      <c r="C513" s="34"/>
      <c r="D513" s="34"/>
    </row>
    <row r="514">
      <c r="A514" s="34"/>
      <c r="C514" s="34"/>
      <c r="D514" s="34"/>
    </row>
    <row r="515">
      <c r="A515" s="34"/>
      <c r="C515" s="34"/>
      <c r="D515" s="34"/>
    </row>
    <row r="516">
      <c r="A516" s="34"/>
      <c r="C516" s="34"/>
      <c r="D516" s="34"/>
    </row>
    <row r="517">
      <c r="A517" s="34"/>
      <c r="C517" s="34"/>
      <c r="D517" s="34"/>
    </row>
    <row r="518">
      <c r="A518" s="34"/>
      <c r="C518" s="34"/>
      <c r="D518" s="34"/>
    </row>
    <row r="519">
      <c r="A519" s="34"/>
      <c r="C519" s="34"/>
      <c r="D519" s="34"/>
    </row>
    <row r="520">
      <c r="A520" s="34"/>
      <c r="C520" s="34"/>
      <c r="D520" s="34"/>
    </row>
    <row r="521">
      <c r="A521" s="34"/>
      <c r="C521" s="34"/>
      <c r="D521" s="34"/>
    </row>
    <row r="522">
      <c r="A522" s="34"/>
      <c r="C522" s="34"/>
      <c r="D522" s="34"/>
    </row>
    <row r="523">
      <c r="A523" s="34"/>
      <c r="C523" s="34"/>
      <c r="D523" s="34"/>
    </row>
    <row r="524">
      <c r="A524" s="34"/>
      <c r="C524" s="34"/>
      <c r="D524" s="34"/>
    </row>
    <row r="525">
      <c r="A525" s="34"/>
      <c r="C525" s="34"/>
      <c r="D525" s="34"/>
    </row>
    <row r="526">
      <c r="A526" s="34"/>
      <c r="C526" s="34"/>
      <c r="D526" s="34"/>
    </row>
    <row r="527">
      <c r="A527" s="34"/>
      <c r="C527" s="34"/>
      <c r="D527" s="34"/>
    </row>
    <row r="528">
      <c r="A528" s="34"/>
      <c r="C528" s="34"/>
      <c r="D528" s="34"/>
    </row>
    <row r="529">
      <c r="A529" s="34"/>
      <c r="C529" s="34"/>
      <c r="D529" s="34"/>
    </row>
    <row r="530">
      <c r="A530" s="34"/>
      <c r="C530" s="34"/>
      <c r="D530" s="34"/>
    </row>
    <row r="531">
      <c r="A531" s="34"/>
      <c r="C531" s="34"/>
      <c r="D531" s="34"/>
    </row>
    <row r="532">
      <c r="A532" s="34"/>
      <c r="C532" s="34"/>
      <c r="D532" s="34"/>
    </row>
    <row r="533">
      <c r="A533" s="34"/>
      <c r="C533" s="34"/>
      <c r="D533" s="34"/>
    </row>
    <row r="534">
      <c r="A534" s="34"/>
      <c r="C534" s="34"/>
      <c r="D534" s="34"/>
    </row>
    <row r="535">
      <c r="A535" s="34"/>
      <c r="C535" s="34"/>
      <c r="D535" s="34"/>
    </row>
    <row r="536">
      <c r="A536" s="34"/>
      <c r="C536" s="34"/>
      <c r="D536" s="34"/>
    </row>
    <row r="537">
      <c r="A537" s="34"/>
      <c r="C537" s="34"/>
      <c r="D537" s="34"/>
    </row>
    <row r="538">
      <c r="A538" s="34"/>
      <c r="C538" s="34"/>
      <c r="D538" s="34"/>
    </row>
    <row r="539">
      <c r="A539" s="34"/>
      <c r="C539" s="34"/>
      <c r="D539" s="34"/>
    </row>
    <row r="540">
      <c r="A540" s="34"/>
      <c r="C540" s="34"/>
      <c r="D540" s="34"/>
    </row>
    <row r="541">
      <c r="A541" s="34"/>
      <c r="C541" s="34"/>
      <c r="D541" s="34"/>
    </row>
    <row r="542">
      <c r="A542" s="34"/>
      <c r="C542" s="34"/>
      <c r="D542" s="34"/>
    </row>
    <row r="543">
      <c r="A543" s="34"/>
      <c r="C543" s="34"/>
      <c r="D543" s="34"/>
    </row>
    <row r="544">
      <c r="A544" s="34"/>
      <c r="C544" s="34"/>
      <c r="D544" s="34"/>
    </row>
    <row r="545">
      <c r="A545" s="34"/>
      <c r="C545" s="34"/>
      <c r="D545" s="34"/>
    </row>
    <row r="546">
      <c r="A546" s="34"/>
      <c r="C546" s="34"/>
      <c r="D546" s="34"/>
    </row>
    <row r="547">
      <c r="A547" s="34"/>
      <c r="C547" s="34"/>
      <c r="D547" s="34"/>
    </row>
    <row r="548">
      <c r="A548" s="34"/>
      <c r="C548" s="34"/>
      <c r="D548" s="34"/>
    </row>
    <row r="549">
      <c r="A549" s="34"/>
      <c r="C549" s="34"/>
      <c r="D549" s="34"/>
    </row>
    <row r="550">
      <c r="A550" s="34"/>
      <c r="C550" s="34"/>
      <c r="D550" s="34"/>
    </row>
    <row r="551">
      <c r="A551" s="34"/>
      <c r="C551" s="34"/>
      <c r="D551" s="34"/>
    </row>
    <row r="552">
      <c r="A552" s="34"/>
      <c r="C552" s="34"/>
      <c r="D552" s="34"/>
    </row>
    <row r="553">
      <c r="A553" s="34"/>
      <c r="C553" s="34"/>
      <c r="D553" s="34"/>
    </row>
    <row r="554">
      <c r="A554" s="34"/>
      <c r="C554" s="34"/>
      <c r="D554" s="34"/>
    </row>
    <row r="555">
      <c r="A555" s="34"/>
      <c r="C555" s="34"/>
      <c r="D555" s="34"/>
    </row>
    <row r="556">
      <c r="A556" s="34"/>
      <c r="C556" s="34"/>
      <c r="D556" s="34"/>
    </row>
    <row r="557">
      <c r="A557" s="34"/>
      <c r="C557" s="34"/>
      <c r="D557" s="34"/>
    </row>
    <row r="558">
      <c r="A558" s="34"/>
      <c r="C558" s="34"/>
      <c r="D558" s="34"/>
    </row>
    <row r="559">
      <c r="A559" s="34"/>
      <c r="C559" s="34"/>
      <c r="D559" s="34"/>
    </row>
    <row r="560">
      <c r="A560" s="34"/>
      <c r="C560" s="34"/>
      <c r="D560" s="34"/>
    </row>
    <row r="561">
      <c r="A561" s="34"/>
      <c r="C561" s="34"/>
      <c r="D561" s="34"/>
    </row>
    <row r="562">
      <c r="A562" s="34"/>
      <c r="C562" s="34"/>
      <c r="D562" s="34"/>
    </row>
    <row r="563">
      <c r="A563" s="34"/>
      <c r="C563" s="34"/>
      <c r="D563" s="34"/>
    </row>
    <row r="564">
      <c r="A564" s="34"/>
      <c r="C564" s="34"/>
      <c r="D564" s="34"/>
    </row>
    <row r="565">
      <c r="A565" s="34"/>
      <c r="C565" s="34"/>
      <c r="D565" s="34"/>
    </row>
    <row r="566">
      <c r="A566" s="34"/>
      <c r="C566" s="34"/>
      <c r="D566" s="34"/>
    </row>
    <row r="567">
      <c r="A567" s="34"/>
      <c r="C567" s="34"/>
      <c r="D567" s="34"/>
    </row>
    <row r="568">
      <c r="A568" s="34"/>
      <c r="C568" s="34"/>
      <c r="D568" s="34"/>
    </row>
    <row r="569">
      <c r="A569" s="34"/>
      <c r="C569" s="34"/>
      <c r="D569" s="34"/>
    </row>
    <row r="570">
      <c r="A570" s="34"/>
      <c r="C570" s="34"/>
      <c r="D570" s="34"/>
    </row>
    <row r="571">
      <c r="A571" s="34"/>
      <c r="C571" s="34"/>
      <c r="D571" s="34"/>
    </row>
    <row r="572">
      <c r="A572" s="34"/>
      <c r="C572" s="34"/>
      <c r="D572" s="34"/>
    </row>
    <row r="573">
      <c r="A573" s="34"/>
      <c r="C573" s="34"/>
      <c r="D573" s="34"/>
    </row>
    <row r="574">
      <c r="A574" s="34"/>
      <c r="C574" s="34"/>
      <c r="D574" s="34"/>
    </row>
    <row r="575">
      <c r="A575" s="34"/>
      <c r="C575" s="34"/>
      <c r="D575" s="34"/>
    </row>
    <row r="576">
      <c r="A576" s="34"/>
      <c r="C576" s="34"/>
      <c r="D576" s="34"/>
    </row>
    <row r="577">
      <c r="A577" s="34"/>
      <c r="C577" s="34"/>
      <c r="D577" s="34"/>
    </row>
    <row r="578">
      <c r="A578" s="34"/>
      <c r="C578" s="34"/>
      <c r="D578" s="34"/>
    </row>
    <row r="579">
      <c r="A579" s="34"/>
      <c r="C579" s="34"/>
      <c r="D579" s="34"/>
    </row>
    <row r="580">
      <c r="A580" s="34"/>
      <c r="C580" s="34"/>
      <c r="D580" s="34"/>
    </row>
    <row r="581">
      <c r="A581" s="34"/>
      <c r="C581" s="34"/>
      <c r="D581" s="34"/>
    </row>
    <row r="582">
      <c r="A582" s="34"/>
      <c r="C582" s="34"/>
      <c r="D582" s="34"/>
    </row>
    <row r="583">
      <c r="A583" s="34"/>
      <c r="C583" s="34"/>
      <c r="D583" s="34"/>
    </row>
    <row r="584">
      <c r="A584" s="34"/>
      <c r="C584" s="34"/>
      <c r="D584" s="34"/>
    </row>
    <row r="585">
      <c r="A585" s="34"/>
      <c r="C585" s="34"/>
      <c r="D585" s="34"/>
    </row>
    <row r="586">
      <c r="A586" s="34"/>
      <c r="C586" s="34"/>
      <c r="D586" s="34"/>
    </row>
    <row r="587">
      <c r="A587" s="34"/>
      <c r="C587" s="34"/>
      <c r="D587" s="34"/>
    </row>
    <row r="588">
      <c r="A588" s="34"/>
      <c r="C588" s="34"/>
      <c r="D588" s="34"/>
    </row>
    <row r="589">
      <c r="A589" s="34"/>
      <c r="C589" s="34"/>
      <c r="D589" s="34"/>
    </row>
    <row r="590">
      <c r="A590" s="34"/>
      <c r="C590" s="34"/>
      <c r="D590" s="34"/>
    </row>
    <row r="591">
      <c r="A591" s="34"/>
      <c r="C591" s="34"/>
      <c r="D591" s="34"/>
    </row>
    <row r="592">
      <c r="A592" s="34"/>
      <c r="C592" s="34"/>
      <c r="D592" s="34"/>
    </row>
    <row r="593">
      <c r="A593" s="34"/>
      <c r="C593" s="34"/>
      <c r="D593" s="34"/>
    </row>
    <row r="594">
      <c r="A594" s="34"/>
      <c r="C594" s="34"/>
      <c r="D594" s="34"/>
    </row>
    <row r="595">
      <c r="A595" s="34"/>
      <c r="C595" s="34"/>
      <c r="D595" s="34"/>
    </row>
    <row r="596">
      <c r="A596" s="34"/>
      <c r="C596" s="34"/>
      <c r="D596" s="34"/>
    </row>
    <row r="597">
      <c r="A597" s="34"/>
      <c r="C597" s="34"/>
      <c r="D597" s="34"/>
    </row>
    <row r="598">
      <c r="A598" s="34"/>
      <c r="C598" s="34"/>
      <c r="D598" s="34"/>
    </row>
    <row r="599">
      <c r="A599" s="34"/>
      <c r="C599" s="34"/>
      <c r="D599" s="34"/>
    </row>
    <row r="600">
      <c r="A600" s="34"/>
      <c r="C600" s="34"/>
      <c r="D600" s="34"/>
    </row>
    <row r="601">
      <c r="A601" s="34"/>
      <c r="C601" s="34"/>
      <c r="D601" s="34"/>
    </row>
    <row r="602">
      <c r="A602" s="34"/>
      <c r="C602" s="34"/>
      <c r="D602" s="34"/>
    </row>
    <row r="603">
      <c r="A603" s="34"/>
      <c r="C603" s="34"/>
      <c r="D603" s="34"/>
    </row>
    <row r="604">
      <c r="A604" s="34"/>
      <c r="C604" s="34"/>
      <c r="D604" s="34"/>
    </row>
    <row r="605">
      <c r="A605" s="34"/>
      <c r="C605" s="34"/>
      <c r="D605" s="34"/>
    </row>
    <row r="606">
      <c r="A606" s="34"/>
      <c r="C606" s="34"/>
      <c r="D606" s="34"/>
    </row>
    <row r="607">
      <c r="A607" s="34"/>
      <c r="C607" s="34"/>
      <c r="D607" s="34"/>
    </row>
    <row r="608">
      <c r="A608" s="34"/>
      <c r="C608" s="34"/>
      <c r="D608" s="34"/>
    </row>
    <row r="609">
      <c r="A609" s="34"/>
      <c r="C609" s="34"/>
      <c r="D609" s="34"/>
    </row>
    <row r="610">
      <c r="A610" s="34"/>
      <c r="C610" s="34"/>
      <c r="D610" s="34"/>
    </row>
    <row r="611">
      <c r="A611" s="34"/>
      <c r="C611" s="34"/>
      <c r="D611" s="34"/>
    </row>
    <row r="612">
      <c r="A612" s="34"/>
      <c r="C612" s="34"/>
      <c r="D612" s="34"/>
    </row>
    <row r="613">
      <c r="A613" s="34"/>
      <c r="C613" s="34"/>
      <c r="D613" s="34"/>
    </row>
    <row r="614">
      <c r="A614" s="34"/>
      <c r="C614" s="34"/>
      <c r="D614" s="34"/>
    </row>
    <row r="615">
      <c r="A615" s="34"/>
      <c r="C615" s="34"/>
      <c r="D615" s="34"/>
    </row>
    <row r="616">
      <c r="A616" s="34"/>
      <c r="C616" s="34"/>
      <c r="D616" s="34"/>
    </row>
    <row r="617">
      <c r="A617" s="34"/>
      <c r="C617" s="34"/>
      <c r="D617" s="34"/>
    </row>
    <row r="618">
      <c r="A618" s="34"/>
      <c r="C618" s="34"/>
      <c r="D618" s="34"/>
    </row>
    <row r="619">
      <c r="A619" s="34"/>
      <c r="C619" s="34"/>
      <c r="D619" s="34"/>
    </row>
    <row r="620">
      <c r="A620" s="34"/>
      <c r="C620" s="34"/>
      <c r="D620" s="34"/>
    </row>
    <row r="621">
      <c r="A621" s="34"/>
      <c r="C621" s="34"/>
      <c r="D621" s="34"/>
    </row>
    <row r="622">
      <c r="A622" s="34"/>
      <c r="C622" s="34"/>
      <c r="D622" s="34"/>
    </row>
    <row r="623">
      <c r="A623" s="34"/>
      <c r="C623" s="34"/>
      <c r="D623" s="34"/>
    </row>
    <row r="624">
      <c r="A624" s="34"/>
      <c r="C624" s="34"/>
      <c r="D624" s="34"/>
    </row>
    <row r="625">
      <c r="A625" s="34"/>
      <c r="C625" s="34"/>
      <c r="D625" s="34"/>
    </row>
    <row r="626">
      <c r="A626" s="34"/>
      <c r="C626" s="34"/>
      <c r="D626" s="34"/>
    </row>
    <row r="627">
      <c r="A627" s="34"/>
      <c r="C627" s="34"/>
      <c r="D627" s="34"/>
    </row>
    <row r="628">
      <c r="A628" s="34"/>
      <c r="C628" s="34"/>
      <c r="D628" s="34"/>
    </row>
    <row r="629">
      <c r="A629" s="34"/>
      <c r="C629" s="34"/>
      <c r="D629" s="34"/>
    </row>
    <row r="630">
      <c r="A630" s="34"/>
      <c r="C630" s="34"/>
      <c r="D630" s="34"/>
    </row>
    <row r="631">
      <c r="A631" s="34"/>
      <c r="C631" s="34"/>
      <c r="D631" s="34"/>
    </row>
    <row r="632">
      <c r="A632" s="34"/>
      <c r="C632" s="34"/>
      <c r="D632" s="34"/>
    </row>
    <row r="633">
      <c r="A633" s="34"/>
      <c r="C633" s="34"/>
      <c r="D633" s="34"/>
    </row>
    <row r="634">
      <c r="A634" s="34"/>
      <c r="C634" s="34"/>
      <c r="D634" s="34"/>
    </row>
    <row r="635">
      <c r="A635" s="34"/>
      <c r="C635" s="34"/>
      <c r="D635" s="34"/>
    </row>
    <row r="636">
      <c r="A636" s="34"/>
      <c r="C636" s="34"/>
      <c r="D636" s="34"/>
    </row>
    <row r="637">
      <c r="A637" s="34"/>
      <c r="C637" s="34"/>
      <c r="D637" s="34"/>
    </row>
    <row r="638">
      <c r="A638" s="34"/>
      <c r="C638" s="34"/>
      <c r="D638" s="34"/>
    </row>
    <row r="639">
      <c r="A639" s="34"/>
      <c r="C639" s="34"/>
      <c r="D639" s="34"/>
    </row>
    <row r="640">
      <c r="A640" s="34"/>
      <c r="C640" s="34"/>
      <c r="D640" s="34"/>
    </row>
    <row r="641">
      <c r="A641" s="34"/>
      <c r="C641" s="34"/>
      <c r="D641" s="34"/>
    </row>
    <row r="642">
      <c r="A642" s="34"/>
      <c r="C642" s="34"/>
      <c r="D642" s="34"/>
    </row>
    <row r="643">
      <c r="A643" s="34"/>
      <c r="C643" s="34"/>
      <c r="D643" s="34"/>
    </row>
    <row r="644">
      <c r="A644" s="34"/>
      <c r="C644" s="34"/>
      <c r="D644" s="34"/>
    </row>
    <row r="645">
      <c r="A645" s="34"/>
      <c r="C645" s="34"/>
      <c r="D645" s="34"/>
    </row>
    <row r="646">
      <c r="A646" s="34"/>
      <c r="C646" s="34"/>
      <c r="D646" s="34"/>
    </row>
    <row r="647">
      <c r="A647" s="34"/>
      <c r="C647" s="34"/>
      <c r="D647" s="34"/>
    </row>
    <row r="648">
      <c r="A648" s="34"/>
      <c r="C648" s="34"/>
      <c r="D648" s="34"/>
    </row>
    <row r="649">
      <c r="A649" s="34"/>
      <c r="C649" s="34"/>
      <c r="D649" s="34"/>
    </row>
    <row r="650">
      <c r="A650" s="34"/>
      <c r="C650" s="34"/>
      <c r="D650" s="34"/>
    </row>
    <row r="651">
      <c r="A651" s="34"/>
      <c r="C651" s="34"/>
      <c r="D651" s="34"/>
    </row>
    <row r="652">
      <c r="A652" s="34"/>
      <c r="C652" s="34"/>
      <c r="D652" s="34"/>
    </row>
    <row r="653">
      <c r="A653" s="34"/>
      <c r="C653" s="34"/>
      <c r="D653" s="34"/>
    </row>
    <row r="654">
      <c r="A654" s="34"/>
      <c r="C654" s="34"/>
      <c r="D654" s="34"/>
    </row>
    <row r="655">
      <c r="A655" s="34"/>
      <c r="C655" s="34"/>
      <c r="D655" s="34"/>
    </row>
    <row r="656">
      <c r="A656" s="34"/>
      <c r="C656" s="34"/>
      <c r="D656" s="34"/>
    </row>
    <row r="657">
      <c r="A657" s="34"/>
      <c r="C657" s="34"/>
      <c r="D657" s="34"/>
    </row>
    <row r="658">
      <c r="A658" s="34"/>
      <c r="C658" s="34"/>
      <c r="D658" s="34"/>
    </row>
    <row r="659">
      <c r="A659" s="34"/>
      <c r="C659" s="34"/>
      <c r="D659" s="34"/>
    </row>
    <row r="660">
      <c r="A660" s="34"/>
      <c r="C660" s="34"/>
      <c r="D660" s="34"/>
    </row>
    <row r="661">
      <c r="A661" s="34"/>
      <c r="C661" s="34"/>
      <c r="D661" s="34"/>
    </row>
    <row r="662">
      <c r="A662" s="34"/>
      <c r="C662" s="34"/>
      <c r="D662" s="34"/>
    </row>
    <row r="663">
      <c r="A663" s="34"/>
      <c r="C663" s="34"/>
      <c r="D663" s="34"/>
    </row>
    <row r="664">
      <c r="A664" s="34"/>
      <c r="C664" s="34"/>
      <c r="D664" s="34"/>
    </row>
    <row r="665">
      <c r="A665" s="34"/>
      <c r="C665" s="34"/>
      <c r="D665" s="34"/>
    </row>
    <row r="666">
      <c r="A666" s="34"/>
      <c r="C666" s="34"/>
      <c r="D666" s="34"/>
    </row>
    <row r="667">
      <c r="A667" s="34"/>
      <c r="C667" s="34"/>
      <c r="D667" s="34"/>
    </row>
    <row r="668">
      <c r="A668" s="34"/>
      <c r="C668" s="34"/>
      <c r="D668" s="34"/>
    </row>
    <row r="669">
      <c r="A669" s="34"/>
      <c r="C669" s="34"/>
      <c r="D669" s="34"/>
    </row>
    <row r="670">
      <c r="A670" s="34"/>
      <c r="C670" s="34"/>
      <c r="D670" s="34"/>
    </row>
    <row r="671">
      <c r="A671" s="34"/>
      <c r="C671" s="34"/>
      <c r="D671" s="34"/>
    </row>
    <row r="672">
      <c r="A672" s="34"/>
      <c r="C672" s="34"/>
      <c r="D672" s="34"/>
    </row>
    <row r="673">
      <c r="A673" s="34"/>
      <c r="C673" s="34"/>
      <c r="D673" s="34"/>
    </row>
    <row r="674">
      <c r="A674" s="34"/>
      <c r="C674" s="34"/>
      <c r="D674" s="34"/>
    </row>
    <row r="675">
      <c r="A675" s="34"/>
      <c r="C675" s="34"/>
      <c r="D675" s="34"/>
    </row>
    <row r="676">
      <c r="A676" s="34"/>
      <c r="C676" s="34"/>
      <c r="D676" s="34"/>
    </row>
    <row r="677">
      <c r="A677" s="34"/>
      <c r="C677" s="34"/>
      <c r="D677" s="34"/>
    </row>
    <row r="678">
      <c r="A678" s="34"/>
      <c r="C678" s="34"/>
      <c r="D678" s="34"/>
    </row>
    <row r="679">
      <c r="A679" s="34"/>
      <c r="C679" s="34"/>
      <c r="D679" s="34"/>
    </row>
    <row r="680">
      <c r="A680" s="34"/>
      <c r="C680" s="34"/>
      <c r="D680" s="34"/>
    </row>
    <row r="681">
      <c r="A681" s="34"/>
      <c r="C681" s="34"/>
      <c r="D681" s="34"/>
    </row>
    <row r="682">
      <c r="A682" s="34"/>
      <c r="C682" s="34"/>
      <c r="D682" s="34"/>
    </row>
    <row r="683">
      <c r="A683" s="34"/>
      <c r="C683" s="34"/>
      <c r="D683" s="34"/>
    </row>
    <row r="684">
      <c r="A684" s="34"/>
      <c r="C684" s="34"/>
      <c r="D684" s="34"/>
    </row>
    <row r="685">
      <c r="A685" s="34"/>
      <c r="C685" s="34"/>
      <c r="D685" s="34"/>
    </row>
    <row r="686">
      <c r="A686" s="34"/>
      <c r="C686" s="34"/>
      <c r="D686" s="34"/>
    </row>
    <row r="687">
      <c r="A687" s="34"/>
      <c r="C687" s="34"/>
      <c r="D687" s="34"/>
    </row>
    <row r="688">
      <c r="A688" s="34"/>
      <c r="C688" s="34"/>
      <c r="D688" s="34"/>
    </row>
    <row r="689">
      <c r="A689" s="34"/>
      <c r="C689" s="34"/>
      <c r="D689" s="34"/>
    </row>
    <row r="690">
      <c r="A690" s="34"/>
      <c r="C690" s="34"/>
      <c r="D690" s="34"/>
    </row>
    <row r="691">
      <c r="A691" s="34"/>
      <c r="C691" s="34"/>
      <c r="D691" s="34"/>
    </row>
    <row r="692">
      <c r="A692" s="34"/>
      <c r="C692" s="34"/>
      <c r="D692" s="34"/>
    </row>
    <row r="693">
      <c r="A693" s="34"/>
      <c r="C693" s="34"/>
      <c r="D693" s="34"/>
    </row>
    <row r="694">
      <c r="A694" s="34"/>
      <c r="C694" s="34"/>
      <c r="D694" s="34"/>
    </row>
    <row r="695">
      <c r="A695" s="34"/>
      <c r="C695" s="34"/>
      <c r="D695" s="34"/>
    </row>
    <row r="696">
      <c r="A696" s="34"/>
      <c r="C696" s="34"/>
      <c r="D696" s="34"/>
    </row>
    <row r="697">
      <c r="A697" s="34"/>
      <c r="C697" s="34"/>
      <c r="D697" s="34"/>
    </row>
    <row r="698">
      <c r="A698" s="34"/>
      <c r="C698" s="34"/>
      <c r="D698" s="34"/>
    </row>
    <row r="699">
      <c r="A699" s="34"/>
      <c r="C699" s="34"/>
      <c r="D699" s="34"/>
    </row>
    <row r="700">
      <c r="A700" s="34"/>
      <c r="C700" s="34"/>
      <c r="D700" s="34"/>
    </row>
    <row r="701">
      <c r="A701" s="34"/>
      <c r="C701" s="34"/>
      <c r="D701" s="34"/>
    </row>
    <row r="702">
      <c r="A702" s="34"/>
      <c r="C702" s="34"/>
      <c r="D702" s="34"/>
    </row>
    <row r="703">
      <c r="A703" s="34"/>
      <c r="C703" s="34"/>
      <c r="D703" s="34"/>
    </row>
    <row r="704">
      <c r="A704" s="34"/>
      <c r="C704" s="34"/>
      <c r="D704" s="34"/>
    </row>
    <row r="705">
      <c r="A705" s="34"/>
      <c r="C705" s="34"/>
      <c r="D705" s="34"/>
    </row>
    <row r="706">
      <c r="A706" s="34"/>
      <c r="C706" s="34"/>
      <c r="D706" s="34"/>
    </row>
    <row r="707">
      <c r="A707" s="34"/>
      <c r="C707" s="34"/>
      <c r="D707" s="34"/>
    </row>
    <row r="708">
      <c r="A708" s="34"/>
      <c r="C708" s="34"/>
      <c r="D708" s="34"/>
    </row>
    <row r="709">
      <c r="A709" s="34"/>
      <c r="C709" s="34"/>
      <c r="D709" s="34"/>
    </row>
    <row r="710">
      <c r="A710" s="34"/>
      <c r="C710" s="34"/>
      <c r="D710" s="34"/>
    </row>
    <row r="711">
      <c r="A711" s="34"/>
      <c r="C711" s="34"/>
      <c r="D711" s="34"/>
    </row>
    <row r="712">
      <c r="A712" s="34"/>
      <c r="C712" s="34"/>
      <c r="D712" s="34"/>
    </row>
    <row r="713">
      <c r="A713" s="34"/>
      <c r="C713" s="34"/>
      <c r="D713" s="34"/>
    </row>
    <row r="714">
      <c r="A714" s="34"/>
      <c r="C714" s="34"/>
      <c r="D714" s="34"/>
    </row>
    <row r="715">
      <c r="A715" s="34"/>
      <c r="C715" s="34"/>
      <c r="D715" s="34"/>
    </row>
    <row r="716">
      <c r="A716" s="34"/>
      <c r="C716" s="34"/>
      <c r="D716" s="34"/>
    </row>
    <row r="717">
      <c r="A717" s="34"/>
      <c r="C717" s="34"/>
      <c r="D717" s="34"/>
    </row>
    <row r="718">
      <c r="A718" s="34"/>
      <c r="C718" s="34"/>
      <c r="D718" s="34"/>
    </row>
    <row r="719">
      <c r="A719" s="34"/>
      <c r="C719" s="34"/>
      <c r="D719" s="34"/>
    </row>
    <row r="720">
      <c r="A720" s="34"/>
      <c r="C720" s="34"/>
      <c r="D720" s="34"/>
    </row>
    <row r="721">
      <c r="A721" s="34"/>
      <c r="C721" s="34"/>
      <c r="D721" s="34"/>
    </row>
    <row r="722">
      <c r="A722" s="34"/>
      <c r="C722" s="34"/>
      <c r="D722" s="34"/>
    </row>
    <row r="723">
      <c r="A723" s="34"/>
      <c r="C723" s="34"/>
      <c r="D723" s="34"/>
    </row>
    <row r="724">
      <c r="A724" s="34"/>
      <c r="C724" s="34"/>
      <c r="D724" s="34"/>
    </row>
    <row r="725">
      <c r="A725" s="34"/>
      <c r="C725" s="34"/>
      <c r="D725" s="34"/>
    </row>
    <row r="726">
      <c r="A726" s="34"/>
      <c r="C726" s="34"/>
      <c r="D726" s="34"/>
    </row>
    <row r="727">
      <c r="A727" s="34"/>
      <c r="C727" s="34"/>
      <c r="D727" s="34"/>
    </row>
    <row r="728">
      <c r="A728" s="34"/>
      <c r="C728" s="34"/>
      <c r="D728" s="34"/>
    </row>
    <row r="729">
      <c r="A729" s="34"/>
      <c r="C729" s="34"/>
      <c r="D729" s="34"/>
    </row>
    <row r="730">
      <c r="A730" s="34"/>
      <c r="C730" s="34"/>
      <c r="D730" s="34"/>
    </row>
    <row r="731">
      <c r="A731" s="34"/>
      <c r="C731" s="34"/>
      <c r="D731" s="34"/>
    </row>
    <row r="732">
      <c r="A732" s="34"/>
      <c r="C732" s="34"/>
      <c r="D732" s="34"/>
    </row>
    <row r="733">
      <c r="A733" s="34"/>
      <c r="C733" s="34"/>
      <c r="D733" s="34"/>
    </row>
    <row r="734">
      <c r="A734" s="34"/>
      <c r="C734" s="34"/>
      <c r="D734" s="34"/>
    </row>
    <row r="735">
      <c r="A735" s="34"/>
      <c r="C735" s="34"/>
      <c r="D735" s="34"/>
    </row>
    <row r="736">
      <c r="A736" s="34"/>
      <c r="C736" s="34"/>
      <c r="D736" s="34"/>
    </row>
    <row r="737">
      <c r="A737" s="34"/>
      <c r="C737" s="34"/>
      <c r="D737" s="34"/>
    </row>
    <row r="738">
      <c r="A738" s="34"/>
      <c r="C738" s="34"/>
      <c r="D738" s="34"/>
    </row>
    <row r="739">
      <c r="A739" s="34"/>
      <c r="C739" s="34"/>
      <c r="D739" s="34"/>
    </row>
    <row r="740">
      <c r="A740" s="34"/>
      <c r="C740" s="34"/>
      <c r="D740" s="34"/>
    </row>
    <row r="741">
      <c r="A741" s="34"/>
      <c r="C741" s="34"/>
      <c r="D741" s="34"/>
    </row>
    <row r="742">
      <c r="A742" s="34"/>
      <c r="C742" s="34"/>
      <c r="D742" s="34"/>
    </row>
    <row r="743">
      <c r="A743" s="34"/>
      <c r="C743" s="34"/>
      <c r="D743" s="34"/>
    </row>
    <row r="744">
      <c r="A744" s="34"/>
      <c r="C744" s="34"/>
      <c r="D744" s="34"/>
    </row>
    <row r="745">
      <c r="A745" s="34"/>
      <c r="C745" s="34"/>
      <c r="D745" s="34"/>
    </row>
    <row r="746">
      <c r="A746" s="34"/>
      <c r="C746" s="34"/>
      <c r="D746" s="34"/>
    </row>
    <row r="747">
      <c r="A747" s="34"/>
      <c r="C747" s="34"/>
      <c r="D747" s="34"/>
    </row>
    <row r="748">
      <c r="A748" s="34"/>
      <c r="C748" s="34"/>
      <c r="D748" s="34"/>
    </row>
    <row r="749">
      <c r="A749" s="34"/>
      <c r="C749" s="34"/>
      <c r="D749" s="34"/>
    </row>
    <row r="750">
      <c r="A750" s="34"/>
      <c r="C750" s="34"/>
      <c r="D750" s="34"/>
    </row>
    <row r="751">
      <c r="A751" s="34"/>
      <c r="C751" s="34"/>
      <c r="D751" s="34"/>
    </row>
    <row r="752">
      <c r="A752" s="34"/>
      <c r="C752" s="34"/>
      <c r="D752" s="34"/>
    </row>
    <row r="753">
      <c r="A753" s="34"/>
      <c r="C753" s="34"/>
      <c r="D753" s="34"/>
    </row>
    <row r="754">
      <c r="A754" s="34"/>
      <c r="C754" s="34"/>
      <c r="D754" s="34"/>
    </row>
    <row r="755">
      <c r="A755" s="34"/>
      <c r="C755" s="34"/>
      <c r="D755" s="34"/>
    </row>
    <row r="756">
      <c r="A756" s="34"/>
      <c r="C756" s="34"/>
      <c r="D756" s="34"/>
    </row>
    <row r="757">
      <c r="A757" s="34"/>
      <c r="C757" s="34"/>
      <c r="D757" s="34"/>
    </row>
    <row r="758">
      <c r="A758" s="34"/>
      <c r="C758" s="34"/>
      <c r="D758" s="34"/>
    </row>
    <row r="759">
      <c r="A759" s="34"/>
      <c r="C759" s="34"/>
      <c r="D759" s="34"/>
    </row>
    <row r="760">
      <c r="A760" s="34"/>
      <c r="C760" s="34"/>
      <c r="D760" s="34"/>
    </row>
    <row r="761">
      <c r="A761" s="34"/>
      <c r="C761" s="34"/>
      <c r="D761" s="34"/>
    </row>
    <row r="762">
      <c r="A762" s="34"/>
      <c r="C762" s="34"/>
      <c r="D762" s="34"/>
    </row>
    <row r="763">
      <c r="A763" s="34"/>
      <c r="C763" s="34"/>
      <c r="D763" s="34"/>
    </row>
    <row r="764">
      <c r="A764" s="34"/>
      <c r="C764" s="34"/>
      <c r="D764" s="34"/>
    </row>
    <row r="765">
      <c r="A765" s="34"/>
      <c r="C765" s="34"/>
      <c r="D765" s="34"/>
    </row>
    <row r="766">
      <c r="A766" s="34"/>
      <c r="C766" s="34"/>
      <c r="D766" s="34"/>
    </row>
    <row r="767">
      <c r="A767" s="34"/>
      <c r="C767" s="34"/>
      <c r="D767" s="34"/>
    </row>
    <row r="768">
      <c r="A768" s="34"/>
      <c r="C768" s="34"/>
      <c r="D768" s="34"/>
    </row>
    <row r="769">
      <c r="A769" s="34"/>
      <c r="C769" s="34"/>
      <c r="D769" s="34"/>
    </row>
    <row r="770">
      <c r="A770" s="34"/>
      <c r="C770" s="34"/>
      <c r="D770" s="34"/>
    </row>
    <row r="771">
      <c r="A771" s="34"/>
      <c r="C771" s="34"/>
      <c r="D771" s="34"/>
    </row>
    <row r="772">
      <c r="A772" s="34"/>
      <c r="C772" s="34"/>
      <c r="D772" s="34"/>
    </row>
    <row r="773">
      <c r="A773" s="34"/>
      <c r="C773" s="34"/>
      <c r="D773" s="34"/>
    </row>
    <row r="774">
      <c r="A774" s="34"/>
      <c r="C774" s="34"/>
      <c r="D774" s="34"/>
    </row>
    <row r="775">
      <c r="A775" s="34"/>
      <c r="C775" s="34"/>
      <c r="D775" s="34"/>
    </row>
    <row r="776">
      <c r="A776" s="34"/>
      <c r="C776" s="34"/>
      <c r="D776" s="34"/>
    </row>
    <row r="777">
      <c r="A777" s="34"/>
      <c r="C777" s="34"/>
      <c r="D777" s="34"/>
    </row>
    <row r="778">
      <c r="A778" s="34"/>
      <c r="C778" s="34"/>
      <c r="D778" s="34"/>
    </row>
    <row r="779">
      <c r="A779" s="34"/>
      <c r="C779" s="34"/>
      <c r="D779" s="34"/>
    </row>
    <row r="780">
      <c r="A780" s="34"/>
      <c r="C780" s="34"/>
      <c r="D780" s="34"/>
    </row>
    <row r="781">
      <c r="A781" s="34"/>
      <c r="C781" s="34"/>
      <c r="D781" s="34"/>
    </row>
    <row r="782">
      <c r="A782" s="34"/>
      <c r="C782" s="34"/>
      <c r="D782" s="34"/>
    </row>
    <row r="783">
      <c r="A783" s="34"/>
      <c r="C783" s="34"/>
      <c r="D783" s="34"/>
    </row>
    <row r="784">
      <c r="A784" s="34"/>
      <c r="C784" s="34"/>
      <c r="D784" s="34"/>
    </row>
    <row r="785">
      <c r="A785" s="34"/>
      <c r="C785" s="34"/>
      <c r="D785" s="34"/>
    </row>
    <row r="786">
      <c r="A786" s="34"/>
      <c r="C786" s="34"/>
      <c r="D786" s="34"/>
    </row>
    <row r="787">
      <c r="A787" s="34"/>
      <c r="C787" s="34"/>
      <c r="D787" s="34"/>
    </row>
    <row r="788">
      <c r="A788" s="34"/>
      <c r="C788" s="34"/>
      <c r="D788" s="34"/>
    </row>
    <row r="789">
      <c r="A789" s="34"/>
      <c r="C789" s="34"/>
      <c r="D789" s="34"/>
    </row>
    <row r="790">
      <c r="A790" s="34"/>
      <c r="C790" s="34"/>
      <c r="D790" s="34"/>
    </row>
    <row r="791">
      <c r="A791" s="34"/>
      <c r="C791" s="34"/>
      <c r="D791" s="34"/>
    </row>
    <row r="792">
      <c r="A792" s="34"/>
      <c r="C792" s="34"/>
      <c r="D792" s="34"/>
    </row>
    <row r="793">
      <c r="A793" s="34"/>
      <c r="C793" s="34"/>
      <c r="D793" s="34"/>
    </row>
    <row r="794">
      <c r="A794" s="34"/>
      <c r="C794" s="34"/>
      <c r="D794" s="34"/>
    </row>
    <row r="795">
      <c r="A795" s="34"/>
      <c r="C795" s="34"/>
      <c r="D795" s="34"/>
    </row>
    <row r="796">
      <c r="A796" s="34"/>
      <c r="C796" s="34"/>
      <c r="D796" s="34"/>
    </row>
    <row r="797">
      <c r="A797" s="34"/>
      <c r="C797" s="34"/>
      <c r="D797" s="34"/>
    </row>
    <row r="798">
      <c r="A798" s="34"/>
      <c r="C798" s="34"/>
      <c r="D798" s="34"/>
    </row>
    <row r="799">
      <c r="A799" s="34"/>
      <c r="C799" s="34"/>
      <c r="D799" s="34"/>
    </row>
    <row r="800">
      <c r="A800" s="34"/>
      <c r="C800" s="34"/>
      <c r="D800" s="34"/>
    </row>
    <row r="801">
      <c r="A801" s="34"/>
      <c r="C801" s="34"/>
      <c r="D801" s="34"/>
    </row>
    <row r="802">
      <c r="A802" s="34"/>
      <c r="C802" s="34"/>
      <c r="D802" s="34"/>
    </row>
    <row r="803">
      <c r="A803" s="34"/>
      <c r="C803" s="34"/>
      <c r="D803" s="34"/>
    </row>
    <row r="804">
      <c r="A804" s="34"/>
      <c r="C804" s="34"/>
      <c r="D804" s="34"/>
    </row>
    <row r="805">
      <c r="A805" s="34"/>
      <c r="C805" s="34"/>
      <c r="D805" s="34"/>
    </row>
    <row r="806">
      <c r="A806" s="34"/>
      <c r="C806" s="34"/>
      <c r="D806" s="34"/>
    </row>
    <row r="807">
      <c r="A807" s="34"/>
      <c r="C807" s="34"/>
      <c r="D807" s="34"/>
    </row>
    <row r="808">
      <c r="A808" s="34"/>
      <c r="C808" s="34"/>
      <c r="D808" s="34"/>
    </row>
    <row r="809">
      <c r="A809" s="34"/>
      <c r="C809" s="34"/>
      <c r="D809" s="34"/>
    </row>
    <row r="810">
      <c r="A810" s="34"/>
      <c r="C810" s="34"/>
      <c r="D810" s="34"/>
    </row>
    <row r="811">
      <c r="A811" s="34"/>
      <c r="C811" s="34"/>
      <c r="D811" s="34"/>
    </row>
    <row r="812">
      <c r="A812" s="34"/>
      <c r="C812" s="34"/>
      <c r="D812" s="34"/>
    </row>
    <row r="813">
      <c r="A813" s="34"/>
      <c r="C813" s="34"/>
      <c r="D813" s="34"/>
    </row>
    <row r="814">
      <c r="A814" s="34"/>
      <c r="C814" s="34"/>
      <c r="D814" s="34"/>
    </row>
    <row r="815">
      <c r="A815" s="34"/>
      <c r="C815" s="34"/>
      <c r="D815" s="34"/>
    </row>
    <row r="816">
      <c r="A816" s="34"/>
      <c r="C816" s="34"/>
      <c r="D816" s="34"/>
    </row>
    <row r="817">
      <c r="A817" s="34"/>
      <c r="C817" s="34"/>
      <c r="D817" s="34"/>
    </row>
    <row r="818">
      <c r="A818" s="34"/>
      <c r="C818" s="34"/>
      <c r="D818" s="34"/>
    </row>
    <row r="819">
      <c r="A819" s="34"/>
      <c r="C819" s="34"/>
      <c r="D819" s="34"/>
    </row>
    <row r="820">
      <c r="A820" s="34"/>
      <c r="C820" s="34"/>
      <c r="D820" s="34"/>
    </row>
    <row r="821">
      <c r="A821" s="34"/>
      <c r="C821" s="34"/>
      <c r="D821" s="34"/>
    </row>
    <row r="822">
      <c r="A822" s="34"/>
      <c r="C822" s="34"/>
      <c r="D822" s="34"/>
    </row>
    <row r="823">
      <c r="A823" s="34"/>
      <c r="C823" s="34"/>
      <c r="D823" s="34"/>
    </row>
    <row r="824">
      <c r="A824" s="34"/>
      <c r="C824" s="34"/>
      <c r="D824" s="34"/>
    </row>
    <row r="825">
      <c r="A825" s="34"/>
      <c r="C825" s="34"/>
      <c r="D825" s="34"/>
    </row>
    <row r="826">
      <c r="A826" s="34"/>
      <c r="C826" s="34"/>
      <c r="D826" s="34"/>
    </row>
    <row r="827">
      <c r="A827" s="34"/>
      <c r="C827" s="34"/>
      <c r="D827" s="34"/>
    </row>
    <row r="828">
      <c r="A828" s="34"/>
      <c r="C828" s="34"/>
      <c r="D828" s="34"/>
    </row>
    <row r="829">
      <c r="A829" s="34"/>
      <c r="C829" s="34"/>
      <c r="D829" s="34"/>
    </row>
    <row r="830">
      <c r="A830" s="34"/>
      <c r="C830" s="34"/>
      <c r="D830" s="34"/>
    </row>
    <row r="831">
      <c r="A831" s="34"/>
      <c r="C831" s="34"/>
      <c r="D831" s="34"/>
    </row>
    <row r="832">
      <c r="A832" s="34"/>
      <c r="C832" s="34"/>
      <c r="D832" s="34"/>
    </row>
    <row r="833">
      <c r="A833" s="34"/>
      <c r="C833" s="34"/>
      <c r="D833" s="34"/>
    </row>
    <row r="834">
      <c r="A834" s="34"/>
      <c r="C834" s="34"/>
      <c r="D834" s="34"/>
    </row>
    <row r="835">
      <c r="A835" s="34"/>
      <c r="C835" s="34"/>
      <c r="D835" s="34"/>
    </row>
    <row r="836">
      <c r="A836" s="34"/>
      <c r="C836" s="34"/>
      <c r="D836" s="34"/>
    </row>
    <row r="837">
      <c r="A837" s="34"/>
      <c r="C837" s="34"/>
      <c r="D837" s="34"/>
    </row>
    <row r="838">
      <c r="A838" s="34"/>
      <c r="C838" s="34"/>
      <c r="D838" s="34"/>
    </row>
    <row r="839">
      <c r="A839" s="34"/>
      <c r="C839" s="34"/>
      <c r="D839" s="34"/>
    </row>
    <row r="840">
      <c r="A840" s="34"/>
      <c r="C840" s="34"/>
      <c r="D840" s="34"/>
    </row>
    <row r="841">
      <c r="A841" s="34"/>
      <c r="C841" s="34"/>
      <c r="D841" s="34"/>
    </row>
    <row r="842">
      <c r="A842" s="34"/>
      <c r="C842" s="34"/>
      <c r="D842" s="34"/>
    </row>
    <row r="843">
      <c r="A843" s="34"/>
      <c r="C843" s="34"/>
      <c r="D843" s="34"/>
    </row>
    <row r="844">
      <c r="A844" s="34"/>
      <c r="C844" s="34"/>
      <c r="D844" s="34"/>
    </row>
    <row r="845">
      <c r="A845" s="34"/>
      <c r="C845" s="34"/>
      <c r="D845" s="34"/>
    </row>
    <row r="846">
      <c r="A846" s="34"/>
      <c r="C846" s="34"/>
      <c r="D846" s="34"/>
    </row>
    <row r="847">
      <c r="A847" s="34"/>
      <c r="C847" s="34"/>
      <c r="D847" s="34"/>
    </row>
    <row r="848">
      <c r="A848" s="34"/>
      <c r="C848" s="34"/>
      <c r="D848" s="34"/>
    </row>
    <row r="849">
      <c r="A849" s="34"/>
      <c r="C849" s="34"/>
      <c r="D849" s="34"/>
    </row>
    <row r="850">
      <c r="A850" s="34"/>
      <c r="C850" s="34"/>
      <c r="D850" s="34"/>
    </row>
    <row r="851">
      <c r="A851" s="34"/>
      <c r="C851" s="34"/>
      <c r="D851" s="34"/>
    </row>
    <row r="852">
      <c r="A852" s="34"/>
      <c r="C852" s="34"/>
      <c r="D852" s="34"/>
    </row>
    <row r="853">
      <c r="A853" s="34"/>
      <c r="C853" s="34"/>
      <c r="D853" s="34"/>
    </row>
    <row r="854">
      <c r="A854" s="34"/>
      <c r="C854" s="34"/>
      <c r="D854" s="34"/>
    </row>
    <row r="855">
      <c r="A855" s="34"/>
      <c r="C855" s="34"/>
      <c r="D855" s="34"/>
    </row>
    <row r="856">
      <c r="A856" s="34"/>
      <c r="C856" s="34"/>
      <c r="D856" s="34"/>
    </row>
    <row r="857">
      <c r="A857" s="34"/>
      <c r="C857" s="34"/>
      <c r="D857" s="34"/>
    </row>
    <row r="858">
      <c r="A858" s="34"/>
      <c r="C858" s="34"/>
      <c r="D858" s="34"/>
    </row>
    <row r="859">
      <c r="A859" s="34"/>
      <c r="C859" s="34"/>
      <c r="D859" s="34"/>
    </row>
    <row r="860">
      <c r="A860" s="34"/>
      <c r="C860" s="34"/>
      <c r="D860" s="34"/>
    </row>
    <row r="861">
      <c r="A861" s="34"/>
      <c r="C861" s="34"/>
      <c r="D861" s="34"/>
    </row>
    <row r="862">
      <c r="A862" s="34"/>
      <c r="C862" s="34"/>
      <c r="D862" s="34"/>
    </row>
    <row r="863">
      <c r="A863" s="34"/>
      <c r="C863" s="34"/>
      <c r="D863" s="34"/>
    </row>
    <row r="864">
      <c r="A864" s="34"/>
      <c r="C864" s="34"/>
      <c r="D864" s="34"/>
    </row>
    <row r="865">
      <c r="A865" s="34"/>
      <c r="C865" s="34"/>
      <c r="D865" s="34"/>
    </row>
    <row r="866">
      <c r="A866" s="34"/>
      <c r="C866" s="34"/>
      <c r="D866" s="34"/>
    </row>
    <row r="867">
      <c r="A867" s="34"/>
      <c r="C867" s="34"/>
      <c r="D867" s="34"/>
    </row>
    <row r="868">
      <c r="A868" s="34"/>
      <c r="C868" s="34"/>
      <c r="D868" s="34"/>
    </row>
    <row r="869">
      <c r="A869" s="34"/>
      <c r="C869" s="34"/>
      <c r="D869" s="34"/>
    </row>
    <row r="870">
      <c r="A870" s="34"/>
      <c r="C870" s="34"/>
      <c r="D870" s="34"/>
    </row>
    <row r="871">
      <c r="A871" s="34"/>
      <c r="C871" s="34"/>
      <c r="D871" s="34"/>
    </row>
    <row r="872">
      <c r="A872" s="34"/>
      <c r="C872" s="34"/>
      <c r="D872" s="34"/>
    </row>
    <row r="873">
      <c r="A873" s="34"/>
      <c r="C873" s="34"/>
      <c r="D873" s="34"/>
    </row>
    <row r="874">
      <c r="A874" s="34"/>
      <c r="C874" s="34"/>
      <c r="D874" s="34"/>
    </row>
    <row r="875">
      <c r="A875" s="34"/>
      <c r="C875" s="34"/>
      <c r="D875" s="34"/>
    </row>
    <row r="876">
      <c r="A876" s="34"/>
      <c r="C876" s="34"/>
      <c r="D876" s="34"/>
    </row>
    <row r="877">
      <c r="A877" s="34"/>
      <c r="C877" s="34"/>
      <c r="D877" s="34"/>
    </row>
    <row r="878">
      <c r="A878" s="34"/>
      <c r="C878" s="34"/>
      <c r="D878" s="34"/>
    </row>
    <row r="879">
      <c r="A879" s="34"/>
      <c r="C879" s="34"/>
      <c r="D879" s="34"/>
    </row>
    <row r="880">
      <c r="A880" s="34"/>
      <c r="C880" s="34"/>
      <c r="D880" s="34"/>
    </row>
    <row r="881">
      <c r="A881" s="34"/>
      <c r="C881" s="34"/>
      <c r="D881" s="34"/>
    </row>
    <row r="882">
      <c r="A882" s="34"/>
      <c r="C882" s="34"/>
      <c r="D882" s="34"/>
    </row>
    <row r="883">
      <c r="A883" s="34"/>
      <c r="C883" s="34"/>
      <c r="D883" s="34"/>
    </row>
    <row r="884">
      <c r="A884" s="34"/>
      <c r="C884" s="34"/>
      <c r="D884" s="34"/>
    </row>
    <row r="885">
      <c r="A885" s="34"/>
      <c r="C885" s="34"/>
      <c r="D885" s="34"/>
    </row>
    <row r="886">
      <c r="A886" s="34"/>
      <c r="C886" s="34"/>
      <c r="D886" s="34"/>
    </row>
    <row r="887">
      <c r="A887" s="34"/>
      <c r="C887" s="34"/>
      <c r="D887" s="34"/>
    </row>
    <row r="888">
      <c r="A888" s="34"/>
      <c r="C888" s="34"/>
      <c r="D888" s="34"/>
    </row>
    <row r="889">
      <c r="A889" s="34"/>
      <c r="C889" s="34"/>
      <c r="D889" s="34"/>
    </row>
    <row r="890">
      <c r="A890" s="34"/>
      <c r="C890" s="34"/>
      <c r="D890" s="34"/>
    </row>
    <row r="891">
      <c r="A891" s="34"/>
      <c r="C891" s="34"/>
      <c r="D891" s="34"/>
    </row>
    <row r="892">
      <c r="A892" s="34"/>
      <c r="C892" s="34"/>
      <c r="D892" s="34"/>
    </row>
    <row r="893">
      <c r="A893" s="34"/>
      <c r="C893" s="34"/>
      <c r="D893" s="34"/>
    </row>
    <row r="894">
      <c r="A894" s="34"/>
      <c r="C894" s="34"/>
      <c r="D894" s="34"/>
    </row>
    <row r="895">
      <c r="A895" s="34"/>
      <c r="C895" s="34"/>
      <c r="D895" s="34"/>
    </row>
    <row r="896">
      <c r="A896" s="34"/>
      <c r="C896" s="34"/>
      <c r="D896" s="34"/>
    </row>
    <row r="897">
      <c r="A897" s="34"/>
      <c r="C897" s="34"/>
      <c r="D897" s="34"/>
    </row>
    <row r="898">
      <c r="A898" s="34"/>
      <c r="C898" s="34"/>
      <c r="D898" s="34"/>
    </row>
    <row r="899">
      <c r="A899" s="34"/>
      <c r="C899" s="34"/>
      <c r="D899" s="34"/>
    </row>
    <row r="900">
      <c r="A900" s="34"/>
      <c r="C900" s="34"/>
      <c r="D900" s="34"/>
    </row>
    <row r="901">
      <c r="A901" s="34"/>
      <c r="C901" s="34"/>
      <c r="D901" s="34"/>
    </row>
    <row r="902">
      <c r="A902" s="34"/>
      <c r="C902" s="34"/>
      <c r="D902" s="34"/>
    </row>
    <row r="903">
      <c r="A903" s="34"/>
      <c r="C903" s="34"/>
      <c r="D903" s="34"/>
    </row>
    <row r="904">
      <c r="A904" s="34"/>
      <c r="C904" s="34"/>
      <c r="D904" s="34"/>
    </row>
    <row r="905">
      <c r="A905" s="34"/>
      <c r="C905" s="34"/>
      <c r="D905" s="34"/>
    </row>
    <row r="906">
      <c r="A906" s="34"/>
      <c r="C906" s="34"/>
      <c r="D906" s="34"/>
    </row>
    <row r="907">
      <c r="A907" s="34"/>
      <c r="C907" s="34"/>
      <c r="D907" s="34"/>
    </row>
    <row r="908">
      <c r="A908" s="34"/>
      <c r="C908" s="34"/>
      <c r="D908" s="34"/>
    </row>
    <row r="909">
      <c r="A909" s="34"/>
      <c r="C909" s="34"/>
      <c r="D909" s="34"/>
    </row>
    <row r="910">
      <c r="A910" s="34"/>
      <c r="C910" s="34"/>
      <c r="D910" s="34"/>
    </row>
    <row r="911">
      <c r="A911" s="34"/>
      <c r="C911" s="34"/>
      <c r="D911" s="34"/>
    </row>
    <row r="912">
      <c r="A912" s="34"/>
      <c r="C912" s="34"/>
      <c r="D912" s="34"/>
    </row>
    <row r="913">
      <c r="A913" s="34"/>
      <c r="C913" s="34"/>
      <c r="D913" s="34"/>
    </row>
    <row r="914">
      <c r="A914" s="34"/>
      <c r="C914" s="34"/>
      <c r="D914" s="34"/>
    </row>
    <row r="915">
      <c r="A915" s="34"/>
      <c r="C915" s="34"/>
      <c r="D915" s="34"/>
    </row>
    <row r="916">
      <c r="A916" s="34"/>
      <c r="C916" s="34"/>
      <c r="D916" s="34"/>
    </row>
    <row r="917">
      <c r="A917" s="34"/>
      <c r="C917" s="34"/>
      <c r="D917" s="34"/>
    </row>
    <row r="918">
      <c r="A918" s="34"/>
      <c r="C918" s="34"/>
      <c r="D918" s="34"/>
    </row>
    <row r="919">
      <c r="A919" s="34"/>
      <c r="C919" s="34"/>
      <c r="D919" s="34"/>
    </row>
    <row r="920">
      <c r="A920" s="34"/>
      <c r="C920" s="34"/>
      <c r="D920" s="34"/>
    </row>
    <row r="921">
      <c r="A921" s="34"/>
      <c r="C921" s="34"/>
      <c r="D921" s="34"/>
    </row>
    <row r="922">
      <c r="A922" s="34"/>
      <c r="C922" s="34"/>
      <c r="D922" s="34"/>
    </row>
    <row r="923">
      <c r="A923" s="34"/>
      <c r="C923" s="34"/>
      <c r="D923" s="34"/>
    </row>
    <row r="924">
      <c r="A924" s="34"/>
      <c r="C924" s="34"/>
      <c r="D924" s="34"/>
    </row>
    <row r="925">
      <c r="A925" s="34"/>
      <c r="C925" s="34"/>
      <c r="D925" s="34"/>
    </row>
    <row r="926">
      <c r="A926" s="34"/>
      <c r="C926" s="34"/>
      <c r="D926" s="34"/>
    </row>
    <row r="927">
      <c r="A927" s="34"/>
      <c r="C927" s="34"/>
      <c r="D927" s="34"/>
    </row>
    <row r="928">
      <c r="A928" s="34"/>
      <c r="C928" s="34"/>
      <c r="D928" s="34"/>
    </row>
    <row r="929">
      <c r="A929" s="34"/>
      <c r="C929" s="34"/>
      <c r="D929" s="34"/>
    </row>
    <row r="930">
      <c r="A930" s="34"/>
      <c r="C930" s="34"/>
      <c r="D930" s="34"/>
    </row>
    <row r="931">
      <c r="A931" s="34"/>
      <c r="C931" s="34"/>
      <c r="D931" s="34"/>
    </row>
    <row r="932">
      <c r="A932" s="34"/>
      <c r="C932" s="34"/>
      <c r="D932" s="34"/>
    </row>
    <row r="933">
      <c r="A933" s="34"/>
      <c r="C933" s="34"/>
      <c r="D933" s="34"/>
    </row>
    <row r="934">
      <c r="A934" s="34"/>
      <c r="C934" s="34"/>
      <c r="D934" s="34"/>
    </row>
    <row r="935">
      <c r="A935" s="34"/>
      <c r="C935" s="34"/>
      <c r="D935" s="34"/>
    </row>
    <row r="936">
      <c r="A936" s="34"/>
      <c r="C936" s="34"/>
      <c r="D936" s="34"/>
    </row>
    <row r="937">
      <c r="A937" s="34"/>
      <c r="C937" s="34"/>
      <c r="D937" s="34"/>
    </row>
    <row r="938">
      <c r="A938" s="34"/>
      <c r="C938" s="34"/>
      <c r="D938" s="34"/>
    </row>
    <row r="939">
      <c r="A939" s="34"/>
      <c r="C939" s="34"/>
      <c r="D939" s="34"/>
    </row>
    <row r="940">
      <c r="A940" s="34"/>
      <c r="C940" s="34"/>
      <c r="D940" s="34"/>
    </row>
    <row r="941">
      <c r="A941" s="34"/>
      <c r="C941" s="34"/>
      <c r="D941" s="34"/>
    </row>
    <row r="942">
      <c r="A942" s="34"/>
      <c r="C942" s="34"/>
      <c r="D942" s="34"/>
    </row>
    <row r="943">
      <c r="A943" s="34"/>
      <c r="C943" s="34"/>
      <c r="D943" s="34"/>
    </row>
    <row r="944">
      <c r="A944" s="34"/>
      <c r="C944" s="34"/>
      <c r="D944" s="34"/>
    </row>
    <row r="945">
      <c r="A945" s="34"/>
      <c r="C945" s="34"/>
      <c r="D945" s="34"/>
    </row>
    <row r="946">
      <c r="A946" s="34"/>
      <c r="C946" s="34"/>
      <c r="D946" s="34"/>
    </row>
    <row r="947">
      <c r="A947" s="34"/>
      <c r="C947" s="34"/>
      <c r="D947" s="34"/>
    </row>
    <row r="948">
      <c r="A948" s="34"/>
      <c r="C948" s="34"/>
      <c r="D948" s="34"/>
    </row>
    <row r="949">
      <c r="A949" s="34"/>
      <c r="C949" s="34"/>
      <c r="D949" s="34"/>
    </row>
    <row r="950">
      <c r="A950" s="34"/>
      <c r="C950" s="34"/>
      <c r="D950" s="34"/>
    </row>
    <row r="951">
      <c r="A951" s="34"/>
      <c r="C951" s="34"/>
      <c r="D951" s="34"/>
    </row>
    <row r="952">
      <c r="A952" s="34"/>
      <c r="C952" s="34"/>
      <c r="D952" s="34"/>
    </row>
    <row r="953">
      <c r="A953" s="34"/>
      <c r="C953" s="34"/>
      <c r="D953" s="34"/>
    </row>
    <row r="954">
      <c r="A954" s="34"/>
      <c r="C954" s="34"/>
      <c r="D954" s="34"/>
    </row>
    <row r="955">
      <c r="A955" s="34"/>
      <c r="C955" s="34"/>
      <c r="D955" s="34"/>
    </row>
    <row r="956">
      <c r="A956" s="34"/>
      <c r="C956" s="34"/>
      <c r="D956" s="34"/>
    </row>
    <row r="957">
      <c r="A957" s="34"/>
      <c r="C957" s="34"/>
      <c r="D957" s="34"/>
    </row>
    <row r="958">
      <c r="A958" s="34"/>
      <c r="C958" s="34"/>
      <c r="D958" s="34"/>
    </row>
    <row r="959">
      <c r="A959" s="34"/>
      <c r="C959" s="34"/>
      <c r="D959" s="34"/>
    </row>
    <row r="960">
      <c r="A960" s="34"/>
      <c r="C960" s="34"/>
      <c r="D960" s="34"/>
    </row>
    <row r="961">
      <c r="A961" s="34"/>
      <c r="C961" s="34"/>
      <c r="D961" s="34"/>
    </row>
    <row r="962">
      <c r="A962" s="34"/>
      <c r="C962" s="34"/>
      <c r="D962" s="34"/>
    </row>
    <row r="963">
      <c r="A963" s="34"/>
      <c r="C963" s="34"/>
      <c r="D963" s="34"/>
    </row>
    <row r="964">
      <c r="A964" s="34"/>
      <c r="C964" s="34"/>
      <c r="D964" s="34"/>
    </row>
    <row r="965">
      <c r="A965" s="34"/>
      <c r="C965" s="34"/>
      <c r="D965" s="34"/>
    </row>
    <row r="966">
      <c r="A966" s="34"/>
      <c r="C966" s="34"/>
      <c r="D966" s="34"/>
    </row>
    <row r="967">
      <c r="A967" s="34"/>
      <c r="C967" s="34"/>
      <c r="D967" s="34"/>
    </row>
    <row r="968">
      <c r="A968" s="34"/>
      <c r="C968" s="34"/>
      <c r="D968" s="34"/>
    </row>
    <row r="969">
      <c r="A969" s="34"/>
      <c r="C969" s="34"/>
      <c r="D969" s="34"/>
    </row>
    <row r="970">
      <c r="A970" s="34"/>
      <c r="C970" s="34"/>
      <c r="D970" s="34"/>
    </row>
    <row r="971">
      <c r="A971" s="34"/>
      <c r="C971" s="34"/>
      <c r="D971" s="34"/>
    </row>
    <row r="972">
      <c r="A972" s="34"/>
      <c r="C972" s="34"/>
      <c r="D972" s="34"/>
    </row>
    <row r="973">
      <c r="A973" s="34"/>
      <c r="C973" s="34"/>
      <c r="D973" s="34"/>
    </row>
    <row r="974">
      <c r="A974" s="34"/>
      <c r="C974" s="34"/>
      <c r="D974" s="34"/>
    </row>
    <row r="975">
      <c r="A975" s="34"/>
      <c r="C975" s="34"/>
      <c r="D975" s="34"/>
    </row>
    <row r="976">
      <c r="A976" s="34"/>
      <c r="C976" s="34"/>
      <c r="D976" s="34"/>
    </row>
    <row r="977">
      <c r="A977" s="34"/>
      <c r="C977" s="34"/>
      <c r="D977" s="34"/>
    </row>
    <row r="978">
      <c r="A978" s="34"/>
      <c r="C978" s="34"/>
      <c r="D978" s="34"/>
    </row>
    <row r="979">
      <c r="A979" s="34"/>
      <c r="C979" s="34"/>
      <c r="D979" s="34"/>
    </row>
    <row r="980">
      <c r="A980" s="34"/>
      <c r="C980" s="34"/>
      <c r="D980" s="34"/>
    </row>
    <row r="981">
      <c r="A981" s="34"/>
      <c r="C981" s="34"/>
      <c r="D981" s="34"/>
    </row>
    <row r="982">
      <c r="A982" s="34"/>
      <c r="C982" s="34"/>
      <c r="D982" s="34"/>
    </row>
    <row r="983">
      <c r="A983" s="34"/>
      <c r="C983" s="34"/>
      <c r="D983" s="34"/>
    </row>
    <row r="984">
      <c r="A984" s="34"/>
      <c r="C984" s="34"/>
      <c r="D984" s="34"/>
    </row>
    <row r="985">
      <c r="A985" s="34"/>
      <c r="C985" s="34"/>
      <c r="D985" s="34"/>
    </row>
    <row r="986">
      <c r="A986" s="34"/>
      <c r="C986" s="34"/>
      <c r="D986" s="34"/>
    </row>
    <row r="987">
      <c r="A987" s="34"/>
      <c r="C987" s="34"/>
      <c r="D987" s="34"/>
    </row>
    <row r="988">
      <c r="A988" s="34"/>
      <c r="C988" s="34"/>
      <c r="D988" s="34"/>
    </row>
    <row r="989">
      <c r="A989" s="34"/>
      <c r="C989" s="34"/>
      <c r="D989" s="34"/>
    </row>
    <row r="990">
      <c r="A990" s="34"/>
      <c r="C990" s="34"/>
      <c r="D990" s="34"/>
    </row>
    <row r="991">
      <c r="A991" s="34"/>
      <c r="C991" s="34"/>
      <c r="D991" s="34"/>
    </row>
    <row r="992">
      <c r="A992" s="34"/>
      <c r="C992" s="34"/>
      <c r="D992" s="34"/>
    </row>
    <row r="993">
      <c r="A993" s="34"/>
      <c r="C993" s="34"/>
      <c r="D993" s="34"/>
    </row>
    <row r="994">
      <c r="A994" s="34"/>
      <c r="C994" s="34"/>
      <c r="D994" s="34"/>
    </row>
    <row r="995">
      <c r="A995" s="34"/>
      <c r="C995" s="34"/>
      <c r="D995" s="34"/>
    </row>
    <row r="996">
      <c r="A996" s="34"/>
      <c r="C996" s="34"/>
      <c r="D996" s="34"/>
    </row>
    <row r="997">
      <c r="A997" s="34"/>
      <c r="C997" s="34"/>
      <c r="D997" s="34"/>
    </row>
    <row r="998">
      <c r="A998" s="34"/>
      <c r="C998" s="34"/>
      <c r="D998" s="34"/>
    </row>
    <row r="999">
      <c r="A999" s="34"/>
      <c r="C999" s="34"/>
      <c r="D999" s="34"/>
    </row>
    <row r="1000">
      <c r="A1000" s="34"/>
      <c r="C1000" s="34"/>
      <c r="D1000" s="34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F18"/>
    <hyperlink r:id="rId19" ref="B19"/>
    <hyperlink r:id="rId20" ref="B20"/>
    <hyperlink r:id="rId21" ref="B21"/>
    <hyperlink r:id="rId22" ref="B22"/>
    <hyperlink r:id="rId23" ref="B23"/>
    <hyperlink r:id="rId24" ref="B24"/>
    <hyperlink r:id="rId25" ref="B25"/>
    <hyperlink r:id="rId26" ref="B26"/>
    <hyperlink r:id="rId27" ref="B27"/>
    <hyperlink r:id="rId28" ref="B28"/>
    <hyperlink r:id="rId29" ref="B29"/>
    <hyperlink r:id="rId30" ref="B30"/>
    <hyperlink r:id="rId31" ref="B31"/>
    <hyperlink r:id="rId32" ref="B32"/>
    <hyperlink r:id="rId33" ref="B33"/>
    <hyperlink r:id="rId34" ref="B34"/>
    <hyperlink r:id="rId35" ref="B35"/>
    <hyperlink r:id="rId36" ref="B36"/>
    <hyperlink r:id="rId37" ref="B37"/>
    <hyperlink r:id="rId38" ref="B38"/>
    <hyperlink r:id="rId39" ref="B39"/>
    <hyperlink r:id="rId40" ref="B40"/>
    <hyperlink r:id="rId41" ref="B41"/>
    <hyperlink r:id="rId42" ref="B42"/>
    <hyperlink r:id="rId43" ref="B43"/>
    <hyperlink r:id="rId44" ref="B44"/>
    <hyperlink r:id="rId45" ref="B45"/>
    <hyperlink r:id="rId46" ref="B46"/>
    <hyperlink r:id="rId47" ref="B47"/>
    <hyperlink r:id="rId48" ref="B48"/>
    <hyperlink r:id="rId49" ref="B49"/>
    <hyperlink r:id="rId50" ref="B50"/>
    <hyperlink r:id="rId51" ref="B51"/>
    <hyperlink r:id="rId52" ref="B52"/>
    <hyperlink r:id="rId53" ref="B53"/>
    <hyperlink r:id="rId54" ref="B54"/>
    <hyperlink r:id="rId55" ref="B55"/>
    <hyperlink r:id="rId56" ref="B56"/>
    <hyperlink r:id="rId57" ref="B57"/>
    <hyperlink r:id="rId58" ref="B58"/>
    <hyperlink r:id="rId59" ref="B59"/>
    <hyperlink r:id="rId60" ref="B60"/>
    <hyperlink r:id="rId61" ref="B61"/>
    <hyperlink r:id="rId62" ref="B62"/>
    <hyperlink r:id="rId63" ref="B63"/>
    <hyperlink r:id="rId64" ref="B64"/>
    <hyperlink r:id="rId65" ref="B65"/>
    <hyperlink r:id="rId66" ref="B66"/>
    <hyperlink r:id="rId67" ref="B67"/>
    <hyperlink r:id="rId68" ref="B68"/>
    <hyperlink r:id="rId69" ref="B69"/>
    <hyperlink r:id="rId70" ref="B70"/>
    <hyperlink r:id="rId71" ref="B71"/>
    <hyperlink r:id="rId72" ref="B72"/>
    <hyperlink r:id="rId73" ref="B73"/>
    <hyperlink r:id="rId74" ref="B74"/>
    <hyperlink r:id="rId75" ref="B75"/>
    <hyperlink r:id="rId76" ref="B76"/>
  </hyperlinks>
  <drawing r:id="rId7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55.25"/>
    <col customWidth="1" min="3" max="3" width="13.88"/>
    <col customWidth="1" min="4" max="4" width="72.13"/>
    <col customWidth="1" min="5" max="5" width="15.13"/>
    <col customWidth="1" min="6" max="6" width="41.38"/>
    <col customWidth="1" min="7" max="9" width="21.38"/>
    <col customWidth="1" min="10" max="10" width="27.63"/>
    <col customWidth="1" min="11" max="11" width="41.38"/>
  </cols>
  <sheetData>
    <row r="1">
      <c r="A1" s="2" t="s">
        <v>1</v>
      </c>
      <c r="B1" s="2" t="s">
        <v>3</v>
      </c>
      <c r="C1" s="2" t="s">
        <v>5</v>
      </c>
      <c r="D1" s="2" t="s">
        <v>520</v>
      </c>
      <c r="E1" s="2" t="s">
        <v>48</v>
      </c>
      <c r="F1" s="2" t="s">
        <v>49</v>
      </c>
      <c r="G1" s="2" t="s">
        <v>50</v>
      </c>
      <c r="H1" s="2" t="s">
        <v>51</v>
      </c>
      <c r="I1" s="2" t="s">
        <v>52</v>
      </c>
      <c r="J1" s="2" t="s">
        <v>521</v>
      </c>
      <c r="K1" s="2" t="s">
        <v>53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6">
        <v>1.0</v>
      </c>
      <c r="B2" s="36" t="s">
        <v>26</v>
      </c>
      <c r="C2" s="37" t="s">
        <v>40</v>
      </c>
      <c r="D2" s="36" t="s">
        <v>55</v>
      </c>
      <c r="E2" s="22" t="s">
        <v>57</v>
      </c>
      <c r="F2" s="22" t="s">
        <v>524</v>
      </c>
      <c r="G2" s="22" t="s">
        <v>59</v>
      </c>
      <c r="H2" s="22" t="s">
        <v>59</v>
      </c>
      <c r="I2" s="22" t="s">
        <v>60</v>
      </c>
      <c r="J2" s="22" t="s">
        <v>54</v>
      </c>
      <c r="K2" s="22" t="s">
        <v>525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6">
        <v>1.0</v>
      </c>
      <c r="B3" s="36" t="s">
        <v>26</v>
      </c>
      <c r="C3" s="37" t="s">
        <v>40</v>
      </c>
      <c r="D3" s="36" t="s">
        <v>62</v>
      </c>
      <c r="E3" s="22" t="s">
        <v>57</v>
      </c>
      <c r="F3" s="22" t="s">
        <v>526</v>
      </c>
      <c r="G3" s="22" t="s">
        <v>59</v>
      </c>
      <c r="H3" s="22" t="s">
        <v>59</v>
      </c>
      <c r="I3" s="22" t="s">
        <v>60</v>
      </c>
      <c r="J3" s="22" t="s">
        <v>63</v>
      </c>
      <c r="K3" s="22" t="s">
        <v>525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6">
        <v>1.0</v>
      </c>
      <c r="B4" s="36" t="s">
        <v>26</v>
      </c>
      <c r="C4" s="37" t="s">
        <v>40</v>
      </c>
      <c r="D4" s="36" t="s">
        <v>66</v>
      </c>
      <c r="E4" s="22" t="s">
        <v>57</v>
      </c>
      <c r="F4" s="22" t="s">
        <v>527</v>
      </c>
      <c r="G4" s="22" t="s">
        <v>59</v>
      </c>
      <c r="H4" s="22" t="s">
        <v>59</v>
      </c>
      <c r="I4" s="22" t="s">
        <v>60</v>
      </c>
      <c r="J4" s="22" t="s">
        <v>68</v>
      </c>
      <c r="K4" s="22" t="s">
        <v>525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6">
        <v>1.0</v>
      </c>
      <c r="B5" s="36" t="s">
        <v>26</v>
      </c>
      <c r="C5" s="37" t="s">
        <v>40</v>
      </c>
      <c r="D5" s="36" t="s">
        <v>71</v>
      </c>
      <c r="E5" s="22" t="s">
        <v>57</v>
      </c>
      <c r="F5" s="22" t="s">
        <v>528</v>
      </c>
      <c r="G5" s="22" t="s">
        <v>59</v>
      </c>
      <c r="H5" s="22" t="s">
        <v>59</v>
      </c>
      <c r="I5" s="22" t="s">
        <v>60</v>
      </c>
      <c r="J5" s="22" t="s">
        <v>72</v>
      </c>
      <c r="K5" s="22" t="s">
        <v>525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6">
        <v>1.0</v>
      </c>
      <c r="B6" s="36" t="s">
        <v>26</v>
      </c>
      <c r="C6" s="37" t="s">
        <v>40</v>
      </c>
      <c r="D6" s="36" t="s">
        <v>75</v>
      </c>
      <c r="E6" s="22" t="s">
        <v>76</v>
      </c>
      <c r="F6" s="22" t="s">
        <v>529</v>
      </c>
      <c r="G6" s="22" t="s">
        <v>59</v>
      </c>
      <c r="H6" s="22" t="s">
        <v>59</v>
      </c>
      <c r="I6" s="22" t="s">
        <v>60</v>
      </c>
      <c r="J6" s="22" t="s">
        <v>54</v>
      </c>
      <c r="K6" s="22" t="s">
        <v>525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6">
        <v>2.0</v>
      </c>
      <c r="B7" s="36" t="s">
        <v>56</v>
      </c>
      <c r="C7" s="37" t="s">
        <v>61</v>
      </c>
      <c r="D7" s="36" t="s">
        <v>86</v>
      </c>
      <c r="E7" s="22" t="s">
        <v>57</v>
      </c>
      <c r="F7" s="22" t="s">
        <v>530</v>
      </c>
      <c r="G7" s="22" t="s">
        <v>59</v>
      </c>
      <c r="H7" s="22" t="s">
        <v>59</v>
      </c>
      <c r="I7" s="22" t="s">
        <v>60</v>
      </c>
      <c r="J7" s="22" t="s">
        <v>70</v>
      </c>
      <c r="K7" s="22" t="s">
        <v>531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6">
        <v>2.0</v>
      </c>
      <c r="B8" s="36" t="s">
        <v>56</v>
      </c>
      <c r="C8" s="37" t="s">
        <v>61</v>
      </c>
      <c r="D8" s="36" t="s">
        <v>67</v>
      </c>
      <c r="E8" s="22" t="s">
        <v>76</v>
      </c>
      <c r="F8" s="22" t="s">
        <v>532</v>
      </c>
      <c r="G8" s="22" t="s">
        <v>59</v>
      </c>
      <c r="H8" s="22" t="s">
        <v>59</v>
      </c>
      <c r="I8" s="22" t="s">
        <v>60</v>
      </c>
      <c r="J8" s="22" t="s">
        <v>88</v>
      </c>
      <c r="K8" s="22" t="s">
        <v>525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6">
        <v>3.0</v>
      </c>
      <c r="B9" s="36" t="s">
        <v>67</v>
      </c>
      <c r="C9" s="37" t="s">
        <v>61</v>
      </c>
      <c r="D9" s="36" t="s">
        <v>86</v>
      </c>
      <c r="E9" s="22" t="s">
        <v>57</v>
      </c>
      <c r="F9" s="22" t="s">
        <v>533</v>
      </c>
      <c r="G9" s="22" t="s">
        <v>59</v>
      </c>
      <c r="H9" s="22" t="s">
        <v>59</v>
      </c>
      <c r="I9" s="22" t="s">
        <v>60</v>
      </c>
      <c r="J9" s="22" t="s">
        <v>78</v>
      </c>
      <c r="K9" s="22" t="s">
        <v>531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6">
        <v>3.0</v>
      </c>
      <c r="B10" s="36" t="s">
        <v>67</v>
      </c>
      <c r="C10" s="37" t="s">
        <v>61</v>
      </c>
      <c r="D10" s="36" t="s">
        <v>95</v>
      </c>
      <c r="E10" s="22" t="s">
        <v>57</v>
      </c>
      <c r="F10" s="22" t="s">
        <v>534</v>
      </c>
      <c r="G10" s="22" t="s">
        <v>59</v>
      </c>
      <c r="H10" s="22" t="s">
        <v>59</v>
      </c>
      <c r="I10" s="22" t="s">
        <v>60</v>
      </c>
      <c r="J10" s="22" t="s">
        <v>135</v>
      </c>
      <c r="K10" s="22" t="s">
        <v>535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6">
        <v>3.0</v>
      </c>
      <c r="B11" s="36" t="s">
        <v>67</v>
      </c>
      <c r="C11" s="37" t="s">
        <v>61</v>
      </c>
      <c r="D11" s="36" t="s">
        <v>114</v>
      </c>
      <c r="E11" s="22" t="s">
        <v>57</v>
      </c>
      <c r="F11" s="22" t="s">
        <v>536</v>
      </c>
      <c r="G11" s="22" t="s">
        <v>59</v>
      </c>
      <c r="H11" s="22" t="s">
        <v>59</v>
      </c>
      <c r="I11" s="22" t="s">
        <v>60</v>
      </c>
      <c r="J11" s="22" t="s">
        <v>139</v>
      </c>
      <c r="K11" s="22" t="s">
        <v>537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6">
        <v>3.0</v>
      </c>
      <c r="B12" s="36" t="s">
        <v>67</v>
      </c>
      <c r="C12" s="37" t="s">
        <v>61</v>
      </c>
      <c r="D12" s="36" t="s">
        <v>111</v>
      </c>
      <c r="E12" s="22" t="s">
        <v>76</v>
      </c>
      <c r="F12" s="22" t="s">
        <v>538</v>
      </c>
      <c r="G12" s="22" t="s">
        <v>59</v>
      </c>
      <c r="H12" s="22" t="s">
        <v>59</v>
      </c>
      <c r="I12" s="22" t="s">
        <v>60</v>
      </c>
      <c r="J12" s="22" t="s">
        <v>78</v>
      </c>
      <c r="K12" s="22" t="s">
        <v>535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6">
        <v>3.0</v>
      </c>
      <c r="B13" s="36" t="s">
        <v>67</v>
      </c>
      <c r="C13" s="37" t="s">
        <v>61</v>
      </c>
      <c r="D13" s="36" t="s">
        <v>121</v>
      </c>
      <c r="E13" s="22" t="s">
        <v>76</v>
      </c>
      <c r="F13" s="22" t="s">
        <v>540</v>
      </c>
      <c r="G13" s="22" t="s">
        <v>59</v>
      </c>
      <c r="H13" s="22" t="s">
        <v>59</v>
      </c>
      <c r="I13" s="22" t="s">
        <v>60</v>
      </c>
      <c r="J13" s="22" t="s">
        <v>135</v>
      </c>
      <c r="K13" s="22" t="s">
        <v>525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6">
        <v>4.0</v>
      </c>
      <c r="B14" s="36" t="s">
        <v>74</v>
      </c>
      <c r="C14" s="37" t="s">
        <v>61</v>
      </c>
      <c r="D14" s="36" t="s">
        <v>167</v>
      </c>
      <c r="E14" s="22" t="s">
        <v>57</v>
      </c>
      <c r="F14" s="22" t="s">
        <v>541</v>
      </c>
      <c r="G14" s="22" t="s">
        <v>59</v>
      </c>
      <c r="H14" s="22" t="s">
        <v>59</v>
      </c>
      <c r="I14" s="22" t="s">
        <v>60</v>
      </c>
      <c r="J14" s="22" t="s">
        <v>84</v>
      </c>
      <c r="K14" s="22" t="s">
        <v>537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6">
        <v>4.0</v>
      </c>
      <c r="B15" s="36" t="s">
        <v>74</v>
      </c>
      <c r="C15" s="37" t="s">
        <v>61</v>
      </c>
      <c r="D15" s="36" t="s">
        <v>157</v>
      </c>
      <c r="E15" s="22" t="s">
        <v>57</v>
      </c>
      <c r="F15" s="22" t="s">
        <v>543</v>
      </c>
      <c r="G15" s="22" t="s">
        <v>59</v>
      </c>
      <c r="H15" s="22" t="s">
        <v>59</v>
      </c>
      <c r="I15" s="22" t="s">
        <v>60</v>
      </c>
      <c r="J15" s="22" t="s">
        <v>169</v>
      </c>
      <c r="K15" s="22" t="s">
        <v>537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6">
        <v>4.0</v>
      </c>
      <c r="B16" s="36" t="s">
        <v>74</v>
      </c>
      <c r="C16" s="37" t="s">
        <v>61</v>
      </c>
      <c r="D16" s="36" t="s">
        <v>175</v>
      </c>
      <c r="E16" s="22" t="s">
        <v>57</v>
      </c>
      <c r="F16" s="22" t="s">
        <v>544</v>
      </c>
      <c r="G16" s="22" t="s">
        <v>59</v>
      </c>
      <c r="H16" s="22" t="s">
        <v>59</v>
      </c>
      <c r="I16" s="22" t="s">
        <v>60</v>
      </c>
      <c r="J16" s="22" t="s">
        <v>178</v>
      </c>
      <c r="K16" s="22" t="s">
        <v>525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6">
        <v>4.0</v>
      </c>
      <c r="B17" s="36" t="s">
        <v>74</v>
      </c>
      <c r="C17" s="37" t="s">
        <v>61</v>
      </c>
      <c r="D17" s="36" t="s">
        <v>180</v>
      </c>
      <c r="E17" s="22" t="s">
        <v>76</v>
      </c>
      <c r="F17" s="22" t="s">
        <v>546</v>
      </c>
      <c r="G17" s="22" t="s">
        <v>59</v>
      </c>
      <c r="H17" s="22" t="s">
        <v>59</v>
      </c>
      <c r="I17" s="22" t="s">
        <v>60</v>
      </c>
      <c r="J17" s="22" t="s">
        <v>84</v>
      </c>
      <c r="K17" s="22" t="s">
        <v>525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6">
        <v>4.0</v>
      </c>
      <c r="B18" s="36" t="s">
        <v>74</v>
      </c>
      <c r="C18" s="37" t="s">
        <v>61</v>
      </c>
      <c r="D18" s="36" t="s">
        <v>145</v>
      </c>
      <c r="E18" s="22" t="s">
        <v>76</v>
      </c>
      <c r="F18" s="22" t="s">
        <v>547</v>
      </c>
      <c r="G18" s="22" t="s">
        <v>59</v>
      </c>
      <c r="H18" s="22" t="s">
        <v>59</v>
      </c>
      <c r="I18" s="22" t="s">
        <v>60</v>
      </c>
      <c r="J18" s="22" t="s">
        <v>169</v>
      </c>
      <c r="K18" s="22" t="s">
        <v>537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6">
        <v>5.0</v>
      </c>
      <c r="B19" s="36" t="s">
        <v>80</v>
      </c>
      <c r="C19" s="37" t="s">
        <v>61</v>
      </c>
      <c r="D19" s="36" t="s">
        <v>118</v>
      </c>
      <c r="E19" s="22" t="s">
        <v>57</v>
      </c>
      <c r="F19" s="22" t="s">
        <v>549</v>
      </c>
      <c r="G19" s="22" t="s">
        <v>59</v>
      </c>
      <c r="H19" s="22" t="s">
        <v>59</v>
      </c>
      <c r="I19" s="22" t="s">
        <v>60</v>
      </c>
      <c r="J19" s="22" t="s">
        <v>91</v>
      </c>
      <c r="K19" s="22" t="s">
        <v>537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6">
        <v>5.0</v>
      </c>
      <c r="B20" s="36" t="s">
        <v>80</v>
      </c>
      <c r="C20" s="37" t="s">
        <v>61</v>
      </c>
      <c r="D20" s="36" t="s">
        <v>145</v>
      </c>
      <c r="E20" s="22" t="s">
        <v>57</v>
      </c>
      <c r="F20" s="22" t="s">
        <v>550</v>
      </c>
      <c r="G20" s="22" t="s">
        <v>59</v>
      </c>
      <c r="H20" s="22" t="s">
        <v>59</v>
      </c>
      <c r="I20" s="22" t="s">
        <v>60</v>
      </c>
      <c r="J20" s="22" t="s">
        <v>236</v>
      </c>
      <c r="K20" s="22" t="s">
        <v>537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6">
        <v>5.0</v>
      </c>
      <c r="B21" s="36" t="s">
        <v>80</v>
      </c>
      <c r="C21" s="37" t="s">
        <v>61</v>
      </c>
      <c r="D21" s="36" t="s">
        <v>239</v>
      </c>
      <c r="E21" s="22" t="s">
        <v>76</v>
      </c>
      <c r="F21" s="22" t="s">
        <v>551</v>
      </c>
      <c r="G21" s="22" t="s">
        <v>59</v>
      </c>
      <c r="H21" s="22" t="s">
        <v>59</v>
      </c>
      <c r="I21" s="22" t="s">
        <v>60</v>
      </c>
      <c r="J21" s="22" t="s">
        <v>240</v>
      </c>
      <c r="K21" s="22" t="s">
        <v>525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6">
        <v>5.0</v>
      </c>
      <c r="B22" s="36" t="s">
        <v>80</v>
      </c>
      <c r="C22" s="37" t="s">
        <v>61</v>
      </c>
      <c r="D22" s="36" t="s">
        <v>115</v>
      </c>
      <c r="E22" s="22" t="s">
        <v>76</v>
      </c>
      <c r="F22" s="22" t="s">
        <v>552</v>
      </c>
      <c r="G22" s="22" t="s">
        <v>59</v>
      </c>
      <c r="H22" s="22" t="s">
        <v>59</v>
      </c>
      <c r="I22" s="22" t="s">
        <v>60</v>
      </c>
      <c r="J22" s="22" t="s">
        <v>91</v>
      </c>
      <c r="K22" s="22" t="s">
        <v>537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6">
        <v>6.0</v>
      </c>
      <c r="B23" s="36" t="s">
        <v>85</v>
      </c>
      <c r="C23" s="37" t="s">
        <v>61</v>
      </c>
      <c r="D23" s="36" t="s">
        <v>193</v>
      </c>
      <c r="E23" s="22" t="s">
        <v>57</v>
      </c>
      <c r="F23" s="22" t="s">
        <v>554</v>
      </c>
      <c r="G23" s="22" t="s">
        <v>59</v>
      </c>
      <c r="H23" s="22" t="s">
        <v>59</v>
      </c>
      <c r="I23" s="22" t="s">
        <v>60</v>
      </c>
      <c r="J23" s="22" t="s">
        <v>100</v>
      </c>
      <c r="K23" s="22" t="s">
        <v>525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6">
        <v>6.0</v>
      </c>
      <c r="B24" s="36" t="s">
        <v>85</v>
      </c>
      <c r="C24" s="37" t="s">
        <v>61</v>
      </c>
      <c r="D24" s="36" t="s">
        <v>99</v>
      </c>
      <c r="E24" s="22" t="s">
        <v>57</v>
      </c>
      <c r="F24" s="22" t="s">
        <v>555</v>
      </c>
      <c r="G24" s="22" t="s">
        <v>59</v>
      </c>
      <c r="H24" s="22" t="s">
        <v>59</v>
      </c>
      <c r="I24" s="22" t="s">
        <v>60</v>
      </c>
      <c r="J24" s="22" t="s">
        <v>288</v>
      </c>
      <c r="K24" s="22" t="s">
        <v>556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6">
        <v>6.0</v>
      </c>
      <c r="B25" s="36" t="s">
        <v>85</v>
      </c>
      <c r="C25" s="37" t="s">
        <v>61</v>
      </c>
      <c r="D25" s="36" t="s">
        <v>157</v>
      </c>
      <c r="E25" s="22" t="s">
        <v>76</v>
      </c>
      <c r="F25" s="22" t="s">
        <v>557</v>
      </c>
      <c r="G25" s="22" t="s">
        <v>59</v>
      </c>
      <c r="H25" s="22" t="s">
        <v>59</v>
      </c>
      <c r="I25" s="22" t="s">
        <v>60</v>
      </c>
      <c r="J25" s="22" t="s">
        <v>291</v>
      </c>
      <c r="K25" s="22" t="s">
        <v>537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6">
        <v>6.0</v>
      </c>
      <c r="B26" s="36" t="s">
        <v>85</v>
      </c>
      <c r="C26" s="37" t="s">
        <v>61</v>
      </c>
      <c r="D26" s="36" t="s">
        <v>118</v>
      </c>
      <c r="E26" s="22" t="s">
        <v>76</v>
      </c>
      <c r="F26" s="22" t="s">
        <v>558</v>
      </c>
      <c r="G26" s="22" t="s">
        <v>59</v>
      </c>
      <c r="H26" s="22" t="s">
        <v>59</v>
      </c>
      <c r="I26" s="22" t="s">
        <v>60</v>
      </c>
      <c r="J26" s="22" t="s">
        <v>100</v>
      </c>
      <c r="K26" s="22" t="s">
        <v>537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6">
        <v>6.0</v>
      </c>
      <c r="B27" s="36" t="s">
        <v>85</v>
      </c>
      <c r="C27" s="37" t="s">
        <v>61</v>
      </c>
      <c r="D27" s="36" t="s">
        <v>102</v>
      </c>
      <c r="E27" s="22" t="s">
        <v>76</v>
      </c>
      <c r="F27" s="22" t="s">
        <v>560</v>
      </c>
      <c r="G27" s="22" t="s">
        <v>59</v>
      </c>
      <c r="H27" s="22" t="s">
        <v>59</v>
      </c>
      <c r="I27" s="22" t="s">
        <v>60</v>
      </c>
      <c r="J27" s="22" t="s">
        <v>288</v>
      </c>
      <c r="K27" s="22" t="s">
        <v>525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6">
        <v>7.0</v>
      </c>
      <c r="B28" s="36" t="s">
        <v>92</v>
      </c>
      <c r="C28" s="37" t="s">
        <v>61</v>
      </c>
      <c r="D28" s="36" t="s">
        <v>186</v>
      </c>
      <c r="E28" s="22" t="s">
        <v>57</v>
      </c>
      <c r="F28" s="22" t="s">
        <v>561</v>
      </c>
      <c r="G28" s="22" t="s">
        <v>59</v>
      </c>
      <c r="H28" s="22" t="s">
        <v>59</v>
      </c>
      <c r="I28" s="22" t="s">
        <v>60</v>
      </c>
      <c r="J28" s="22" t="s">
        <v>107</v>
      </c>
      <c r="K28" s="22" t="s">
        <v>525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6">
        <v>7.0</v>
      </c>
      <c r="B29" s="36" t="s">
        <v>92</v>
      </c>
      <c r="C29" s="37" t="s">
        <v>61</v>
      </c>
      <c r="D29" s="36" t="s">
        <v>303</v>
      </c>
      <c r="E29" s="22" t="s">
        <v>57</v>
      </c>
      <c r="F29" s="22" t="s">
        <v>563</v>
      </c>
      <c r="G29" s="22" t="s">
        <v>59</v>
      </c>
      <c r="H29" s="22" t="s">
        <v>59</v>
      </c>
      <c r="I29" s="22" t="s">
        <v>60</v>
      </c>
      <c r="J29" s="22" t="s">
        <v>305</v>
      </c>
      <c r="K29" s="22" t="s">
        <v>525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6">
        <v>7.0</v>
      </c>
      <c r="B30" s="36" t="s">
        <v>92</v>
      </c>
      <c r="C30" s="37" t="s">
        <v>61</v>
      </c>
      <c r="D30" s="36" t="s">
        <v>307</v>
      </c>
      <c r="E30" s="22" t="s">
        <v>57</v>
      </c>
      <c r="F30" s="22" t="s">
        <v>564</v>
      </c>
      <c r="G30" s="22" t="s">
        <v>59</v>
      </c>
      <c r="H30" s="22" t="s">
        <v>59</v>
      </c>
      <c r="I30" s="22" t="s">
        <v>60</v>
      </c>
      <c r="J30" s="22" t="s">
        <v>308</v>
      </c>
      <c r="K30" s="22" t="s">
        <v>525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6">
        <v>7.0</v>
      </c>
      <c r="B31" s="36" t="s">
        <v>92</v>
      </c>
      <c r="C31" s="37" t="s">
        <v>61</v>
      </c>
      <c r="D31" s="36" t="s">
        <v>311</v>
      </c>
      <c r="E31" s="22" t="s">
        <v>76</v>
      </c>
      <c r="F31" s="22" t="s">
        <v>565</v>
      </c>
      <c r="G31" s="22" t="s">
        <v>59</v>
      </c>
      <c r="H31" s="22" t="s">
        <v>59</v>
      </c>
      <c r="I31" s="22" t="s">
        <v>60</v>
      </c>
      <c r="J31" s="22" t="s">
        <v>107</v>
      </c>
      <c r="K31" s="22" t="s">
        <v>556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6">
        <v>8.0</v>
      </c>
      <c r="B32" s="36" t="s">
        <v>98</v>
      </c>
      <c r="C32" s="37" t="s">
        <v>61</v>
      </c>
      <c r="D32" s="36" t="s">
        <v>338</v>
      </c>
      <c r="E32" s="22" t="s">
        <v>57</v>
      </c>
      <c r="F32" s="22" t="s">
        <v>567</v>
      </c>
      <c r="G32" s="22" t="s">
        <v>59</v>
      </c>
      <c r="H32" s="22" t="s">
        <v>59</v>
      </c>
      <c r="I32" s="22" t="s">
        <v>60</v>
      </c>
      <c r="J32" s="22" t="s">
        <v>113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6">
        <v>8.0</v>
      </c>
      <c r="B33" s="36" t="s">
        <v>98</v>
      </c>
      <c r="C33" s="37" t="s">
        <v>61</v>
      </c>
      <c r="D33" s="36" t="s">
        <v>341</v>
      </c>
      <c r="E33" s="22" t="s">
        <v>57</v>
      </c>
      <c r="F33" s="22" t="s">
        <v>568</v>
      </c>
      <c r="G33" s="22" t="s">
        <v>59</v>
      </c>
      <c r="H33" s="22" t="s">
        <v>59</v>
      </c>
      <c r="I33" s="22" t="s">
        <v>60</v>
      </c>
      <c r="J33" s="22" t="s">
        <v>342</v>
      </c>
      <c r="K33" s="22" t="s">
        <v>525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6">
        <v>8.0</v>
      </c>
      <c r="B34" s="36" t="s">
        <v>98</v>
      </c>
      <c r="C34" s="37" t="s">
        <v>61</v>
      </c>
      <c r="D34" s="36" t="s">
        <v>345</v>
      </c>
      <c r="E34" s="22" t="s">
        <v>57</v>
      </c>
      <c r="F34" s="22" t="s">
        <v>569</v>
      </c>
      <c r="G34" s="22" t="s">
        <v>59</v>
      </c>
      <c r="H34" s="22" t="s">
        <v>59</v>
      </c>
      <c r="I34" s="22" t="s">
        <v>60</v>
      </c>
      <c r="J34" s="22" t="s">
        <v>113</v>
      </c>
      <c r="K34" s="22" t="s">
        <v>525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6">
        <v>8.0</v>
      </c>
      <c r="B35" s="36" t="s">
        <v>98</v>
      </c>
      <c r="C35" s="37" t="s">
        <v>61</v>
      </c>
      <c r="D35" s="36" t="s">
        <v>123</v>
      </c>
      <c r="E35" s="22" t="s">
        <v>76</v>
      </c>
      <c r="F35" s="22" t="s">
        <v>570</v>
      </c>
      <c r="G35" s="22" t="s">
        <v>59</v>
      </c>
      <c r="H35" s="22" t="s">
        <v>59</v>
      </c>
      <c r="I35" s="22" t="s">
        <v>60</v>
      </c>
      <c r="J35" s="22" t="s">
        <v>342</v>
      </c>
      <c r="K35" s="22" t="s">
        <v>571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6">
        <v>9.0</v>
      </c>
      <c r="B36" s="36" t="s">
        <v>104</v>
      </c>
      <c r="C36" s="37" t="s">
        <v>61</v>
      </c>
      <c r="D36" s="36" t="s">
        <v>167</v>
      </c>
      <c r="E36" s="22" t="s">
        <v>57</v>
      </c>
      <c r="F36" s="22" t="s">
        <v>572</v>
      </c>
      <c r="G36" s="22" t="s">
        <v>59</v>
      </c>
      <c r="H36" s="22" t="s">
        <v>59</v>
      </c>
      <c r="I36" s="22" t="s">
        <v>60</v>
      </c>
      <c r="J36" s="22" t="s">
        <v>117</v>
      </c>
      <c r="K36" s="22" t="s">
        <v>537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6">
        <v>9.0</v>
      </c>
      <c r="B37" s="36" t="s">
        <v>104</v>
      </c>
      <c r="C37" s="37" t="s">
        <v>61</v>
      </c>
      <c r="D37" s="36" t="s">
        <v>376</v>
      </c>
      <c r="E37" s="22" t="s">
        <v>57</v>
      </c>
      <c r="F37" s="22" t="s">
        <v>574</v>
      </c>
      <c r="G37" s="22" t="s">
        <v>59</v>
      </c>
      <c r="H37" s="22" t="s">
        <v>59</v>
      </c>
      <c r="I37" s="22" t="s">
        <v>60</v>
      </c>
      <c r="J37" s="22" t="s">
        <v>378</v>
      </c>
      <c r="K37" s="22" t="s">
        <v>525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6">
        <v>9.0</v>
      </c>
      <c r="B38" s="36" t="s">
        <v>104</v>
      </c>
      <c r="C38" s="37" t="s">
        <v>61</v>
      </c>
      <c r="D38" s="36" t="s">
        <v>191</v>
      </c>
      <c r="E38" s="22" t="s">
        <v>76</v>
      </c>
      <c r="F38" s="22" t="s">
        <v>575</v>
      </c>
      <c r="G38" s="22" t="s">
        <v>59</v>
      </c>
      <c r="H38" s="22" t="s">
        <v>59</v>
      </c>
      <c r="I38" s="22" t="s">
        <v>60</v>
      </c>
      <c r="J38" s="22" t="s">
        <v>380</v>
      </c>
      <c r="K38" s="22" t="s">
        <v>525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6">
        <v>9.0</v>
      </c>
      <c r="B39" s="36" t="s">
        <v>104</v>
      </c>
      <c r="C39" s="37" t="s">
        <v>61</v>
      </c>
      <c r="D39" s="36" t="s">
        <v>383</v>
      </c>
      <c r="E39" s="22" t="s">
        <v>76</v>
      </c>
      <c r="F39" s="22" t="s">
        <v>576</v>
      </c>
      <c r="G39" s="22" t="s">
        <v>59</v>
      </c>
      <c r="H39" s="22" t="s">
        <v>59</v>
      </c>
      <c r="I39" s="22" t="s">
        <v>60</v>
      </c>
      <c r="J39" s="22" t="s">
        <v>117</v>
      </c>
      <c r="K39" s="22" t="s">
        <v>525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6">
        <v>10.0</v>
      </c>
      <c r="B40" s="36" t="s">
        <v>108</v>
      </c>
      <c r="C40" s="37" t="s">
        <v>110</v>
      </c>
      <c r="D40" s="36" t="s">
        <v>402</v>
      </c>
      <c r="E40" s="22" t="s">
        <v>57</v>
      </c>
      <c r="F40" s="22" t="s">
        <v>577</v>
      </c>
      <c r="G40" s="22" t="s">
        <v>59</v>
      </c>
      <c r="H40" s="22" t="s">
        <v>59</v>
      </c>
      <c r="I40" s="22" t="s">
        <v>60</v>
      </c>
      <c r="J40" s="22" t="s">
        <v>120</v>
      </c>
      <c r="K40" s="22" t="s">
        <v>525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6">
        <v>10.0</v>
      </c>
      <c r="B41" s="36" t="s">
        <v>108</v>
      </c>
      <c r="C41" s="37" t="s">
        <v>110</v>
      </c>
      <c r="D41" s="36" t="s">
        <v>404</v>
      </c>
      <c r="E41" s="22" t="s">
        <v>57</v>
      </c>
      <c r="F41" s="22" t="s">
        <v>578</v>
      </c>
      <c r="G41" s="22" t="s">
        <v>59</v>
      </c>
      <c r="H41" s="22" t="s">
        <v>59</v>
      </c>
      <c r="I41" s="22" t="s">
        <v>60</v>
      </c>
      <c r="J41" s="22" t="s">
        <v>406</v>
      </c>
      <c r="K41" s="22" t="s">
        <v>525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6">
        <v>10.0</v>
      </c>
      <c r="B42" s="36" t="s">
        <v>108</v>
      </c>
      <c r="C42" s="37" t="s">
        <v>110</v>
      </c>
      <c r="D42" s="36" t="s">
        <v>408</v>
      </c>
      <c r="E42" s="22" t="s">
        <v>57</v>
      </c>
      <c r="F42" s="22" t="s">
        <v>579</v>
      </c>
      <c r="G42" s="22" t="s">
        <v>59</v>
      </c>
      <c r="H42" s="22" t="s">
        <v>59</v>
      </c>
      <c r="I42" s="22" t="s">
        <v>60</v>
      </c>
      <c r="J42" s="22" t="s">
        <v>409</v>
      </c>
      <c r="K42" s="22" t="s">
        <v>525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6">
        <v>10.0</v>
      </c>
      <c r="B43" s="36" t="s">
        <v>108</v>
      </c>
      <c r="C43" s="37" t="s">
        <v>110</v>
      </c>
      <c r="D43" s="36" t="s">
        <v>411</v>
      </c>
      <c r="E43" s="22" t="s">
        <v>76</v>
      </c>
      <c r="F43" s="22" t="s">
        <v>580</v>
      </c>
      <c r="G43" s="22" t="s">
        <v>59</v>
      </c>
      <c r="H43" s="22" t="s">
        <v>59</v>
      </c>
      <c r="I43" s="22" t="s">
        <v>60</v>
      </c>
      <c r="J43" s="22" t="s">
        <v>120</v>
      </c>
      <c r="K43" s="22" t="s">
        <v>525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6">
        <v>10.0</v>
      </c>
      <c r="B44" s="36" t="s">
        <v>108</v>
      </c>
      <c r="C44" s="37" t="s">
        <v>110</v>
      </c>
      <c r="D44" s="36" t="s">
        <v>414</v>
      </c>
      <c r="E44" s="22" t="s">
        <v>76</v>
      </c>
      <c r="F44" s="22" t="s">
        <v>581</v>
      </c>
      <c r="G44" s="22" t="s">
        <v>59</v>
      </c>
      <c r="H44" s="22" t="s">
        <v>59</v>
      </c>
      <c r="I44" s="22" t="s">
        <v>60</v>
      </c>
      <c r="J44" s="22" t="s">
        <v>406</v>
      </c>
      <c r="K44" s="22" t="s">
        <v>525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6">
        <v>11.0</v>
      </c>
      <c r="B45" s="36" t="s">
        <v>112</v>
      </c>
      <c r="C45" s="37" t="s">
        <v>110</v>
      </c>
      <c r="D45" s="36" t="s">
        <v>421</v>
      </c>
      <c r="E45" s="22" t="s">
        <v>57</v>
      </c>
      <c r="F45" s="22" t="s">
        <v>582</v>
      </c>
      <c r="G45" s="22" t="s">
        <v>59</v>
      </c>
      <c r="H45" s="22" t="s">
        <v>59</v>
      </c>
      <c r="I45" s="22" t="s">
        <v>60</v>
      </c>
      <c r="J45" s="22" t="s">
        <v>124</v>
      </c>
      <c r="K45" s="22" t="s">
        <v>525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6">
        <v>11.0</v>
      </c>
      <c r="B46" s="36" t="s">
        <v>112</v>
      </c>
      <c r="C46" s="37" t="s">
        <v>110</v>
      </c>
      <c r="D46" s="36" t="s">
        <v>276</v>
      </c>
      <c r="E46" s="22" t="s">
        <v>57</v>
      </c>
      <c r="F46" s="22" t="s">
        <v>585</v>
      </c>
      <c r="G46" s="22" t="s">
        <v>59</v>
      </c>
      <c r="H46" s="22" t="s">
        <v>59</v>
      </c>
      <c r="I46" s="22" t="s">
        <v>60</v>
      </c>
      <c r="J46" s="22" t="s">
        <v>424</v>
      </c>
      <c r="K46" s="22" t="s">
        <v>525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6">
        <v>11.0</v>
      </c>
      <c r="B47" s="36" t="s">
        <v>112</v>
      </c>
      <c r="C47" s="37" t="s">
        <v>110</v>
      </c>
      <c r="D47" s="36" t="s">
        <v>426</v>
      </c>
      <c r="E47" s="22" t="s">
        <v>57</v>
      </c>
      <c r="F47" s="22" t="s">
        <v>586</v>
      </c>
      <c r="G47" s="22" t="s">
        <v>59</v>
      </c>
      <c r="H47" s="22" t="s">
        <v>59</v>
      </c>
      <c r="I47" s="22" t="s">
        <v>60</v>
      </c>
      <c r="J47" s="22" t="s">
        <v>427</v>
      </c>
      <c r="K47" s="22" t="s">
        <v>525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6">
        <v>11.0</v>
      </c>
      <c r="B48" s="36" t="s">
        <v>112</v>
      </c>
      <c r="C48" s="37" t="s">
        <v>110</v>
      </c>
      <c r="D48" s="36" t="s">
        <v>272</v>
      </c>
      <c r="E48" s="22" t="s">
        <v>76</v>
      </c>
      <c r="F48" s="22" t="s">
        <v>587</v>
      </c>
      <c r="G48" s="22" t="s">
        <v>59</v>
      </c>
      <c r="H48" s="22" t="s">
        <v>59</v>
      </c>
      <c r="I48" s="22" t="s">
        <v>60</v>
      </c>
      <c r="J48" s="22" t="s">
        <v>124</v>
      </c>
      <c r="K48" s="22" t="s">
        <v>525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6">
        <v>11.0</v>
      </c>
      <c r="B49" s="36" t="s">
        <v>112</v>
      </c>
      <c r="C49" s="37" t="s">
        <v>110</v>
      </c>
      <c r="D49" s="36" t="s">
        <v>431</v>
      </c>
      <c r="E49" s="22" t="s">
        <v>76</v>
      </c>
      <c r="F49" s="22" t="s">
        <v>588</v>
      </c>
      <c r="G49" s="22" t="s">
        <v>59</v>
      </c>
      <c r="H49" s="22" t="s">
        <v>59</v>
      </c>
      <c r="I49" s="22" t="s">
        <v>60</v>
      </c>
      <c r="J49" s="22" t="s">
        <v>424</v>
      </c>
      <c r="K49" s="22" t="s">
        <v>537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6">
        <v>12.0</v>
      </c>
      <c r="B50" s="36" t="s">
        <v>116</v>
      </c>
      <c r="C50" s="37" t="s">
        <v>110</v>
      </c>
      <c r="D50" s="36" t="s">
        <v>95</v>
      </c>
      <c r="E50" s="22" t="s">
        <v>57</v>
      </c>
      <c r="F50" s="22" t="s">
        <v>589</v>
      </c>
      <c r="G50" s="22" t="s">
        <v>59</v>
      </c>
      <c r="H50" s="22" t="s">
        <v>59</v>
      </c>
      <c r="I50" s="22" t="s">
        <v>60</v>
      </c>
      <c r="J50" s="22" t="s">
        <v>127</v>
      </c>
      <c r="K50" s="22" t="s">
        <v>535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6">
        <v>12.0</v>
      </c>
      <c r="B51" s="36" t="s">
        <v>116</v>
      </c>
      <c r="C51" s="37" t="s">
        <v>110</v>
      </c>
      <c r="D51" s="36" t="s">
        <v>111</v>
      </c>
      <c r="E51" s="22" t="s">
        <v>57</v>
      </c>
      <c r="F51" s="22" t="s">
        <v>590</v>
      </c>
      <c r="G51" s="22" t="s">
        <v>59</v>
      </c>
      <c r="H51" s="22" t="s">
        <v>59</v>
      </c>
      <c r="I51" s="22" t="s">
        <v>60</v>
      </c>
      <c r="J51" s="22" t="s">
        <v>439</v>
      </c>
      <c r="K51" s="22" t="s">
        <v>535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6">
        <v>12.0</v>
      </c>
      <c r="B52" s="36" t="s">
        <v>116</v>
      </c>
      <c r="C52" s="37" t="s">
        <v>110</v>
      </c>
      <c r="D52" s="36" t="s">
        <v>441</v>
      </c>
      <c r="E52" s="22" t="s">
        <v>76</v>
      </c>
      <c r="F52" s="22" t="s">
        <v>591</v>
      </c>
      <c r="G52" s="22" t="s">
        <v>59</v>
      </c>
      <c r="H52" s="22" t="s">
        <v>59</v>
      </c>
      <c r="I52" s="22" t="s">
        <v>60</v>
      </c>
      <c r="J52" s="22" t="s">
        <v>442</v>
      </c>
      <c r="K52" s="22" t="s">
        <v>571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6">
        <v>13.0</v>
      </c>
      <c r="B53" s="36" t="s">
        <v>119</v>
      </c>
      <c r="C53" s="37" t="s">
        <v>110</v>
      </c>
      <c r="D53" s="36" t="s">
        <v>462</v>
      </c>
      <c r="E53" s="22" t="s">
        <v>57</v>
      </c>
      <c r="F53" s="22" t="s">
        <v>593</v>
      </c>
      <c r="G53" s="22" t="s">
        <v>59</v>
      </c>
      <c r="H53" s="22" t="s">
        <v>59</v>
      </c>
      <c r="I53" s="22" t="s">
        <v>60</v>
      </c>
      <c r="J53" s="22" t="s">
        <v>131</v>
      </c>
      <c r="K53" s="22" t="s">
        <v>525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6">
        <v>13.0</v>
      </c>
      <c r="B54" s="36" t="s">
        <v>119</v>
      </c>
      <c r="C54" s="37" t="s">
        <v>110</v>
      </c>
      <c r="D54" s="36" t="s">
        <v>464</v>
      </c>
      <c r="E54" s="22" t="s">
        <v>57</v>
      </c>
      <c r="F54" s="22" t="s">
        <v>595</v>
      </c>
      <c r="G54" s="22" t="s">
        <v>59</v>
      </c>
      <c r="H54" s="22" t="s">
        <v>59</v>
      </c>
      <c r="I54" s="22" t="s">
        <v>60</v>
      </c>
      <c r="J54" s="22" t="s">
        <v>465</v>
      </c>
      <c r="K54" s="22" t="s">
        <v>525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6">
        <v>13.0</v>
      </c>
      <c r="B55" s="36" t="s">
        <v>119</v>
      </c>
      <c r="C55" s="37" t="s">
        <v>110</v>
      </c>
      <c r="D55" s="36" t="s">
        <v>467</v>
      </c>
      <c r="E55" s="22" t="s">
        <v>76</v>
      </c>
      <c r="F55" s="22" t="s">
        <v>597</v>
      </c>
      <c r="G55" s="22" t="s">
        <v>59</v>
      </c>
      <c r="H55" s="22" t="s">
        <v>59</v>
      </c>
      <c r="I55" s="22" t="s">
        <v>60</v>
      </c>
      <c r="J55" s="22" t="s">
        <v>468</v>
      </c>
      <c r="K55" s="22" t="s">
        <v>537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6">
        <v>13.0</v>
      </c>
      <c r="B56" s="36" t="s">
        <v>119</v>
      </c>
      <c r="C56" s="37" t="s">
        <v>110</v>
      </c>
      <c r="D56" s="36" t="s">
        <v>470</v>
      </c>
      <c r="E56" s="22" t="s">
        <v>76</v>
      </c>
      <c r="F56" s="22" t="s">
        <v>598</v>
      </c>
      <c r="G56" s="22" t="s">
        <v>59</v>
      </c>
      <c r="H56" s="22" t="s">
        <v>59</v>
      </c>
      <c r="I56" s="22" t="s">
        <v>60</v>
      </c>
      <c r="J56" s="22" t="s">
        <v>131</v>
      </c>
      <c r="K56" s="22" t="s">
        <v>525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6">
        <v>13.0</v>
      </c>
      <c r="B57" s="36" t="s">
        <v>119</v>
      </c>
      <c r="C57" s="37" t="s">
        <v>110</v>
      </c>
      <c r="D57" s="36" t="s">
        <v>472</v>
      </c>
      <c r="E57" s="22" t="s">
        <v>76</v>
      </c>
      <c r="F57" s="22" t="s">
        <v>600</v>
      </c>
      <c r="G57" s="22" t="s">
        <v>59</v>
      </c>
      <c r="H57" s="22" t="s">
        <v>59</v>
      </c>
      <c r="I57" s="22" t="s">
        <v>60</v>
      </c>
      <c r="J57" s="22" t="s">
        <v>465</v>
      </c>
      <c r="K57" s="22" t="s">
        <v>525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6">
        <v>14.0</v>
      </c>
      <c r="B58" s="36" t="s">
        <v>122</v>
      </c>
      <c r="C58" s="37" t="s">
        <v>110</v>
      </c>
      <c r="D58" s="36" t="s">
        <v>495</v>
      </c>
      <c r="E58" s="22" t="s">
        <v>57</v>
      </c>
      <c r="F58" s="22" t="s">
        <v>603</v>
      </c>
      <c r="G58" s="22" t="s">
        <v>59</v>
      </c>
      <c r="H58" s="22" t="s">
        <v>59</v>
      </c>
      <c r="I58" s="22" t="s">
        <v>60</v>
      </c>
      <c r="J58" s="22" t="s">
        <v>138</v>
      </c>
      <c r="K58" s="22" t="s">
        <v>525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6">
        <v>14.0</v>
      </c>
      <c r="B59" s="36" t="s">
        <v>122</v>
      </c>
      <c r="C59" s="37" t="s">
        <v>110</v>
      </c>
      <c r="D59" s="36" t="s">
        <v>497</v>
      </c>
      <c r="E59" s="22" t="s">
        <v>57</v>
      </c>
      <c r="F59" s="22" t="s">
        <v>605</v>
      </c>
      <c r="G59" s="22" t="s">
        <v>59</v>
      </c>
      <c r="H59" s="22" t="s">
        <v>59</v>
      </c>
      <c r="I59" s="22" t="s">
        <v>60</v>
      </c>
      <c r="J59" s="22" t="s">
        <v>498</v>
      </c>
      <c r="K59" s="22" t="s">
        <v>525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6">
        <v>14.0</v>
      </c>
      <c r="B60" s="36" t="s">
        <v>122</v>
      </c>
      <c r="C60" s="37" t="s">
        <v>110</v>
      </c>
      <c r="D60" s="36" t="s">
        <v>500</v>
      </c>
      <c r="E60" s="22" t="s">
        <v>57</v>
      </c>
      <c r="F60" s="22" t="s">
        <v>607</v>
      </c>
      <c r="G60" s="22" t="s">
        <v>59</v>
      </c>
      <c r="H60" s="22" t="s">
        <v>59</v>
      </c>
      <c r="I60" s="22" t="s">
        <v>60</v>
      </c>
      <c r="J60" s="22" t="s">
        <v>501</v>
      </c>
      <c r="K60" s="22" t="s">
        <v>525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6">
        <v>14.0</v>
      </c>
      <c r="B61" s="36" t="s">
        <v>122</v>
      </c>
      <c r="C61" s="37" t="s">
        <v>110</v>
      </c>
      <c r="D61" s="36" t="s">
        <v>503</v>
      </c>
      <c r="E61" s="22" t="s">
        <v>57</v>
      </c>
      <c r="F61" s="22" t="s">
        <v>609</v>
      </c>
      <c r="G61" s="22" t="s">
        <v>59</v>
      </c>
      <c r="H61" s="22" t="s">
        <v>59</v>
      </c>
      <c r="I61" s="22" t="s">
        <v>60</v>
      </c>
      <c r="J61" s="22" t="s">
        <v>138</v>
      </c>
      <c r="K61" s="22" t="s">
        <v>525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6">
        <v>14.0</v>
      </c>
      <c r="B62" s="36" t="s">
        <v>122</v>
      </c>
      <c r="C62" s="37" t="s">
        <v>110</v>
      </c>
      <c r="D62" s="36" t="s">
        <v>505</v>
      </c>
      <c r="E62" s="22" t="s">
        <v>76</v>
      </c>
      <c r="F62" s="22" t="s">
        <v>611</v>
      </c>
      <c r="G62" s="22" t="s">
        <v>59</v>
      </c>
      <c r="H62" s="22" t="s">
        <v>59</v>
      </c>
      <c r="I62" s="22" t="s">
        <v>60</v>
      </c>
      <c r="J62" s="22" t="s">
        <v>498</v>
      </c>
      <c r="K62" s="22" t="s">
        <v>525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6">
        <v>15.0</v>
      </c>
      <c r="B63" s="36" t="s">
        <v>125</v>
      </c>
      <c r="C63" s="37" t="s">
        <v>110</v>
      </c>
      <c r="D63" s="36" t="s">
        <v>594</v>
      </c>
      <c r="E63" s="22" t="s">
        <v>57</v>
      </c>
      <c r="F63" s="22" t="s">
        <v>613</v>
      </c>
      <c r="G63" s="22" t="s">
        <v>59</v>
      </c>
      <c r="H63" s="22" t="s">
        <v>59</v>
      </c>
      <c r="I63" s="22" t="s">
        <v>60</v>
      </c>
      <c r="J63" s="22" t="s">
        <v>144</v>
      </c>
      <c r="K63" s="22" t="s">
        <v>525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6">
        <v>15.0</v>
      </c>
      <c r="B64" s="36" t="s">
        <v>125</v>
      </c>
      <c r="C64" s="37" t="s">
        <v>110</v>
      </c>
      <c r="D64" s="36" t="s">
        <v>599</v>
      </c>
      <c r="E64" s="22" t="s">
        <v>57</v>
      </c>
      <c r="F64" s="22" t="s">
        <v>615</v>
      </c>
      <c r="G64" s="22" t="s">
        <v>59</v>
      </c>
      <c r="H64" s="22" t="s">
        <v>59</v>
      </c>
      <c r="I64" s="22" t="s">
        <v>60</v>
      </c>
      <c r="J64" s="22" t="s">
        <v>601</v>
      </c>
      <c r="K64" s="22" t="s">
        <v>525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6">
        <v>15.0</v>
      </c>
      <c r="B65" s="36" t="s">
        <v>125</v>
      </c>
      <c r="C65" s="37" t="s">
        <v>110</v>
      </c>
      <c r="D65" s="36" t="s">
        <v>511</v>
      </c>
      <c r="E65" s="22" t="s">
        <v>76</v>
      </c>
      <c r="F65" s="22" t="s">
        <v>617</v>
      </c>
      <c r="G65" s="22" t="s">
        <v>59</v>
      </c>
      <c r="H65" s="22" t="s">
        <v>59</v>
      </c>
      <c r="I65" s="22" t="s">
        <v>60</v>
      </c>
      <c r="J65" s="22" t="s">
        <v>144</v>
      </c>
      <c r="K65" s="22" t="s">
        <v>525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6">
        <v>16.0</v>
      </c>
      <c r="B66" s="36" t="s">
        <v>130</v>
      </c>
      <c r="C66" s="37" t="s">
        <v>110</v>
      </c>
      <c r="D66" s="36" t="s">
        <v>493</v>
      </c>
      <c r="E66" s="22" t="s">
        <v>57</v>
      </c>
      <c r="F66" s="22" t="s">
        <v>618</v>
      </c>
      <c r="G66" s="22" t="s">
        <v>59</v>
      </c>
      <c r="H66" s="22" t="s">
        <v>59</v>
      </c>
      <c r="I66" s="22" t="s">
        <v>60</v>
      </c>
      <c r="J66" s="22" t="s">
        <v>149</v>
      </c>
      <c r="K66" s="22" t="s">
        <v>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6">
        <v>16.0</v>
      </c>
      <c r="B67" s="36" t="s">
        <v>130</v>
      </c>
      <c r="C67" s="37" t="s">
        <v>110</v>
      </c>
      <c r="D67" s="36" t="s">
        <v>619</v>
      </c>
      <c r="E67" s="22" t="s">
        <v>57</v>
      </c>
      <c r="F67" s="22" t="s">
        <v>620</v>
      </c>
      <c r="G67" s="22" t="s">
        <v>59</v>
      </c>
      <c r="H67" s="22" t="s">
        <v>59</v>
      </c>
      <c r="I67" s="22" t="s">
        <v>60</v>
      </c>
      <c r="J67" s="22" t="s">
        <v>621</v>
      </c>
      <c r="K67" s="22" t="s">
        <v>525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6">
        <v>16.0</v>
      </c>
      <c r="B68" s="36" t="s">
        <v>130</v>
      </c>
      <c r="C68" s="37" t="s">
        <v>110</v>
      </c>
      <c r="D68" s="36" t="s">
        <v>467</v>
      </c>
      <c r="E68" s="22" t="s">
        <v>57</v>
      </c>
      <c r="F68" s="22" t="s">
        <v>622</v>
      </c>
      <c r="G68" s="22" t="s">
        <v>59</v>
      </c>
      <c r="H68" s="22" t="s">
        <v>59</v>
      </c>
      <c r="I68" s="22" t="s">
        <v>60</v>
      </c>
      <c r="J68" s="22" t="s">
        <v>623</v>
      </c>
      <c r="K68" s="22" t="s">
        <v>537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6">
        <v>16.0</v>
      </c>
      <c r="B69" s="36" t="s">
        <v>130</v>
      </c>
      <c r="C69" s="37" t="s">
        <v>110</v>
      </c>
      <c r="D69" s="36" t="s">
        <v>625</v>
      </c>
      <c r="E69" s="22" t="s">
        <v>57</v>
      </c>
      <c r="F69" s="22" t="s">
        <v>626</v>
      </c>
      <c r="G69" s="22" t="s">
        <v>59</v>
      </c>
      <c r="H69" s="22" t="s">
        <v>59</v>
      </c>
      <c r="I69" s="22" t="s">
        <v>60</v>
      </c>
      <c r="J69" s="22" t="s">
        <v>149</v>
      </c>
      <c r="K69" s="22" t="s">
        <v>525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6">
        <v>16.0</v>
      </c>
      <c r="B70" s="36" t="s">
        <v>130</v>
      </c>
      <c r="C70" s="37" t="s">
        <v>110</v>
      </c>
      <c r="D70" s="36" t="s">
        <v>628</v>
      </c>
      <c r="E70" s="22" t="s">
        <v>76</v>
      </c>
      <c r="F70" s="22" t="s">
        <v>629</v>
      </c>
      <c r="G70" s="22" t="s">
        <v>59</v>
      </c>
      <c r="H70" s="22" t="s">
        <v>59</v>
      </c>
      <c r="I70" s="22" t="s">
        <v>60</v>
      </c>
      <c r="J70" s="22" t="s">
        <v>621</v>
      </c>
      <c r="K70" s="22" t="s">
        <v>525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6">
        <v>17.0</v>
      </c>
      <c r="B71" s="36" t="s">
        <v>134</v>
      </c>
      <c r="C71" s="37" t="s">
        <v>110</v>
      </c>
      <c r="D71" s="36" t="s">
        <v>631</v>
      </c>
      <c r="E71" s="22" t="s">
        <v>57</v>
      </c>
      <c r="F71" s="22" t="s">
        <v>632</v>
      </c>
      <c r="G71" s="22" t="s">
        <v>59</v>
      </c>
      <c r="H71" s="22" t="s">
        <v>59</v>
      </c>
      <c r="I71" s="22" t="s">
        <v>60</v>
      </c>
      <c r="J71" s="22" t="s">
        <v>152</v>
      </c>
      <c r="K71" s="22" t="s">
        <v>525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6">
        <v>17.0</v>
      </c>
      <c r="B72" s="36" t="s">
        <v>134</v>
      </c>
      <c r="C72" s="37" t="s">
        <v>110</v>
      </c>
      <c r="D72" s="36" t="s">
        <v>633</v>
      </c>
      <c r="E72" s="22" t="s">
        <v>57</v>
      </c>
      <c r="F72" s="22" t="s">
        <v>634</v>
      </c>
      <c r="G72" s="22" t="s">
        <v>59</v>
      </c>
      <c r="H72" s="22" t="s">
        <v>59</v>
      </c>
      <c r="I72" s="22" t="s">
        <v>60</v>
      </c>
      <c r="J72" s="22" t="s">
        <v>635</v>
      </c>
      <c r="K72" s="22" t="s">
        <v>525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6">
        <v>17.0</v>
      </c>
      <c r="B73" s="36" t="s">
        <v>134</v>
      </c>
      <c r="C73" s="37" t="s">
        <v>110</v>
      </c>
      <c r="D73" s="36" t="s">
        <v>637</v>
      </c>
      <c r="E73" s="22" t="s">
        <v>76</v>
      </c>
      <c r="F73" s="22" t="s">
        <v>638</v>
      </c>
      <c r="G73" s="22" t="s">
        <v>59</v>
      </c>
      <c r="H73" s="22" t="s">
        <v>59</v>
      </c>
      <c r="I73" s="22" t="s">
        <v>60</v>
      </c>
      <c r="J73" s="22" t="s">
        <v>152</v>
      </c>
      <c r="K73" s="22" t="s">
        <v>525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6">
        <v>18.0</v>
      </c>
      <c r="B74" s="36" t="s">
        <v>142</v>
      </c>
      <c r="C74" s="37" t="s">
        <v>110</v>
      </c>
      <c r="D74" s="36" t="s">
        <v>640</v>
      </c>
      <c r="E74" s="22" t="s">
        <v>57</v>
      </c>
      <c r="F74" s="22" t="s">
        <v>642</v>
      </c>
      <c r="G74" s="22" t="s">
        <v>59</v>
      </c>
      <c r="H74" s="22" t="s">
        <v>59</v>
      </c>
      <c r="I74" s="22" t="s">
        <v>60</v>
      </c>
      <c r="J74" s="22" t="s">
        <v>156</v>
      </c>
      <c r="K74" s="22" t="s">
        <v>525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6">
        <v>18.0</v>
      </c>
      <c r="B75" s="36" t="s">
        <v>142</v>
      </c>
      <c r="C75" s="37" t="s">
        <v>110</v>
      </c>
      <c r="D75" s="36" t="s">
        <v>539</v>
      </c>
      <c r="E75" s="22" t="s">
        <v>57</v>
      </c>
      <c r="F75" s="22" t="s">
        <v>643</v>
      </c>
      <c r="G75" s="22" t="s">
        <v>59</v>
      </c>
      <c r="H75" s="22" t="s">
        <v>59</v>
      </c>
      <c r="I75" s="22" t="s">
        <v>60</v>
      </c>
      <c r="J75" s="22" t="s">
        <v>644</v>
      </c>
      <c r="K75" s="22" t="s">
        <v>525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6">
        <v>18.0</v>
      </c>
      <c r="B76" s="36" t="s">
        <v>142</v>
      </c>
      <c r="C76" s="37" t="s">
        <v>110</v>
      </c>
      <c r="D76" s="36" t="s">
        <v>566</v>
      </c>
      <c r="E76" s="22" t="s">
        <v>76</v>
      </c>
      <c r="F76" s="22" t="s">
        <v>645</v>
      </c>
      <c r="G76" s="22" t="s">
        <v>59</v>
      </c>
      <c r="H76" s="22" t="s">
        <v>59</v>
      </c>
      <c r="I76" s="22" t="s">
        <v>60</v>
      </c>
      <c r="J76" s="22" t="s">
        <v>156</v>
      </c>
      <c r="K76" s="22" t="s">
        <v>537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6">
        <v>19.0</v>
      </c>
      <c r="B77" s="36" t="s">
        <v>147</v>
      </c>
      <c r="C77" s="37" t="s">
        <v>110</v>
      </c>
      <c r="D77" s="36" t="s">
        <v>476</v>
      </c>
      <c r="E77" s="22" t="s">
        <v>57</v>
      </c>
      <c r="F77" s="22" t="s">
        <v>647</v>
      </c>
      <c r="G77" s="22" t="s">
        <v>59</v>
      </c>
      <c r="H77" s="22" t="s">
        <v>59</v>
      </c>
      <c r="I77" s="22" t="s">
        <v>60</v>
      </c>
      <c r="J77" s="22" t="s">
        <v>159</v>
      </c>
      <c r="K77" s="22" t="s">
        <v>525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6">
        <v>19.0</v>
      </c>
      <c r="B78" s="36" t="s">
        <v>147</v>
      </c>
      <c r="C78" s="37" t="s">
        <v>110</v>
      </c>
      <c r="D78" s="36" t="s">
        <v>648</v>
      </c>
      <c r="E78" s="22" t="s">
        <v>57</v>
      </c>
      <c r="F78" s="22" t="s">
        <v>650</v>
      </c>
      <c r="G78" s="22" t="s">
        <v>59</v>
      </c>
      <c r="H78" s="22" t="s">
        <v>59</v>
      </c>
      <c r="I78" s="22" t="s">
        <v>60</v>
      </c>
      <c r="J78" s="22" t="s">
        <v>651</v>
      </c>
      <c r="K78" s="22" t="s">
        <v>525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6">
        <v>19.0</v>
      </c>
      <c r="B79" s="36" t="s">
        <v>147</v>
      </c>
      <c r="C79" s="37" t="s">
        <v>110</v>
      </c>
      <c r="D79" s="36" t="s">
        <v>542</v>
      </c>
      <c r="E79" s="22" t="s">
        <v>76</v>
      </c>
      <c r="F79" s="22" t="s">
        <v>652</v>
      </c>
      <c r="G79" s="22" t="s">
        <v>59</v>
      </c>
      <c r="H79" s="22" t="s">
        <v>59</v>
      </c>
      <c r="I79" s="22" t="s">
        <v>60</v>
      </c>
      <c r="J79" s="22" t="s">
        <v>159</v>
      </c>
      <c r="K79" s="22" t="s">
        <v>525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6">
        <v>19.0</v>
      </c>
      <c r="B80" s="36" t="s">
        <v>147</v>
      </c>
      <c r="C80" s="37" t="s">
        <v>110</v>
      </c>
      <c r="D80" s="36" t="s">
        <v>353</v>
      </c>
      <c r="E80" s="22" t="s">
        <v>76</v>
      </c>
      <c r="F80" s="22" t="s">
        <v>600</v>
      </c>
      <c r="G80" s="22" t="s">
        <v>59</v>
      </c>
      <c r="H80" s="22" t="s">
        <v>59</v>
      </c>
      <c r="I80" s="22" t="s">
        <v>60</v>
      </c>
      <c r="J80" s="22" t="s">
        <v>651</v>
      </c>
      <c r="K80" s="22" t="s">
        <v>525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6">
        <v>19.0</v>
      </c>
      <c r="B81" s="36" t="s">
        <v>147</v>
      </c>
      <c r="C81" s="37" t="s">
        <v>110</v>
      </c>
      <c r="D81" s="36" t="s">
        <v>655</v>
      </c>
      <c r="E81" s="22" t="s">
        <v>76</v>
      </c>
      <c r="F81" s="22" t="s">
        <v>656</v>
      </c>
      <c r="G81" s="22" t="s">
        <v>59</v>
      </c>
      <c r="H81" s="22" t="s">
        <v>59</v>
      </c>
      <c r="I81" s="22" t="s">
        <v>60</v>
      </c>
      <c r="J81" s="22" t="s">
        <v>159</v>
      </c>
      <c r="K81" s="22" t="s">
        <v>537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6">
        <v>20.0</v>
      </c>
      <c r="B82" s="36" t="s">
        <v>151</v>
      </c>
      <c r="C82" s="37" t="s">
        <v>110</v>
      </c>
      <c r="D82" s="36" t="s">
        <v>447</v>
      </c>
      <c r="E82" s="22" t="s">
        <v>57</v>
      </c>
      <c r="F82" s="22" t="s">
        <v>657</v>
      </c>
      <c r="G82" s="22" t="s">
        <v>59</v>
      </c>
      <c r="H82" s="22" t="s">
        <v>59</v>
      </c>
      <c r="I82" s="22" t="s">
        <v>60</v>
      </c>
      <c r="J82" s="22" t="s">
        <v>163</v>
      </c>
      <c r="K82" s="22" t="s">
        <v>525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6">
        <v>20.0</v>
      </c>
      <c r="B83" s="36" t="s">
        <v>151</v>
      </c>
      <c r="C83" s="37" t="s">
        <v>110</v>
      </c>
      <c r="D83" s="36" t="s">
        <v>365</v>
      </c>
      <c r="E83" s="22" t="s">
        <v>76</v>
      </c>
      <c r="F83" s="22" t="s">
        <v>658</v>
      </c>
      <c r="G83" s="22" t="s">
        <v>59</v>
      </c>
      <c r="H83" s="22" t="s">
        <v>59</v>
      </c>
      <c r="I83" s="22" t="s">
        <v>60</v>
      </c>
      <c r="J83" s="22" t="s">
        <v>659</v>
      </c>
      <c r="K83" s="22" t="s">
        <v>525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6">
        <v>20.0</v>
      </c>
      <c r="B84" s="36" t="s">
        <v>151</v>
      </c>
      <c r="C84" s="37" t="s">
        <v>110</v>
      </c>
      <c r="D84" s="36" t="s">
        <v>458</v>
      </c>
      <c r="E84" s="22" t="s">
        <v>76</v>
      </c>
      <c r="F84" s="22" t="s">
        <v>660</v>
      </c>
      <c r="G84" s="22" t="s">
        <v>59</v>
      </c>
      <c r="H84" s="22" t="s">
        <v>59</v>
      </c>
      <c r="I84" s="22" t="s">
        <v>60</v>
      </c>
      <c r="J84" s="22" t="s">
        <v>163</v>
      </c>
      <c r="K84" s="22" t="s">
        <v>525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6">
        <v>21.0</v>
      </c>
      <c r="B85" s="36" t="s">
        <v>154</v>
      </c>
      <c r="C85" s="37" t="s">
        <v>110</v>
      </c>
      <c r="D85" s="36" t="s">
        <v>522</v>
      </c>
      <c r="E85" s="22" t="s">
        <v>57</v>
      </c>
      <c r="F85" s="22" t="s">
        <v>661</v>
      </c>
      <c r="G85" s="22" t="s">
        <v>59</v>
      </c>
      <c r="H85" s="22" t="s">
        <v>59</v>
      </c>
      <c r="I85" s="22" t="s">
        <v>60</v>
      </c>
      <c r="J85" s="22" t="s">
        <v>165</v>
      </c>
      <c r="K85" s="22" t="s">
        <v>525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6">
        <v>21.0</v>
      </c>
      <c r="B86" s="36" t="s">
        <v>154</v>
      </c>
      <c r="C86" s="37" t="s">
        <v>110</v>
      </c>
      <c r="D86" s="36" t="s">
        <v>491</v>
      </c>
      <c r="E86" s="22" t="s">
        <v>57</v>
      </c>
      <c r="F86" s="22" t="s">
        <v>662</v>
      </c>
      <c r="G86" s="22" t="s">
        <v>59</v>
      </c>
      <c r="H86" s="22" t="s">
        <v>59</v>
      </c>
      <c r="I86" s="22" t="s">
        <v>60</v>
      </c>
      <c r="J86" s="22" t="s">
        <v>663</v>
      </c>
      <c r="K86" s="22" t="s">
        <v>525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6">
        <v>21.0</v>
      </c>
      <c r="B87" s="36" t="s">
        <v>154</v>
      </c>
      <c r="C87" s="37" t="s">
        <v>110</v>
      </c>
      <c r="D87" s="36" t="s">
        <v>484</v>
      </c>
      <c r="E87" s="22" t="s">
        <v>57</v>
      </c>
      <c r="F87" s="22" t="s">
        <v>664</v>
      </c>
      <c r="G87" s="22" t="s">
        <v>59</v>
      </c>
      <c r="H87" s="22" t="s">
        <v>59</v>
      </c>
      <c r="I87" s="22" t="s">
        <v>60</v>
      </c>
      <c r="J87" s="22" t="s">
        <v>165</v>
      </c>
      <c r="K87" s="22" t="s">
        <v>525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6">
        <v>21.0</v>
      </c>
      <c r="B88" s="36" t="s">
        <v>154</v>
      </c>
      <c r="C88" s="37" t="s">
        <v>110</v>
      </c>
      <c r="D88" s="36" t="s">
        <v>479</v>
      </c>
      <c r="E88" s="22" t="s">
        <v>57</v>
      </c>
      <c r="F88" s="22" t="s">
        <v>665</v>
      </c>
      <c r="G88" s="22" t="s">
        <v>59</v>
      </c>
      <c r="H88" s="22" t="s">
        <v>59</v>
      </c>
      <c r="I88" s="22" t="s">
        <v>60</v>
      </c>
      <c r="J88" s="22" t="s">
        <v>663</v>
      </c>
      <c r="K88" s="22" t="s">
        <v>525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6">
        <v>21.0</v>
      </c>
      <c r="B89" s="36" t="s">
        <v>154</v>
      </c>
      <c r="C89" s="37" t="s">
        <v>110</v>
      </c>
      <c r="D89" s="36" t="s">
        <v>666</v>
      </c>
      <c r="E89" s="22" t="s">
        <v>76</v>
      </c>
      <c r="F89" s="22" t="s">
        <v>667</v>
      </c>
      <c r="G89" s="22" t="s">
        <v>59</v>
      </c>
      <c r="H89" s="22" t="s">
        <v>59</v>
      </c>
      <c r="I89" s="22" t="s">
        <v>60</v>
      </c>
      <c r="J89" s="22" t="s">
        <v>165</v>
      </c>
      <c r="K89" s="22" t="s">
        <v>525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6">
        <v>22.0</v>
      </c>
      <c r="B90" s="36" t="s">
        <v>126</v>
      </c>
      <c r="C90" s="37" t="s">
        <v>110</v>
      </c>
      <c r="D90" s="36" t="s">
        <v>109</v>
      </c>
      <c r="E90" s="22" t="s">
        <v>57</v>
      </c>
      <c r="F90" s="22" t="s">
        <v>668</v>
      </c>
      <c r="G90" s="22" t="s">
        <v>59</v>
      </c>
      <c r="H90" s="22" t="s">
        <v>59</v>
      </c>
      <c r="I90" s="22" t="s">
        <v>60</v>
      </c>
      <c r="J90" s="22" t="s">
        <v>171</v>
      </c>
      <c r="K90" s="22" t="s">
        <v>537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6">
        <v>22.0</v>
      </c>
      <c r="B91" s="36" t="s">
        <v>126</v>
      </c>
      <c r="C91" s="37" t="s">
        <v>110</v>
      </c>
      <c r="D91" s="36" t="s">
        <v>441</v>
      </c>
      <c r="E91" s="22" t="s">
        <v>57</v>
      </c>
      <c r="F91" s="22" t="s">
        <v>669</v>
      </c>
      <c r="G91" s="22" t="s">
        <v>59</v>
      </c>
      <c r="H91" s="22" t="s">
        <v>59</v>
      </c>
      <c r="I91" s="22" t="s">
        <v>60</v>
      </c>
      <c r="J91" s="22" t="s">
        <v>670</v>
      </c>
      <c r="K91" s="22" t="s">
        <v>571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6">
        <v>22.0</v>
      </c>
      <c r="B92" s="36" t="s">
        <v>126</v>
      </c>
      <c r="C92" s="37" t="s">
        <v>110</v>
      </c>
      <c r="D92" s="36" t="s">
        <v>86</v>
      </c>
      <c r="E92" s="22" t="s">
        <v>76</v>
      </c>
      <c r="F92" s="22" t="s">
        <v>671</v>
      </c>
      <c r="G92" s="22" t="s">
        <v>59</v>
      </c>
      <c r="H92" s="22" t="s">
        <v>59</v>
      </c>
      <c r="I92" s="22" t="s">
        <v>60</v>
      </c>
      <c r="J92" s="22" t="s">
        <v>672</v>
      </c>
      <c r="K92" s="22" t="s">
        <v>531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6">
        <v>22.0</v>
      </c>
      <c r="B93" s="36" t="s">
        <v>126</v>
      </c>
      <c r="C93" s="37" t="s">
        <v>110</v>
      </c>
      <c r="D93" s="36" t="s">
        <v>111</v>
      </c>
      <c r="E93" s="22" t="s">
        <v>76</v>
      </c>
      <c r="F93" s="22" t="s">
        <v>673</v>
      </c>
      <c r="G93" s="22" t="s">
        <v>59</v>
      </c>
      <c r="H93" s="22" t="s">
        <v>59</v>
      </c>
      <c r="I93" s="22" t="s">
        <v>60</v>
      </c>
      <c r="J93" s="22" t="s">
        <v>171</v>
      </c>
      <c r="K93" s="22" t="s">
        <v>535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6">
        <v>22.0</v>
      </c>
      <c r="B94" s="36" t="s">
        <v>126</v>
      </c>
      <c r="C94" s="37" t="s">
        <v>110</v>
      </c>
      <c r="D94" s="36" t="s">
        <v>95</v>
      </c>
      <c r="E94" s="22" t="s">
        <v>76</v>
      </c>
      <c r="F94" s="22" t="s">
        <v>674</v>
      </c>
      <c r="G94" s="22" t="s">
        <v>59</v>
      </c>
      <c r="H94" s="22" t="s">
        <v>59</v>
      </c>
      <c r="I94" s="22" t="s">
        <v>60</v>
      </c>
      <c r="J94" s="22" t="s">
        <v>670</v>
      </c>
      <c r="K94" s="22" t="s">
        <v>535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6">
        <v>23.0</v>
      </c>
      <c r="B95" s="36" t="s">
        <v>162</v>
      </c>
      <c r="C95" s="37" t="s">
        <v>110</v>
      </c>
      <c r="D95" s="36" t="s">
        <v>516</v>
      </c>
      <c r="E95" s="22" t="s">
        <v>57</v>
      </c>
      <c r="F95" s="22" t="s">
        <v>675</v>
      </c>
      <c r="G95" s="22" t="s">
        <v>59</v>
      </c>
      <c r="H95" s="22" t="s">
        <v>59</v>
      </c>
      <c r="I95" s="22" t="s">
        <v>60</v>
      </c>
      <c r="J95" s="22" t="s">
        <v>182</v>
      </c>
      <c r="K95" s="22" t="s">
        <v>525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6">
        <v>23.0</v>
      </c>
      <c r="B96" s="36" t="s">
        <v>162</v>
      </c>
      <c r="C96" s="37" t="s">
        <v>110</v>
      </c>
      <c r="D96" s="36" t="s">
        <v>676</v>
      </c>
      <c r="E96" s="22" t="s">
        <v>57</v>
      </c>
      <c r="F96" s="22" t="s">
        <v>677</v>
      </c>
      <c r="G96" s="22" t="s">
        <v>59</v>
      </c>
      <c r="H96" s="22" t="s">
        <v>59</v>
      </c>
      <c r="I96" s="22" t="s">
        <v>60</v>
      </c>
      <c r="J96" s="22" t="s">
        <v>678</v>
      </c>
      <c r="K96" s="22" t="s">
        <v>525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6">
        <v>23.0</v>
      </c>
      <c r="B97" s="36" t="s">
        <v>162</v>
      </c>
      <c r="C97" s="37" t="s">
        <v>110</v>
      </c>
      <c r="D97" s="36" t="s">
        <v>573</v>
      </c>
      <c r="E97" s="22" t="s">
        <v>57</v>
      </c>
      <c r="F97" s="22" t="s">
        <v>679</v>
      </c>
      <c r="G97" s="22" t="s">
        <v>59</v>
      </c>
      <c r="H97" s="22" t="s">
        <v>59</v>
      </c>
      <c r="I97" s="22" t="s">
        <v>60</v>
      </c>
      <c r="J97" s="22" t="s">
        <v>182</v>
      </c>
      <c r="K97" s="22" t="s">
        <v>525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6">
        <v>23.0</v>
      </c>
      <c r="B98" s="36" t="s">
        <v>162</v>
      </c>
      <c r="C98" s="37" t="s">
        <v>110</v>
      </c>
      <c r="D98" s="36" t="s">
        <v>681</v>
      </c>
      <c r="E98" s="22" t="s">
        <v>76</v>
      </c>
      <c r="F98" s="22" t="s">
        <v>682</v>
      </c>
      <c r="G98" s="22" t="s">
        <v>59</v>
      </c>
      <c r="H98" s="22" t="s">
        <v>59</v>
      </c>
      <c r="I98" s="22" t="s">
        <v>60</v>
      </c>
      <c r="J98" s="22" t="s">
        <v>678</v>
      </c>
      <c r="K98" s="22" t="s">
        <v>525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6">
        <v>23.0</v>
      </c>
      <c r="B99" s="36" t="s">
        <v>162</v>
      </c>
      <c r="C99" s="37" t="s">
        <v>110</v>
      </c>
      <c r="D99" s="36" t="s">
        <v>416</v>
      </c>
      <c r="E99" s="22" t="s">
        <v>76</v>
      </c>
      <c r="F99" s="22" t="s">
        <v>683</v>
      </c>
      <c r="G99" s="22" t="s">
        <v>59</v>
      </c>
      <c r="H99" s="22" t="s">
        <v>59</v>
      </c>
      <c r="I99" s="22" t="s">
        <v>60</v>
      </c>
      <c r="J99" s="22" t="s">
        <v>182</v>
      </c>
      <c r="K99" s="22" t="s">
        <v>525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6">
        <v>24.0</v>
      </c>
      <c r="B100" s="36" t="s">
        <v>164</v>
      </c>
      <c r="C100" s="37" t="s">
        <v>110</v>
      </c>
      <c r="D100" s="36" t="s">
        <v>123</v>
      </c>
      <c r="E100" s="22" t="s">
        <v>57</v>
      </c>
      <c r="F100" s="22" t="s">
        <v>685</v>
      </c>
      <c r="G100" s="22" t="s">
        <v>59</v>
      </c>
      <c r="H100" s="22" t="s">
        <v>59</v>
      </c>
      <c r="I100" s="22" t="s">
        <v>60</v>
      </c>
      <c r="J100" s="22" t="s">
        <v>190</v>
      </c>
      <c r="K100" s="22" t="s">
        <v>571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6">
        <v>24.0</v>
      </c>
      <c r="B101" s="36" t="s">
        <v>164</v>
      </c>
      <c r="C101" s="37" t="s">
        <v>110</v>
      </c>
      <c r="D101" s="36" t="s">
        <v>109</v>
      </c>
      <c r="E101" s="22" t="s">
        <v>76</v>
      </c>
      <c r="F101" s="22" t="s">
        <v>686</v>
      </c>
      <c r="G101" s="22" t="s">
        <v>59</v>
      </c>
      <c r="H101" s="22" t="s">
        <v>59</v>
      </c>
      <c r="I101" s="22" t="s">
        <v>60</v>
      </c>
      <c r="J101" s="22" t="s">
        <v>687</v>
      </c>
      <c r="K101" s="22" t="s">
        <v>537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6">
        <v>25.0</v>
      </c>
      <c r="B102" s="36" t="s">
        <v>166</v>
      </c>
      <c r="C102" s="37" t="s">
        <v>110</v>
      </c>
      <c r="D102" s="36" t="s">
        <v>688</v>
      </c>
      <c r="E102" s="22" t="s">
        <v>57</v>
      </c>
      <c r="F102" s="22" t="s">
        <v>689</v>
      </c>
      <c r="G102" s="22" t="s">
        <v>59</v>
      </c>
      <c r="H102" s="22" t="s">
        <v>59</v>
      </c>
      <c r="I102" s="22" t="s">
        <v>60</v>
      </c>
      <c r="J102" s="22" t="s">
        <v>195</v>
      </c>
      <c r="K102" s="22" t="s">
        <v>525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6">
        <v>25.0</v>
      </c>
      <c r="B103" s="36" t="s">
        <v>166</v>
      </c>
      <c r="C103" s="37" t="s">
        <v>110</v>
      </c>
      <c r="D103" s="36" t="s">
        <v>690</v>
      </c>
      <c r="E103" s="22" t="s">
        <v>57</v>
      </c>
      <c r="F103" s="22" t="s">
        <v>691</v>
      </c>
      <c r="G103" s="22" t="s">
        <v>59</v>
      </c>
      <c r="H103" s="22" t="s">
        <v>59</v>
      </c>
      <c r="I103" s="22" t="s">
        <v>60</v>
      </c>
      <c r="J103" s="22" t="s">
        <v>692</v>
      </c>
      <c r="K103" s="22" t="s">
        <v>525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6">
        <v>25.0</v>
      </c>
      <c r="B104" s="36" t="s">
        <v>166</v>
      </c>
      <c r="C104" s="37" t="s">
        <v>110</v>
      </c>
      <c r="D104" s="36" t="s">
        <v>693</v>
      </c>
      <c r="E104" s="22" t="s">
        <v>57</v>
      </c>
      <c r="F104" s="22" t="s">
        <v>695</v>
      </c>
      <c r="G104" s="22" t="s">
        <v>59</v>
      </c>
      <c r="H104" s="22" t="s">
        <v>59</v>
      </c>
      <c r="I104" s="22" t="s">
        <v>60</v>
      </c>
      <c r="J104" s="22" t="s">
        <v>696</v>
      </c>
      <c r="K104" s="22" t="s">
        <v>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6">
        <v>25.0</v>
      </c>
      <c r="B105" s="36" t="s">
        <v>166</v>
      </c>
      <c r="C105" s="37" t="s">
        <v>110</v>
      </c>
      <c r="D105" s="36" t="s">
        <v>697</v>
      </c>
      <c r="E105" s="22" t="s">
        <v>76</v>
      </c>
      <c r="F105" s="22" t="s">
        <v>698</v>
      </c>
      <c r="G105" s="22" t="s">
        <v>59</v>
      </c>
      <c r="H105" s="22" t="s">
        <v>59</v>
      </c>
      <c r="I105" s="22" t="s">
        <v>60</v>
      </c>
      <c r="J105" s="22" t="s">
        <v>195</v>
      </c>
      <c r="K105" s="22" t="s">
        <v>525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6">
        <v>25.0</v>
      </c>
      <c r="B106" s="36" t="s">
        <v>166</v>
      </c>
      <c r="C106" s="37" t="s">
        <v>110</v>
      </c>
      <c r="D106" s="36" t="s">
        <v>655</v>
      </c>
      <c r="E106" s="22" t="s">
        <v>76</v>
      </c>
      <c r="F106" s="22" t="s">
        <v>699</v>
      </c>
      <c r="G106" s="22" t="s">
        <v>59</v>
      </c>
      <c r="H106" s="22" t="s">
        <v>59</v>
      </c>
      <c r="I106" s="22" t="s">
        <v>60</v>
      </c>
      <c r="J106" s="22" t="s">
        <v>692</v>
      </c>
      <c r="K106" s="22" t="s">
        <v>537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6">
        <v>26.0</v>
      </c>
      <c r="B107" s="36" t="s">
        <v>176</v>
      </c>
      <c r="C107" s="37" t="s">
        <v>110</v>
      </c>
      <c r="D107" s="36" t="s">
        <v>701</v>
      </c>
      <c r="E107" s="22" t="s">
        <v>57</v>
      </c>
      <c r="F107" s="22" t="s">
        <v>702</v>
      </c>
      <c r="G107" s="22" t="s">
        <v>59</v>
      </c>
      <c r="H107" s="22" t="s">
        <v>59</v>
      </c>
      <c r="I107" s="22" t="s">
        <v>60</v>
      </c>
      <c r="J107" s="22" t="s">
        <v>201</v>
      </c>
      <c r="K107" s="22" t="s">
        <v>525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6">
        <v>26.0</v>
      </c>
      <c r="B108" s="36" t="s">
        <v>176</v>
      </c>
      <c r="C108" s="37" t="s">
        <v>110</v>
      </c>
      <c r="D108" s="36" t="s">
        <v>517</v>
      </c>
      <c r="E108" s="22" t="s">
        <v>57</v>
      </c>
      <c r="F108" s="22" t="s">
        <v>703</v>
      </c>
      <c r="G108" s="22" t="s">
        <v>59</v>
      </c>
      <c r="H108" s="22" t="s">
        <v>59</v>
      </c>
      <c r="I108" s="22" t="s">
        <v>60</v>
      </c>
      <c r="J108" s="22" t="s">
        <v>704</v>
      </c>
      <c r="K108" s="22" t="s">
        <v>525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6">
        <v>26.0</v>
      </c>
      <c r="B109" s="36" t="s">
        <v>176</v>
      </c>
      <c r="C109" s="37" t="s">
        <v>110</v>
      </c>
      <c r="D109" s="36" t="s">
        <v>705</v>
      </c>
      <c r="E109" s="22" t="s">
        <v>57</v>
      </c>
      <c r="F109" s="22" t="s">
        <v>706</v>
      </c>
      <c r="G109" s="22" t="s">
        <v>59</v>
      </c>
      <c r="H109" s="22" t="s">
        <v>59</v>
      </c>
      <c r="I109" s="22" t="s">
        <v>60</v>
      </c>
      <c r="J109" s="22" t="s">
        <v>707</v>
      </c>
      <c r="K109" s="22" t="s">
        <v>525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6">
        <v>26.0</v>
      </c>
      <c r="B110" s="36" t="s">
        <v>176</v>
      </c>
      <c r="C110" s="37" t="s">
        <v>110</v>
      </c>
      <c r="D110" s="36" t="s">
        <v>708</v>
      </c>
      <c r="E110" s="22" t="s">
        <v>57</v>
      </c>
      <c r="F110" s="22" t="s">
        <v>710</v>
      </c>
      <c r="G110" s="22" t="s">
        <v>59</v>
      </c>
      <c r="H110" s="22" t="s">
        <v>59</v>
      </c>
      <c r="I110" s="22" t="s">
        <v>60</v>
      </c>
      <c r="J110" s="22" t="s">
        <v>201</v>
      </c>
      <c r="K110" s="22" t="s">
        <v>525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6">
        <v>26.0</v>
      </c>
      <c r="B111" s="36" t="s">
        <v>176</v>
      </c>
      <c r="C111" s="37" t="s">
        <v>110</v>
      </c>
      <c r="D111" s="36" t="s">
        <v>566</v>
      </c>
      <c r="E111" s="22" t="s">
        <v>76</v>
      </c>
      <c r="F111" s="22" t="s">
        <v>711</v>
      </c>
      <c r="G111" s="22" t="s">
        <v>59</v>
      </c>
      <c r="H111" s="22" t="s">
        <v>59</v>
      </c>
      <c r="I111" s="22" t="s">
        <v>60</v>
      </c>
      <c r="J111" s="22" t="s">
        <v>704</v>
      </c>
      <c r="K111" s="22" t="s">
        <v>537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6">
        <v>27.0</v>
      </c>
      <c r="B112" s="36" t="s">
        <v>184</v>
      </c>
      <c r="C112" s="37" t="s">
        <v>110</v>
      </c>
      <c r="D112" s="36" t="s">
        <v>712</v>
      </c>
      <c r="E112" s="22" t="s">
        <v>57</v>
      </c>
      <c r="F112" s="22" t="s">
        <v>713</v>
      </c>
      <c r="G112" s="22" t="s">
        <v>59</v>
      </c>
      <c r="H112" s="22" t="s">
        <v>59</v>
      </c>
      <c r="I112" s="22" t="s">
        <v>60</v>
      </c>
      <c r="J112" s="22" t="s">
        <v>205</v>
      </c>
      <c r="K112" s="22" t="s">
        <v>525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6">
        <v>27.0</v>
      </c>
      <c r="B113" s="36" t="s">
        <v>184</v>
      </c>
      <c r="C113" s="37" t="s">
        <v>110</v>
      </c>
      <c r="D113" s="36" t="s">
        <v>714</v>
      </c>
      <c r="E113" s="22" t="s">
        <v>57</v>
      </c>
      <c r="F113" s="22" t="s">
        <v>715</v>
      </c>
      <c r="G113" s="22" t="s">
        <v>59</v>
      </c>
      <c r="H113" s="22" t="s">
        <v>59</v>
      </c>
      <c r="I113" s="22" t="s">
        <v>60</v>
      </c>
      <c r="J113" s="22" t="s">
        <v>716</v>
      </c>
      <c r="K113" s="22" t="s">
        <v>525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6">
        <v>27.0</v>
      </c>
      <c r="B114" s="36" t="s">
        <v>184</v>
      </c>
      <c r="C114" s="37" t="s">
        <v>110</v>
      </c>
      <c r="D114" s="36" t="s">
        <v>717</v>
      </c>
      <c r="E114" s="22" t="s">
        <v>57</v>
      </c>
      <c r="F114" s="22" t="s">
        <v>718</v>
      </c>
      <c r="G114" s="22" t="s">
        <v>59</v>
      </c>
      <c r="H114" s="22" t="s">
        <v>59</v>
      </c>
      <c r="I114" s="22" t="s">
        <v>60</v>
      </c>
      <c r="J114" s="22" t="s">
        <v>719</v>
      </c>
      <c r="K114" s="22" t="s">
        <v>525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6">
        <v>27.0</v>
      </c>
      <c r="B115" s="36" t="s">
        <v>184</v>
      </c>
      <c r="C115" s="37" t="s">
        <v>110</v>
      </c>
      <c r="D115" s="36" t="s">
        <v>720</v>
      </c>
      <c r="E115" s="22" t="s">
        <v>76</v>
      </c>
      <c r="F115" s="22" t="s">
        <v>721</v>
      </c>
      <c r="G115" s="22" t="s">
        <v>59</v>
      </c>
      <c r="H115" s="22" t="s">
        <v>59</v>
      </c>
      <c r="I115" s="22" t="s">
        <v>60</v>
      </c>
      <c r="J115" s="22" t="s">
        <v>205</v>
      </c>
      <c r="K115" s="22" t="s">
        <v>525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6">
        <v>28.0</v>
      </c>
      <c r="B116" s="36" t="s">
        <v>187</v>
      </c>
      <c r="C116" s="37" t="s">
        <v>189</v>
      </c>
      <c r="D116" s="36" t="s">
        <v>722</v>
      </c>
      <c r="E116" s="22" t="s">
        <v>57</v>
      </c>
      <c r="F116" s="22" t="s">
        <v>723</v>
      </c>
      <c r="G116" s="22" t="s">
        <v>59</v>
      </c>
      <c r="H116" s="22" t="s">
        <v>59</v>
      </c>
      <c r="I116" s="22" t="s">
        <v>60</v>
      </c>
      <c r="J116" s="22" t="s">
        <v>209</v>
      </c>
      <c r="K116" s="22" t="s">
        <v>525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6">
        <v>28.0</v>
      </c>
      <c r="B117" s="36" t="s">
        <v>187</v>
      </c>
      <c r="C117" s="37" t="s">
        <v>189</v>
      </c>
      <c r="D117" s="36" t="s">
        <v>724</v>
      </c>
      <c r="E117" s="22" t="s">
        <v>57</v>
      </c>
      <c r="F117" s="22" t="s">
        <v>725</v>
      </c>
      <c r="G117" s="22" t="s">
        <v>59</v>
      </c>
      <c r="H117" s="22" t="s">
        <v>59</v>
      </c>
      <c r="I117" s="22" t="s">
        <v>60</v>
      </c>
      <c r="J117" s="22" t="s">
        <v>726</v>
      </c>
      <c r="K117" s="22" t="s">
        <v>537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6">
        <v>28.0</v>
      </c>
      <c r="B118" s="36" t="s">
        <v>187</v>
      </c>
      <c r="C118" s="37" t="s">
        <v>189</v>
      </c>
      <c r="D118" s="36" t="s">
        <v>727</v>
      </c>
      <c r="E118" s="22" t="s">
        <v>57</v>
      </c>
      <c r="F118" s="22" t="s">
        <v>729</v>
      </c>
      <c r="G118" s="22" t="s">
        <v>59</v>
      </c>
      <c r="H118" s="22" t="s">
        <v>59</v>
      </c>
      <c r="I118" s="22" t="s">
        <v>60</v>
      </c>
      <c r="J118" s="22" t="s">
        <v>730</v>
      </c>
      <c r="K118" s="22" t="s">
        <v>537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6">
        <v>28.0</v>
      </c>
      <c r="B119" s="36" t="s">
        <v>187</v>
      </c>
      <c r="C119" s="37" t="s">
        <v>189</v>
      </c>
      <c r="D119" s="36" t="s">
        <v>731</v>
      </c>
      <c r="E119" s="22" t="s">
        <v>76</v>
      </c>
      <c r="F119" s="22" t="s">
        <v>732</v>
      </c>
      <c r="G119" s="22" t="s">
        <v>59</v>
      </c>
      <c r="H119" s="22" t="s">
        <v>59</v>
      </c>
      <c r="I119" s="22" t="s">
        <v>60</v>
      </c>
      <c r="J119" s="22" t="s">
        <v>733</v>
      </c>
      <c r="K119" s="22" t="s">
        <v>537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6">
        <v>28.0</v>
      </c>
      <c r="B120" s="36" t="s">
        <v>187</v>
      </c>
      <c r="C120" s="37" t="s">
        <v>189</v>
      </c>
      <c r="D120" s="36" t="s">
        <v>734</v>
      </c>
      <c r="E120" s="22" t="s">
        <v>76</v>
      </c>
      <c r="F120" s="22" t="s">
        <v>735</v>
      </c>
      <c r="G120" s="22" t="s">
        <v>59</v>
      </c>
      <c r="H120" s="22" t="s">
        <v>59</v>
      </c>
      <c r="I120" s="22" t="s">
        <v>60</v>
      </c>
      <c r="J120" s="22" t="s">
        <v>736</v>
      </c>
      <c r="K120" s="22" t="s">
        <v>537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6">
        <v>29.0</v>
      </c>
      <c r="B121" s="36" t="s">
        <v>194</v>
      </c>
      <c r="C121" s="37" t="s">
        <v>189</v>
      </c>
      <c r="D121" s="36" t="s">
        <v>738</v>
      </c>
      <c r="E121" s="22" t="s">
        <v>57</v>
      </c>
      <c r="F121" s="22" t="s">
        <v>739</v>
      </c>
      <c r="G121" s="22" t="s">
        <v>59</v>
      </c>
      <c r="H121" s="22" t="s">
        <v>59</v>
      </c>
      <c r="I121" s="22" t="s">
        <v>60</v>
      </c>
      <c r="J121" s="22" t="s">
        <v>213</v>
      </c>
      <c r="K121" s="22" t="s">
        <v>525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6">
        <v>29.0</v>
      </c>
      <c r="B122" s="36" t="s">
        <v>194</v>
      </c>
      <c r="C122" s="37" t="s">
        <v>189</v>
      </c>
      <c r="D122" s="36" t="s">
        <v>740</v>
      </c>
      <c r="E122" s="22" t="s">
        <v>57</v>
      </c>
      <c r="F122" s="22" t="s">
        <v>741</v>
      </c>
      <c r="G122" s="22" t="s">
        <v>59</v>
      </c>
      <c r="H122" s="22" t="s">
        <v>59</v>
      </c>
      <c r="I122" s="22" t="s">
        <v>60</v>
      </c>
      <c r="J122" s="22" t="s">
        <v>742</v>
      </c>
      <c r="K122" s="22" t="s">
        <v>525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6">
        <v>29.0</v>
      </c>
      <c r="B123" s="36" t="s">
        <v>194</v>
      </c>
      <c r="C123" s="37" t="s">
        <v>189</v>
      </c>
      <c r="D123" s="36" t="s">
        <v>269</v>
      </c>
      <c r="E123" s="22" t="s">
        <v>57</v>
      </c>
      <c r="F123" s="22" t="s">
        <v>743</v>
      </c>
      <c r="G123" s="22" t="s">
        <v>59</v>
      </c>
      <c r="H123" s="22" t="s">
        <v>59</v>
      </c>
      <c r="I123" s="22" t="s">
        <v>60</v>
      </c>
      <c r="J123" s="22" t="s">
        <v>744</v>
      </c>
      <c r="K123" s="22" t="s">
        <v>525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6">
        <v>29.0</v>
      </c>
      <c r="B124" s="36" t="s">
        <v>194</v>
      </c>
      <c r="C124" s="37" t="s">
        <v>189</v>
      </c>
      <c r="D124" s="36" t="s">
        <v>747</v>
      </c>
      <c r="E124" s="22" t="s">
        <v>76</v>
      </c>
      <c r="F124" s="22" t="s">
        <v>748</v>
      </c>
      <c r="G124" s="22" t="s">
        <v>59</v>
      </c>
      <c r="H124" s="22" t="s">
        <v>59</v>
      </c>
      <c r="I124" s="22" t="s">
        <v>60</v>
      </c>
      <c r="J124" s="22" t="s">
        <v>213</v>
      </c>
      <c r="K124" s="22" t="s">
        <v>525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6">
        <v>29.0</v>
      </c>
      <c r="B125" s="36" t="s">
        <v>194</v>
      </c>
      <c r="C125" s="37" t="s">
        <v>189</v>
      </c>
      <c r="D125" s="36" t="s">
        <v>749</v>
      </c>
      <c r="E125" s="22" t="s">
        <v>76</v>
      </c>
      <c r="F125" s="22" t="s">
        <v>751</v>
      </c>
      <c r="G125" s="22" t="s">
        <v>59</v>
      </c>
      <c r="H125" s="22" t="s">
        <v>59</v>
      </c>
      <c r="I125" s="22" t="s">
        <v>60</v>
      </c>
      <c r="J125" s="22" t="s">
        <v>742</v>
      </c>
      <c r="K125" s="22" t="s">
        <v>525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6">
        <v>30.0</v>
      </c>
      <c r="B126" s="36" t="s">
        <v>198</v>
      </c>
      <c r="C126" s="37" t="s">
        <v>189</v>
      </c>
      <c r="D126" s="36" t="s">
        <v>752</v>
      </c>
      <c r="E126" s="22" t="s">
        <v>57</v>
      </c>
      <c r="F126" s="22" t="s">
        <v>753</v>
      </c>
      <c r="G126" s="22" t="s">
        <v>59</v>
      </c>
      <c r="H126" s="22" t="s">
        <v>59</v>
      </c>
      <c r="I126" s="22" t="s">
        <v>60</v>
      </c>
      <c r="J126" s="22" t="s">
        <v>218</v>
      </c>
      <c r="K126" s="22" t="s">
        <v>525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6">
        <v>30.0</v>
      </c>
      <c r="B127" s="36" t="s">
        <v>198</v>
      </c>
      <c r="C127" s="37" t="s">
        <v>189</v>
      </c>
      <c r="D127" s="36" t="s">
        <v>755</v>
      </c>
      <c r="E127" s="22" t="s">
        <v>57</v>
      </c>
      <c r="F127" s="22" t="s">
        <v>756</v>
      </c>
      <c r="G127" s="22" t="s">
        <v>59</v>
      </c>
      <c r="H127" s="22" t="s">
        <v>59</v>
      </c>
      <c r="I127" s="22" t="s">
        <v>60</v>
      </c>
      <c r="J127" s="22" t="s">
        <v>757</v>
      </c>
      <c r="K127" s="22" t="s">
        <v>525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6">
        <v>30.0</v>
      </c>
      <c r="B128" s="36" t="s">
        <v>198</v>
      </c>
      <c r="C128" s="37" t="s">
        <v>189</v>
      </c>
      <c r="D128" s="36" t="s">
        <v>758</v>
      </c>
      <c r="E128" s="22" t="s">
        <v>57</v>
      </c>
      <c r="F128" s="22" t="s">
        <v>759</v>
      </c>
      <c r="G128" s="22" t="s">
        <v>59</v>
      </c>
      <c r="H128" s="22" t="s">
        <v>59</v>
      </c>
      <c r="I128" s="22" t="s">
        <v>60</v>
      </c>
      <c r="J128" s="22" t="s">
        <v>218</v>
      </c>
      <c r="K128" s="22" t="s">
        <v>525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6">
        <v>30.0</v>
      </c>
      <c r="B129" s="36" t="s">
        <v>198</v>
      </c>
      <c r="C129" s="37" t="s">
        <v>189</v>
      </c>
      <c r="D129" s="36" t="s">
        <v>760</v>
      </c>
      <c r="E129" s="22" t="s">
        <v>57</v>
      </c>
      <c r="F129" s="22" t="s">
        <v>762</v>
      </c>
      <c r="G129" s="22" t="s">
        <v>59</v>
      </c>
      <c r="H129" s="22" t="s">
        <v>59</v>
      </c>
      <c r="I129" s="22" t="s">
        <v>60</v>
      </c>
      <c r="J129" s="22" t="s">
        <v>757</v>
      </c>
      <c r="K129" s="22" t="s">
        <v>525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6">
        <v>30.0</v>
      </c>
      <c r="B130" s="36" t="s">
        <v>198</v>
      </c>
      <c r="C130" s="37" t="s">
        <v>189</v>
      </c>
      <c r="D130" s="36" t="s">
        <v>763</v>
      </c>
      <c r="E130" s="22" t="s">
        <v>76</v>
      </c>
      <c r="F130" s="22" t="s">
        <v>764</v>
      </c>
      <c r="G130" s="22" t="s">
        <v>59</v>
      </c>
      <c r="H130" s="22" t="s">
        <v>59</v>
      </c>
      <c r="I130" s="22" t="s">
        <v>60</v>
      </c>
      <c r="J130" s="22" t="s">
        <v>218</v>
      </c>
      <c r="K130" s="22" t="s">
        <v>525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6">
        <v>31.0</v>
      </c>
      <c r="B131" s="36" t="s">
        <v>202</v>
      </c>
      <c r="C131" s="37" t="s">
        <v>189</v>
      </c>
      <c r="D131" s="36" t="s">
        <v>766</v>
      </c>
      <c r="E131" s="22" t="s">
        <v>57</v>
      </c>
      <c r="F131" s="22" t="s">
        <v>767</v>
      </c>
      <c r="G131" s="22" t="s">
        <v>59</v>
      </c>
      <c r="H131" s="22" t="s">
        <v>59</v>
      </c>
      <c r="I131" s="22" t="s">
        <v>60</v>
      </c>
      <c r="J131" s="22" t="s">
        <v>222</v>
      </c>
      <c r="K131" s="22" t="s">
        <v>525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6">
        <v>31.0</v>
      </c>
      <c r="B132" s="36" t="s">
        <v>202</v>
      </c>
      <c r="C132" s="37" t="s">
        <v>189</v>
      </c>
      <c r="D132" s="36" t="s">
        <v>768</v>
      </c>
      <c r="E132" s="22" t="s">
        <v>57</v>
      </c>
      <c r="F132" s="22" t="s">
        <v>769</v>
      </c>
      <c r="G132" s="22" t="s">
        <v>59</v>
      </c>
      <c r="H132" s="22" t="s">
        <v>59</v>
      </c>
      <c r="I132" s="22" t="s">
        <v>60</v>
      </c>
      <c r="J132" s="22" t="s">
        <v>770</v>
      </c>
      <c r="K132" s="22" t="s">
        <v>525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6">
        <v>31.0</v>
      </c>
      <c r="B133" s="36" t="s">
        <v>202</v>
      </c>
      <c r="C133" s="37" t="s">
        <v>189</v>
      </c>
      <c r="D133" s="36" t="s">
        <v>771</v>
      </c>
      <c r="E133" s="22" t="s">
        <v>76</v>
      </c>
      <c r="F133" s="22" t="s">
        <v>773</v>
      </c>
      <c r="G133" s="22" t="s">
        <v>59</v>
      </c>
      <c r="H133" s="22" t="s">
        <v>59</v>
      </c>
      <c r="I133" s="22" t="s">
        <v>60</v>
      </c>
      <c r="J133" s="22" t="s">
        <v>222</v>
      </c>
      <c r="K133" s="22" t="s">
        <v>525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6">
        <v>31.0</v>
      </c>
      <c r="B134" s="36" t="s">
        <v>202</v>
      </c>
      <c r="C134" s="37" t="s">
        <v>189</v>
      </c>
      <c r="D134" s="36" t="s">
        <v>774</v>
      </c>
      <c r="E134" s="22" t="s">
        <v>76</v>
      </c>
      <c r="F134" s="22" t="s">
        <v>775</v>
      </c>
      <c r="G134" s="22" t="s">
        <v>59</v>
      </c>
      <c r="H134" s="22" t="s">
        <v>59</v>
      </c>
      <c r="I134" s="22" t="s">
        <v>60</v>
      </c>
      <c r="J134" s="22" t="s">
        <v>770</v>
      </c>
      <c r="K134" s="22" t="s">
        <v>525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6">
        <v>31.0</v>
      </c>
      <c r="B135" s="36" t="s">
        <v>202</v>
      </c>
      <c r="C135" s="37" t="s">
        <v>189</v>
      </c>
      <c r="D135" s="36" t="s">
        <v>776</v>
      </c>
      <c r="E135" s="22" t="s">
        <v>76</v>
      </c>
      <c r="F135" s="22" t="s">
        <v>777</v>
      </c>
      <c r="G135" s="22" t="s">
        <v>59</v>
      </c>
      <c r="H135" s="22" t="s">
        <v>59</v>
      </c>
      <c r="I135" s="22" t="s">
        <v>60</v>
      </c>
      <c r="J135" s="22" t="s">
        <v>222</v>
      </c>
      <c r="K135" s="22" t="s">
        <v>525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6">
        <v>32.0</v>
      </c>
      <c r="B136" s="36" t="s">
        <v>204</v>
      </c>
      <c r="C136" s="37" t="s">
        <v>189</v>
      </c>
      <c r="D136" s="36" t="s">
        <v>431</v>
      </c>
      <c r="E136" s="22" t="s">
        <v>57</v>
      </c>
      <c r="F136" s="22" t="s">
        <v>778</v>
      </c>
      <c r="G136" s="22" t="s">
        <v>59</v>
      </c>
      <c r="H136" s="22" t="s">
        <v>59</v>
      </c>
      <c r="I136" s="22" t="s">
        <v>60</v>
      </c>
      <c r="J136" s="22" t="s">
        <v>227</v>
      </c>
      <c r="K136" s="22" t="s">
        <v>537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6">
        <v>32.0</v>
      </c>
      <c r="B137" s="36" t="s">
        <v>204</v>
      </c>
      <c r="C137" s="37" t="s">
        <v>189</v>
      </c>
      <c r="D137" s="36" t="s">
        <v>779</v>
      </c>
      <c r="E137" s="22" t="s">
        <v>76</v>
      </c>
      <c r="F137" s="22" t="s">
        <v>780</v>
      </c>
      <c r="G137" s="22" t="s">
        <v>59</v>
      </c>
      <c r="H137" s="22" t="s">
        <v>59</v>
      </c>
      <c r="I137" s="22" t="s">
        <v>60</v>
      </c>
      <c r="J137" s="22" t="s">
        <v>781</v>
      </c>
      <c r="K137" s="22" t="s">
        <v>525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6">
        <v>32.0</v>
      </c>
      <c r="B138" s="36" t="s">
        <v>204</v>
      </c>
      <c r="C138" s="37" t="s">
        <v>189</v>
      </c>
      <c r="D138" s="36" t="s">
        <v>646</v>
      </c>
      <c r="E138" s="22" t="s">
        <v>76</v>
      </c>
      <c r="F138" s="22" t="s">
        <v>782</v>
      </c>
      <c r="G138" s="22" t="s">
        <v>59</v>
      </c>
      <c r="H138" s="22" t="s">
        <v>59</v>
      </c>
      <c r="I138" s="22" t="s">
        <v>60</v>
      </c>
      <c r="J138" s="22" t="s">
        <v>783</v>
      </c>
      <c r="K138" s="22" t="s">
        <v>525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6">
        <v>32.0</v>
      </c>
      <c r="B139" s="36" t="s">
        <v>204</v>
      </c>
      <c r="C139" s="37" t="s">
        <v>189</v>
      </c>
      <c r="D139" s="36" t="s">
        <v>784</v>
      </c>
      <c r="E139" s="22" t="s">
        <v>76</v>
      </c>
      <c r="F139" s="22" t="s">
        <v>785</v>
      </c>
      <c r="G139" s="22" t="s">
        <v>59</v>
      </c>
      <c r="H139" s="22" t="s">
        <v>59</v>
      </c>
      <c r="I139" s="22" t="s">
        <v>60</v>
      </c>
      <c r="J139" s="22" t="s">
        <v>227</v>
      </c>
      <c r="K139" s="22" t="s">
        <v>525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6">
        <v>32.0</v>
      </c>
      <c r="B140" s="36" t="s">
        <v>204</v>
      </c>
      <c r="C140" s="37" t="s">
        <v>189</v>
      </c>
      <c r="D140" s="36" t="s">
        <v>786</v>
      </c>
      <c r="E140" s="22" t="s">
        <v>76</v>
      </c>
      <c r="F140" s="22" t="s">
        <v>788</v>
      </c>
      <c r="G140" s="22" t="s">
        <v>59</v>
      </c>
      <c r="H140" s="22" t="s">
        <v>59</v>
      </c>
      <c r="I140" s="22" t="s">
        <v>60</v>
      </c>
      <c r="J140" s="22" t="s">
        <v>781</v>
      </c>
      <c r="K140" s="22" t="s">
        <v>525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6">
        <v>33.0</v>
      </c>
      <c r="B141" s="36" t="s">
        <v>207</v>
      </c>
      <c r="C141" s="37" t="s">
        <v>189</v>
      </c>
      <c r="D141" s="36" t="s">
        <v>789</v>
      </c>
      <c r="E141" s="22" t="s">
        <v>57</v>
      </c>
      <c r="F141" s="22" t="s">
        <v>791</v>
      </c>
      <c r="G141" s="22" t="s">
        <v>59</v>
      </c>
      <c r="H141" s="22" t="s">
        <v>59</v>
      </c>
      <c r="I141" s="22" t="s">
        <v>60</v>
      </c>
      <c r="J141" s="22" t="s">
        <v>231</v>
      </c>
      <c r="K141" s="22" t="s">
        <v>525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6">
        <v>33.0</v>
      </c>
      <c r="B142" s="36" t="s">
        <v>207</v>
      </c>
      <c r="C142" s="37" t="s">
        <v>189</v>
      </c>
      <c r="D142" s="36" t="s">
        <v>793</v>
      </c>
      <c r="E142" s="22" t="s">
        <v>57</v>
      </c>
      <c r="F142" s="22" t="s">
        <v>794</v>
      </c>
      <c r="G142" s="22" t="s">
        <v>59</v>
      </c>
      <c r="H142" s="22" t="s">
        <v>59</v>
      </c>
      <c r="I142" s="22" t="s">
        <v>60</v>
      </c>
      <c r="J142" s="22" t="s">
        <v>795</v>
      </c>
      <c r="K142" s="22" t="s">
        <v>525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6">
        <v>33.0</v>
      </c>
      <c r="B143" s="36" t="s">
        <v>207</v>
      </c>
      <c r="C143" s="37" t="s">
        <v>189</v>
      </c>
      <c r="D143" s="36" t="s">
        <v>796</v>
      </c>
      <c r="E143" s="22" t="s">
        <v>57</v>
      </c>
      <c r="F143" s="22" t="s">
        <v>798</v>
      </c>
      <c r="G143" s="22" t="s">
        <v>59</v>
      </c>
      <c r="H143" s="22" t="s">
        <v>59</v>
      </c>
      <c r="I143" s="22" t="s">
        <v>60</v>
      </c>
      <c r="J143" s="22" t="s">
        <v>231</v>
      </c>
      <c r="K143" s="22" t="s">
        <v>525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6">
        <v>33.0</v>
      </c>
      <c r="B144" s="36" t="s">
        <v>207</v>
      </c>
      <c r="C144" s="37" t="s">
        <v>189</v>
      </c>
      <c r="D144" s="36" t="s">
        <v>800</v>
      </c>
      <c r="E144" s="22" t="s">
        <v>76</v>
      </c>
      <c r="F144" s="22" t="s">
        <v>801</v>
      </c>
      <c r="G144" s="22" t="s">
        <v>59</v>
      </c>
      <c r="H144" s="22" t="s">
        <v>59</v>
      </c>
      <c r="I144" s="22" t="s">
        <v>60</v>
      </c>
      <c r="J144" s="22" t="s">
        <v>795</v>
      </c>
      <c r="K144" s="22" t="s">
        <v>525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6">
        <v>33.0</v>
      </c>
      <c r="B145" s="36" t="s">
        <v>207</v>
      </c>
      <c r="C145" s="37" t="s">
        <v>189</v>
      </c>
      <c r="D145" s="36" t="s">
        <v>802</v>
      </c>
      <c r="E145" s="22" t="s">
        <v>76</v>
      </c>
      <c r="F145" s="22" t="s">
        <v>804</v>
      </c>
      <c r="G145" s="22" t="s">
        <v>59</v>
      </c>
      <c r="H145" s="22" t="s">
        <v>59</v>
      </c>
      <c r="I145" s="22" t="s">
        <v>60</v>
      </c>
      <c r="J145" s="22" t="s">
        <v>231</v>
      </c>
      <c r="K145" s="22" t="s">
        <v>525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6">
        <v>34.0</v>
      </c>
      <c r="B146" s="36" t="s">
        <v>211</v>
      </c>
      <c r="C146" s="37" t="s">
        <v>189</v>
      </c>
      <c r="D146" s="36" t="s">
        <v>724</v>
      </c>
      <c r="E146" s="22" t="s">
        <v>57</v>
      </c>
      <c r="F146" s="22" t="s">
        <v>806</v>
      </c>
      <c r="G146" s="22" t="s">
        <v>59</v>
      </c>
      <c r="H146" s="22" t="s">
        <v>59</v>
      </c>
      <c r="I146" s="22" t="s">
        <v>60</v>
      </c>
      <c r="J146" s="22" t="s">
        <v>235</v>
      </c>
      <c r="K146" s="22" t="s">
        <v>537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6">
        <v>34.0</v>
      </c>
      <c r="B147" s="36" t="s">
        <v>211</v>
      </c>
      <c r="C147" s="37" t="s">
        <v>189</v>
      </c>
      <c r="D147" s="36" t="s">
        <v>614</v>
      </c>
      <c r="E147" s="22" t="s">
        <v>76</v>
      </c>
      <c r="F147" s="22" t="s">
        <v>807</v>
      </c>
      <c r="G147" s="22" t="s">
        <v>59</v>
      </c>
      <c r="H147" s="22" t="s">
        <v>59</v>
      </c>
      <c r="I147" s="22" t="s">
        <v>60</v>
      </c>
      <c r="J147" s="22" t="s">
        <v>808</v>
      </c>
      <c r="K147" s="22" t="s">
        <v>537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6">
        <v>34.0</v>
      </c>
      <c r="B148" s="36" t="s">
        <v>211</v>
      </c>
      <c r="C148" s="37" t="s">
        <v>189</v>
      </c>
      <c r="D148" s="36" t="s">
        <v>809</v>
      </c>
      <c r="E148" s="22" t="s">
        <v>76</v>
      </c>
      <c r="F148" s="22" t="s">
        <v>810</v>
      </c>
      <c r="G148" s="22" t="s">
        <v>59</v>
      </c>
      <c r="H148" s="22" t="s">
        <v>59</v>
      </c>
      <c r="I148" s="22" t="s">
        <v>60</v>
      </c>
      <c r="J148" s="22" t="s">
        <v>235</v>
      </c>
      <c r="K148" s="22" t="s">
        <v>537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6">
        <v>35.0</v>
      </c>
      <c r="B149" s="36" t="s">
        <v>215</v>
      </c>
      <c r="C149" s="37" t="s">
        <v>189</v>
      </c>
      <c r="D149" s="36" t="s">
        <v>811</v>
      </c>
      <c r="E149" s="22" t="s">
        <v>57</v>
      </c>
      <c r="F149" s="22" t="s">
        <v>812</v>
      </c>
      <c r="G149" s="22" t="s">
        <v>59</v>
      </c>
      <c r="H149" s="22" t="s">
        <v>59</v>
      </c>
      <c r="I149" s="22" t="s">
        <v>60</v>
      </c>
      <c r="J149" s="22" t="s">
        <v>243</v>
      </c>
      <c r="K149" s="22" t="s">
        <v>525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6">
        <v>35.0</v>
      </c>
      <c r="B150" s="36" t="s">
        <v>215</v>
      </c>
      <c r="C150" s="37" t="s">
        <v>189</v>
      </c>
      <c r="D150" s="36" t="s">
        <v>813</v>
      </c>
      <c r="E150" s="22" t="s">
        <v>57</v>
      </c>
      <c r="F150" s="22" t="s">
        <v>815</v>
      </c>
      <c r="G150" s="22" t="s">
        <v>59</v>
      </c>
      <c r="H150" s="22" t="s">
        <v>59</v>
      </c>
      <c r="I150" s="22" t="s">
        <v>60</v>
      </c>
      <c r="J150" s="22" t="s">
        <v>816</v>
      </c>
      <c r="K150" s="22" t="s">
        <v>525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6">
        <v>35.0</v>
      </c>
      <c r="B151" s="36" t="s">
        <v>215</v>
      </c>
      <c r="C151" s="37" t="s">
        <v>189</v>
      </c>
      <c r="D151" s="36" t="s">
        <v>817</v>
      </c>
      <c r="E151" s="22" t="s">
        <v>57</v>
      </c>
      <c r="F151" s="22" t="s">
        <v>818</v>
      </c>
      <c r="G151" s="22" t="s">
        <v>59</v>
      </c>
      <c r="H151" s="22" t="s">
        <v>59</v>
      </c>
      <c r="I151" s="22" t="s">
        <v>60</v>
      </c>
      <c r="J151" s="22" t="s">
        <v>819</v>
      </c>
      <c r="K151" s="22" t="s">
        <v>525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6">
        <v>35.0</v>
      </c>
      <c r="B152" s="36" t="s">
        <v>215</v>
      </c>
      <c r="C152" s="37" t="s">
        <v>189</v>
      </c>
      <c r="D152" s="36" t="s">
        <v>820</v>
      </c>
      <c r="E152" s="22" t="s">
        <v>57</v>
      </c>
      <c r="F152" s="22" t="s">
        <v>821</v>
      </c>
      <c r="G152" s="22" t="s">
        <v>59</v>
      </c>
      <c r="H152" s="22" t="s">
        <v>59</v>
      </c>
      <c r="I152" s="22" t="s">
        <v>60</v>
      </c>
      <c r="J152" s="22" t="s">
        <v>243</v>
      </c>
      <c r="K152" s="22" t="s">
        <v>531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6">
        <v>35.0</v>
      </c>
      <c r="B153" s="36" t="s">
        <v>215</v>
      </c>
      <c r="C153" s="37" t="s">
        <v>189</v>
      </c>
      <c r="D153" s="36" t="s">
        <v>700</v>
      </c>
      <c r="E153" s="22" t="s">
        <v>57</v>
      </c>
      <c r="F153" s="22" t="s">
        <v>823</v>
      </c>
      <c r="G153" s="22" t="s">
        <v>59</v>
      </c>
      <c r="H153" s="22" t="s">
        <v>59</v>
      </c>
      <c r="I153" s="22" t="s">
        <v>60</v>
      </c>
      <c r="J153" s="22" t="s">
        <v>816</v>
      </c>
      <c r="K153" s="22" t="s">
        <v>525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6">
        <v>36.0</v>
      </c>
      <c r="B154" s="36" t="s">
        <v>219</v>
      </c>
      <c r="C154" s="37" t="s">
        <v>220</v>
      </c>
      <c r="D154" s="36" t="s">
        <v>824</v>
      </c>
      <c r="E154" s="22" t="s">
        <v>57</v>
      </c>
      <c r="F154" s="22" t="s">
        <v>826</v>
      </c>
      <c r="G154" s="22" t="s">
        <v>59</v>
      </c>
      <c r="H154" s="22" t="s">
        <v>59</v>
      </c>
      <c r="I154" s="22" t="s">
        <v>60</v>
      </c>
      <c r="J154" s="22" t="s">
        <v>249</v>
      </c>
      <c r="K154" s="22" t="s">
        <v>525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6">
        <v>36.0</v>
      </c>
      <c r="B155" s="36" t="s">
        <v>219</v>
      </c>
      <c r="C155" s="37" t="s">
        <v>220</v>
      </c>
      <c r="D155" s="36" t="s">
        <v>827</v>
      </c>
      <c r="E155" s="22" t="s">
        <v>57</v>
      </c>
      <c r="F155" s="22" t="s">
        <v>829</v>
      </c>
      <c r="G155" s="22" t="s">
        <v>59</v>
      </c>
      <c r="H155" s="22" t="s">
        <v>59</v>
      </c>
      <c r="I155" s="22" t="s">
        <v>60</v>
      </c>
      <c r="J155" s="22" t="s">
        <v>830</v>
      </c>
      <c r="K155" s="22" t="s">
        <v>525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6">
        <v>36.0</v>
      </c>
      <c r="B156" s="36" t="s">
        <v>219</v>
      </c>
      <c r="C156" s="37" t="s">
        <v>220</v>
      </c>
      <c r="D156" s="36" t="s">
        <v>831</v>
      </c>
      <c r="E156" s="22" t="s">
        <v>57</v>
      </c>
      <c r="F156" s="22" t="s">
        <v>833</v>
      </c>
      <c r="G156" s="22" t="s">
        <v>59</v>
      </c>
      <c r="H156" s="22" t="s">
        <v>59</v>
      </c>
      <c r="I156" s="22" t="s">
        <v>60</v>
      </c>
      <c r="J156" s="22" t="s">
        <v>249</v>
      </c>
      <c r="K156" s="22" t="s">
        <v>525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6">
        <v>36.0</v>
      </c>
      <c r="B157" s="36" t="s">
        <v>219</v>
      </c>
      <c r="C157" s="37" t="s">
        <v>220</v>
      </c>
      <c r="D157" s="36" t="s">
        <v>834</v>
      </c>
      <c r="E157" s="22" t="s">
        <v>57</v>
      </c>
      <c r="F157" s="22" t="s">
        <v>835</v>
      </c>
      <c r="G157" s="22" t="s">
        <v>59</v>
      </c>
      <c r="H157" s="22" t="s">
        <v>59</v>
      </c>
      <c r="I157" s="22" t="s">
        <v>60</v>
      </c>
      <c r="J157" s="22" t="s">
        <v>830</v>
      </c>
      <c r="K157" s="22" t="s">
        <v>525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6">
        <v>36.0</v>
      </c>
      <c r="B158" s="36" t="s">
        <v>219</v>
      </c>
      <c r="C158" s="37" t="s">
        <v>220</v>
      </c>
      <c r="D158" s="36" t="s">
        <v>836</v>
      </c>
      <c r="E158" s="22" t="s">
        <v>76</v>
      </c>
      <c r="F158" s="22" t="s">
        <v>837</v>
      </c>
      <c r="G158" s="22" t="s">
        <v>59</v>
      </c>
      <c r="H158" s="22" t="s">
        <v>59</v>
      </c>
      <c r="I158" s="22" t="s">
        <v>60</v>
      </c>
      <c r="J158" s="22" t="s">
        <v>249</v>
      </c>
      <c r="K158" s="22" t="s">
        <v>525</v>
      </c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6">
        <v>37.0</v>
      </c>
      <c r="B159" s="36" t="s">
        <v>224</v>
      </c>
      <c r="C159" s="37" t="s">
        <v>220</v>
      </c>
      <c r="D159" s="36" t="s">
        <v>223</v>
      </c>
      <c r="E159" s="22" t="s">
        <v>57</v>
      </c>
      <c r="F159" s="22" t="s">
        <v>839</v>
      </c>
      <c r="G159" s="22" t="s">
        <v>59</v>
      </c>
      <c r="H159" s="22" t="s">
        <v>59</v>
      </c>
      <c r="I159" s="22" t="s">
        <v>60</v>
      </c>
      <c r="J159" s="22" t="s">
        <v>254</v>
      </c>
      <c r="K159" s="22" t="s">
        <v>525</v>
      </c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6">
        <v>37.0</v>
      </c>
      <c r="B160" s="36" t="s">
        <v>224</v>
      </c>
      <c r="C160" s="37" t="s">
        <v>220</v>
      </c>
      <c r="D160" s="36" t="s">
        <v>840</v>
      </c>
      <c r="E160" s="22" t="s">
        <v>76</v>
      </c>
      <c r="F160" s="22" t="s">
        <v>842</v>
      </c>
      <c r="G160" s="22" t="s">
        <v>59</v>
      </c>
      <c r="H160" s="22" t="s">
        <v>59</v>
      </c>
      <c r="I160" s="22" t="s">
        <v>60</v>
      </c>
      <c r="J160" s="22" t="s">
        <v>843</v>
      </c>
      <c r="K160" s="22" t="s">
        <v>525</v>
      </c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6">
        <v>37.0</v>
      </c>
      <c r="B161" s="36" t="s">
        <v>224</v>
      </c>
      <c r="C161" s="37" t="s">
        <v>220</v>
      </c>
      <c r="D161" s="36" t="s">
        <v>845</v>
      </c>
      <c r="E161" s="22" t="s">
        <v>76</v>
      </c>
      <c r="F161" s="22" t="s">
        <v>846</v>
      </c>
      <c r="G161" s="22" t="s">
        <v>59</v>
      </c>
      <c r="H161" s="22" t="s">
        <v>59</v>
      </c>
      <c r="I161" s="22" t="s">
        <v>60</v>
      </c>
      <c r="J161" s="22" t="s">
        <v>847</v>
      </c>
      <c r="K161" s="22" t="s">
        <v>525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6">
        <v>37.0</v>
      </c>
      <c r="B162" s="36" t="s">
        <v>224</v>
      </c>
      <c r="C162" s="37" t="s">
        <v>220</v>
      </c>
      <c r="D162" s="36" t="s">
        <v>848</v>
      </c>
      <c r="E162" s="22" t="s">
        <v>76</v>
      </c>
      <c r="F162" s="22" t="s">
        <v>850</v>
      </c>
      <c r="G162" s="22" t="s">
        <v>59</v>
      </c>
      <c r="H162" s="22" t="s">
        <v>59</v>
      </c>
      <c r="I162" s="22" t="s">
        <v>60</v>
      </c>
      <c r="J162" s="22" t="s">
        <v>254</v>
      </c>
      <c r="K162" s="22" t="s">
        <v>525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6">
        <v>38.0</v>
      </c>
      <c r="B163" s="36" t="s">
        <v>228</v>
      </c>
      <c r="C163" s="37" t="s">
        <v>229</v>
      </c>
      <c r="D163" s="36" t="s">
        <v>852</v>
      </c>
      <c r="E163" s="22" t="s">
        <v>57</v>
      </c>
      <c r="F163" s="22" t="s">
        <v>854</v>
      </c>
      <c r="G163" s="22" t="s">
        <v>59</v>
      </c>
      <c r="H163" s="22" t="s">
        <v>59</v>
      </c>
      <c r="I163" s="22" t="s">
        <v>60</v>
      </c>
      <c r="J163" s="22" t="s">
        <v>259</v>
      </c>
      <c r="K163" s="22" t="s">
        <v>525</v>
      </c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6">
        <v>38.0</v>
      </c>
      <c r="B164" s="36" t="s">
        <v>228</v>
      </c>
      <c r="C164" s="37" t="s">
        <v>229</v>
      </c>
      <c r="D164" s="36" t="s">
        <v>855</v>
      </c>
      <c r="E164" s="22" t="s">
        <v>57</v>
      </c>
      <c r="F164" s="22" t="s">
        <v>856</v>
      </c>
      <c r="G164" s="22" t="s">
        <v>59</v>
      </c>
      <c r="H164" s="22" t="s">
        <v>59</v>
      </c>
      <c r="I164" s="22" t="s">
        <v>60</v>
      </c>
      <c r="J164" s="22" t="s">
        <v>857</v>
      </c>
      <c r="K164" s="22" t="s">
        <v>525</v>
      </c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6">
        <v>38.0</v>
      </c>
      <c r="B165" s="36" t="s">
        <v>228</v>
      </c>
      <c r="C165" s="37" t="s">
        <v>229</v>
      </c>
      <c r="D165" s="36" t="s">
        <v>858</v>
      </c>
      <c r="E165" s="22" t="s">
        <v>57</v>
      </c>
      <c r="F165" s="22" t="s">
        <v>860</v>
      </c>
      <c r="G165" s="22" t="s">
        <v>59</v>
      </c>
      <c r="H165" s="22" t="s">
        <v>59</v>
      </c>
      <c r="I165" s="22" t="s">
        <v>60</v>
      </c>
      <c r="J165" s="22" t="s">
        <v>259</v>
      </c>
      <c r="K165" s="22" t="s">
        <v>525</v>
      </c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6">
        <v>38.0</v>
      </c>
      <c r="B166" s="36" t="s">
        <v>228</v>
      </c>
      <c r="C166" s="37" t="s">
        <v>229</v>
      </c>
      <c r="D166" s="36" t="s">
        <v>861</v>
      </c>
      <c r="E166" s="22" t="s">
        <v>57</v>
      </c>
      <c r="F166" s="22" t="s">
        <v>862</v>
      </c>
      <c r="G166" s="22" t="s">
        <v>59</v>
      </c>
      <c r="H166" s="22" t="s">
        <v>59</v>
      </c>
      <c r="I166" s="22" t="s">
        <v>60</v>
      </c>
      <c r="J166" s="22" t="s">
        <v>857</v>
      </c>
      <c r="K166" s="22" t="s">
        <v>525</v>
      </c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6">
        <v>39.0</v>
      </c>
      <c r="B167" s="36" t="s">
        <v>232</v>
      </c>
      <c r="C167" s="37" t="s">
        <v>229</v>
      </c>
      <c r="D167" s="36" t="s">
        <v>864</v>
      </c>
      <c r="E167" s="22" t="s">
        <v>57</v>
      </c>
      <c r="F167" s="22" t="s">
        <v>865</v>
      </c>
      <c r="G167" s="22" t="s">
        <v>59</v>
      </c>
      <c r="H167" s="22" t="s">
        <v>59</v>
      </c>
      <c r="I167" s="22" t="s">
        <v>60</v>
      </c>
      <c r="J167" s="22" t="s">
        <v>262</v>
      </c>
      <c r="K167" s="22" t="s">
        <v>537</v>
      </c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6">
        <v>39.0</v>
      </c>
      <c r="B168" s="36" t="s">
        <v>232</v>
      </c>
      <c r="C168" s="37" t="s">
        <v>229</v>
      </c>
      <c r="D168" s="36" t="s">
        <v>866</v>
      </c>
      <c r="E168" s="22" t="s">
        <v>57</v>
      </c>
      <c r="F168" s="22" t="s">
        <v>867</v>
      </c>
      <c r="G168" s="22" t="s">
        <v>59</v>
      </c>
      <c r="H168" s="22" t="s">
        <v>59</v>
      </c>
      <c r="I168" s="22" t="s">
        <v>60</v>
      </c>
      <c r="J168" s="22" t="s">
        <v>868</v>
      </c>
      <c r="K168" s="22" t="s">
        <v>537</v>
      </c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6">
        <v>39.0</v>
      </c>
      <c r="B169" s="36" t="s">
        <v>232</v>
      </c>
      <c r="C169" s="37" t="s">
        <v>229</v>
      </c>
      <c r="D169" s="36" t="s">
        <v>869</v>
      </c>
      <c r="E169" s="22" t="s">
        <v>57</v>
      </c>
      <c r="F169" s="22" t="s">
        <v>870</v>
      </c>
      <c r="G169" s="22" t="s">
        <v>59</v>
      </c>
      <c r="H169" s="22" t="s">
        <v>59</v>
      </c>
      <c r="I169" s="22" t="s">
        <v>60</v>
      </c>
      <c r="J169" s="22" t="s">
        <v>871</v>
      </c>
      <c r="K169" s="22" t="s">
        <v>525</v>
      </c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6">
        <v>39.0</v>
      </c>
      <c r="B170" s="36" t="s">
        <v>232</v>
      </c>
      <c r="C170" s="37" t="s">
        <v>229</v>
      </c>
      <c r="D170" s="36" t="s">
        <v>872</v>
      </c>
      <c r="E170" s="22" t="s">
        <v>76</v>
      </c>
      <c r="F170" s="22" t="s">
        <v>873</v>
      </c>
      <c r="G170" s="22" t="s">
        <v>59</v>
      </c>
      <c r="H170" s="22" t="s">
        <v>59</v>
      </c>
      <c r="I170" s="22" t="s">
        <v>60</v>
      </c>
      <c r="J170" s="22" t="s">
        <v>262</v>
      </c>
      <c r="K170" s="22" t="s">
        <v>525</v>
      </c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6">
        <v>39.0</v>
      </c>
      <c r="B171" s="36" t="s">
        <v>232</v>
      </c>
      <c r="C171" s="37" t="s">
        <v>229</v>
      </c>
      <c r="D171" s="36" t="s">
        <v>874</v>
      </c>
      <c r="E171" s="22" t="s">
        <v>76</v>
      </c>
      <c r="F171" s="22" t="s">
        <v>875</v>
      </c>
      <c r="G171" s="22" t="s">
        <v>59</v>
      </c>
      <c r="H171" s="22" t="s">
        <v>59</v>
      </c>
      <c r="I171" s="22" t="s">
        <v>60</v>
      </c>
      <c r="J171" s="22" t="s">
        <v>868</v>
      </c>
      <c r="K171" s="22" t="s">
        <v>537</v>
      </c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6">
        <v>40.0</v>
      </c>
      <c r="B172" s="36" t="s">
        <v>238</v>
      </c>
      <c r="C172" s="37" t="s">
        <v>229</v>
      </c>
      <c r="D172" s="36" t="s">
        <v>876</v>
      </c>
      <c r="E172" s="22" t="s">
        <v>57</v>
      </c>
      <c r="F172" s="22" t="s">
        <v>877</v>
      </c>
      <c r="G172" s="22" t="s">
        <v>59</v>
      </c>
      <c r="H172" s="22" t="s">
        <v>59</v>
      </c>
      <c r="I172" s="22" t="s">
        <v>60</v>
      </c>
      <c r="J172" s="22" t="s">
        <v>265</v>
      </c>
      <c r="K172" s="22" t="s">
        <v>537</v>
      </c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6">
        <v>40.0</v>
      </c>
      <c r="B173" s="36" t="s">
        <v>238</v>
      </c>
      <c r="C173" s="37" t="s">
        <v>229</v>
      </c>
      <c r="D173" s="36" t="s">
        <v>879</v>
      </c>
      <c r="E173" s="22" t="s">
        <v>57</v>
      </c>
      <c r="F173" s="22" t="s">
        <v>880</v>
      </c>
      <c r="G173" s="22" t="s">
        <v>59</v>
      </c>
      <c r="H173" s="22" t="s">
        <v>59</v>
      </c>
      <c r="I173" s="22" t="s">
        <v>60</v>
      </c>
      <c r="J173" s="22" t="s">
        <v>881</v>
      </c>
      <c r="K173" s="22" t="s">
        <v>531</v>
      </c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6">
        <v>40.0</v>
      </c>
      <c r="B174" s="36" t="s">
        <v>238</v>
      </c>
      <c r="C174" s="37" t="s">
        <v>229</v>
      </c>
      <c r="D174" s="36" t="s">
        <v>244</v>
      </c>
      <c r="E174" s="22" t="s">
        <v>57</v>
      </c>
      <c r="F174" s="22" t="s">
        <v>883</v>
      </c>
      <c r="G174" s="22" t="s">
        <v>59</v>
      </c>
      <c r="H174" s="22" t="s">
        <v>59</v>
      </c>
      <c r="I174" s="22" t="s">
        <v>60</v>
      </c>
      <c r="J174" s="22" t="s">
        <v>265</v>
      </c>
      <c r="K174" s="22" t="s">
        <v>537</v>
      </c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6">
        <v>40.0</v>
      </c>
      <c r="B175" s="36" t="s">
        <v>238</v>
      </c>
      <c r="C175" s="37" t="s">
        <v>229</v>
      </c>
      <c r="D175" s="36" t="s">
        <v>261</v>
      </c>
      <c r="E175" s="22" t="s">
        <v>57</v>
      </c>
      <c r="F175" s="22" t="s">
        <v>884</v>
      </c>
      <c r="G175" s="22" t="s">
        <v>59</v>
      </c>
      <c r="H175" s="22" t="s">
        <v>59</v>
      </c>
      <c r="I175" s="22" t="s">
        <v>60</v>
      </c>
      <c r="J175" s="22" t="s">
        <v>881</v>
      </c>
      <c r="K175" s="22" t="s">
        <v>537</v>
      </c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6">
        <v>41.0</v>
      </c>
      <c r="B176" s="36" t="s">
        <v>244</v>
      </c>
      <c r="C176" s="37" t="s">
        <v>229</v>
      </c>
      <c r="D176" s="36" t="s">
        <v>886</v>
      </c>
      <c r="E176" s="22" t="s">
        <v>57</v>
      </c>
      <c r="F176" s="22" t="s">
        <v>887</v>
      </c>
      <c r="G176" s="22" t="s">
        <v>59</v>
      </c>
      <c r="H176" s="22" t="s">
        <v>59</v>
      </c>
      <c r="I176" s="22" t="s">
        <v>60</v>
      </c>
      <c r="J176" s="22" t="s">
        <v>271</v>
      </c>
      <c r="K176" s="22" t="s">
        <v>537</v>
      </c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6">
        <v>41.0</v>
      </c>
      <c r="B177" s="36" t="s">
        <v>244</v>
      </c>
      <c r="C177" s="37" t="s">
        <v>229</v>
      </c>
      <c r="D177" s="36" t="s">
        <v>238</v>
      </c>
      <c r="E177" s="22" t="s">
        <v>57</v>
      </c>
      <c r="F177" s="22" t="s">
        <v>888</v>
      </c>
      <c r="G177" s="22" t="s">
        <v>59</v>
      </c>
      <c r="H177" s="22" t="s">
        <v>59</v>
      </c>
      <c r="I177" s="22" t="s">
        <v>60</v>
      </c>
      <c r="J177" s="22" t="s">
        <v>889</v>
      </c>
      <c r="K177" s="22" t="s">
        <v>537</v>
      </c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6">
        <v>41.0</v>
      </c>
      <c r="B178" s="36" t="s">
        <v>244</v>
      </c>
      <c r="C178" s="37" t="s">
        <v>229</v>
      </c>
      <c r="D178" s="36" t="s">
        <v>261</v>
      </c>
      <c r="E178" s="22" t="s">
        <v>57</v>
      </c>
      <c r="F178" s="22" t="s">
        <v>890</v>
      </c>
      <c r="G178" s="22" t="s">
        <v>59</v>
      </c>
      <c r="H178" s="22" t="s">
        <v>59</v>
      </c>
      <c r="I178" s="22" t="s">
        <v>60</v>
      </c>
      <c r="J178" s="22" t="s">
        <v>271</v>
      </c>
      <c r="K178" s="22" t="s">
        <v>537</v>
      </c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6">
        <v>41.0</v>
      </c>
      <c r="B179" s="36" t="s">
        <v>244</v>
      </c>
      <c r="C179" s="37" t="s">
        <v>229</v>
      </c>
      <c r="D179" s="36" t="s">
        <v>879</v>
      </c>
      <c r="E179" s="22" t="s">
        <v>76</v>
      </c>
      <c r="F179" s="22" t="s">
        <v>892</v>
      </c>
      <c r="G179" s="22" t="s">
        <v>59</v>
      </c>
      <c r="H179" s="22" t="s">
        <v>59</v>
      </c>
      <c r="I179" s="22" t="s">
        <v>60</v>
      </c>
      <c r="J179" s="22" t="s">
        <v>889</v>
      </c>
      <c r="K179" s="22" t="s">
        <v>531</v>
      </c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6">
        <v>42.0</v>
      </c>
      <c r="B180" s="36" t="s">
        <v>251</v>
      </c>
      <c r="C180" s="37" t="s">
        <v>229</v>
      </c>
      <c r="D180" s="36" t="s">
        <v>893</v>
      </c>
      <c r="E180" s="22" t="s">
        <v>57</v>
      </c>
      <c r="F180" s="22" t="s">
        <v>895</v>
      </c>
      <c r="G180" s="22" t="s">
        <v>59</v>
      </c>
      <c r="H180" s="22" t="s">
        <v>59</v>
      </c>
      <c r="I180" s="22" t="s">
        <v>60</v>
      </c>
      <c r="J180" s="22" t="s">
        <v>275</v>
      </c>
      <c r="K180" s="22" t="s">
        <v>537</v>
      </c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6">
        <v>42.0</v>
      </c>
      <c r="B181" s="36" t="s">
        <v>251</v>
      </c>
      <c r="C181" s="37" t="s">
        <v>229</v>
      </c>
      <c r="D181" s="36" t="s">
        <v>270</v>
      </c>
      <c r="E181" s="22" t="s">
        <v>57</v>
      </c>
      <c r="F181" s="22" t="s">
        <v>896</v>
      </c>
      <c r="G181" s="22" t="s">
        <v>59</v>
      </c>
      <c r="H181" s="22" t="s">
        <v>59</v>
      </c>
      <c r="I181" s="22" t="s">
        <v>60</v>
      </c>
      <c r="J181" s="22" t="s">
        <v>897</v>
      </c>
      <c r="K181" s="22" t="s">
        <v>525</v>
      </c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6">
        <v>42.0</v>
      </c>
      <c r="B182" s="36" t="s">
        <v>251</v>
      </c>
      <c r="C182" s="37" t="s">
        <v>229</v>
      </c>
      <c r="D182" s="36" t="s">
        <v>898</v>
      </c>
      <c r="E182" s="22" t="s">
        <v>57</v>
      </c>
      <c r="F182" s="22" t="s">
        <v>899</v>
      </c>
      <c r="G182" s="22" t="s">
        <v>59</v>
      </c>
      <c r="H182" s="22" t="s">
        <v>59</v>
      </c>
      <c r="I182" s="22" t="s">
        <v>60</v>
      </c>
      <c r="J182" s="22" t="s">
        <v>275</v>
      </c>
      <c r="K182" s="22" t="s">
        <v>537</v>
      </c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6">
        <v>42.0</v>
      </c>
      <c r="B183" s="36" t="s">
        <v>251</v>
      </c>
      <c r="C183" s="37" t="s">
        <v>229</v>
      </c>
      <c r="D183" s="36" t="s">
        <v>900</v>
      </c>
      <c r="E183" s="22" t="s">
        <v>57</v>
      </c>
      <c r="F183" s="22" t="s">
        <v>902</v>
      </c>
      <c r="G183" s="22" t="s">
        <v>59</v>
      </c>
      <c r="H183" s="22" t="s">
        <v>59</v>
      </c>
      <c r="I183" s="22" t="s">
        <v>60</v>
      </c>
      <c r="J183" s="22" t="s">
        <v>897</v>
      </c>
      <c r="K183" s="22" t="s">
        <v>537</v>
      </c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6">
        <v>42.0</v>
      </c>
      <c r="B184" s="36" t="s">
        <v>251</v>
      </c>
      <c r="C184" s="37" t="s">
        <v>229</v>
      </c>
      <c r="D184" s="36" t="s">
        <v>745</v>
      </c>
      <c r="E184" s="22" t="s">
        <v>76</v>
      </c>
      <c r="F184" s="22" t="s">
        <v>903</v>
      </c>
      <c r="G184" s="22" t="s">
        <v>59</v>
      </c>
      <c r="H184" s="22" t="s">
        <v>59</v>
      </c>
      <c r="I184" s="22" t="s">
        <v>60</v>
      </c>
      <c r="J184" s="22" t="s">
        <v>275</v>
      </c>
      <c r="K184" s="22" t="s">
        <v>531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6">
        <v>43.0</v>
      </c>
      <c r="B185" s="36" t="s">
        <v>255</v>
      </c>
      <c r="C185" s="37" t="s">
        <v>229</v>
      </c>
      <c r="D185" s="36" t="s">
        <v>904</v>
      </c>
      <c r="E185" s="22" t="s">
        <v>57</v>
      </c>
      <c r="F185" s="22" t="s">
        <v>906</v>
      </c>
      <c r="G185" s="22" t="s">
        <v>59</v>
      </c>
      <c r="H185" s="22" t="s">
        <v>59</v>
      </c>
      <c r="I185" s="22" t="s">
        <v>60</v>
      </c>
      <c r="J185" s="22" t="s">
        <v>279</v>
      </c>
      <c r="K185" s="22" t="s">
        <v>525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6">
        <v>43.0</v>
      </c>
      <c r="B186" s="36" t="s">
        <v>255</v>
      </c>
      <c r="C186" s="37" t="s">
        <v>229</v>
      </c>
      <c r="D186" s="36" t="s">
        <v>907</v>
      </c>
      <c r="E186" s="22" t="s">
        <v>76</v>
      </c>
      <c r="F186" s="22" t="s">
        <v>908</v>
      </c>
      <c r="G186" s="22" t="s">
        <v>59</v>
      </c>
      <c r="H186" s="22" t="s">
        <v>59</v>
      </c>
      <c r="I186" s="22" t="s">
        <v>60</v>
      </c>
      <c r="J186" s="22" t="s">
        <v>909</v>
      </c>
      <c r="K186" s="22" t="s">
        <v>525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6">
        <v>43.0</v>
      </c>
      <c r="B187" s="36" t="s">
        <v>255</v>
      </c>
      <c r="C187" s="37" t="s">
        <v>229</v>
      </c>
      <c r="D187" s="36" t="s">
        <v>745</v>
      </c>
      <c r="E187" s="22" t="s">
        <v>76</v>
      </c>
      <c r="F187" s="22" t="s">
        <v>910</v>
      </c>
      <c r="G187" s="22" t="s">
        <v>59</v>
      </c>
      <c r="H187" s="22" t="s">
        <v>59</v>
      </c>
      <c r="I187" s="22" t="s">
        <v>60</v>
      </c>
      <c r="J187" s="22" t="s">
        <v>911</v>
      </c>
      <c r="K187" s="22" t="s">
        <v>531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6">
        <v>43.0</v>
      </c>
      <c r="B188" s="36" t="s">
        <v>255</v>
      </c>
      <c r="C188" s="37" t="s">
        <v>229</v>
      </c>
      <c r="D188" s="36" t="s">
        <v>913</v>
      </c>
      <c r="E188" s="22" t="s">
        <v>76</v>
      </c>
      <c r="F188" s="22" t="s">
        <v>914</v>
      </c>
      <c r="G188" s="22" t="s">
        <v>59</v>
      </c>
      <c r="H188" s="22" t="s">
        <v>59</v>
      </c>
      <c r="I188" s="22" t="s">
        <v>60</v>
      </c>
      <c r="J188" s="22" t="s">
        <v>279</v>
      </c>
      <c r="K188" s="22" t="s">
        <v>531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6">
        <v>44.0</v>
      </c>
      <c r="B189" s="36" t="s">
        <v>261</v>
      </c>
      <c r="C189" s="37" t="s">
        <v>229</v>
      </c>
      <c r="D189" s="36" t="s">
        <v>238</v>
      </c>
      <c r="E189" s="22" t="s">
        <v>57</v>
      </c>
      <c r="F189" s="22" t="s">
        <v>915</v>
      </c>
      <c r="G189" s="22" t="s">
        <v>59</v>
      </c>
      <c r="H189" s="22" t="s">
        <v>59</v>
      </c>
      <c r="I189" s="22" t="s">
        <v>60</v>
      </c>
      <c r="J189" s="22" t="s">
        <v>284</v>
      </c>
      <c r="K189" s="22" t="s">
        <v>537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6">
        <v>44.0</v>
      </c>
      <c r="B190" s="36" t="s">
        <v>261</v>
      </c>
      <c r="C190" s="37" t="s">
        <v>229</v>
      </c>
      <c r="D190" s="36" t="s">
        <v>244</v>
      </c>
      <c r="E190" s="22" t="s">
        <v>57</v>
      </c>
      <c r="F190" s="22" t="s">
        <v>916</v>
      </c>
      <c r="G190" s="22" t="s">
        <v>59</v>
      </c>
      <c r="H190" s="22" t="s">
        <v>59</v>
      </c>
      <c r="I190" s="22" t="s">
        <v>60</v>
      </c>
      <c r="J190" s="22" t="s">
        <v>917</v>
      </c>
      <c r="K190" s="22" t="s">
        <v>537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6">
        <v>44.0</v>
      </c>
      <c r="B191" s="36" t="s">
        <v>261</v>
      </c>
      <c r="C191" s="37" t="s">
        <v>229</v>
      </c>
      <c r="D191" s="36" t="s">
        <v>886</v>
      </c>
      <c r="E191" s="22" t="s">
        <v>57</v>
      </c>
      <c r="F191" s="22" t="s">
        <v>918</v>
      </c>
      <c r="G191" s="22" t="s">
        <v>59</v>
      </c>
      <c r="H191" s="22" t="s">
        <v>59</v>
      </c>
      <c r="I191" s="22" t="s">
        <v>60</v>
      </c>
      <c r="J191" s="22" t="s">
        <v>284</v>
      </c>
      <c r="K191" s="22" t="s">
        <v>537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6">
        <v>44.0</v>
      </c>
      <c r="B192" s="36" t="s">
        <v>261</v>
      </c>
      <c r="C192" s="37" t="s">
        <v>229</v>
      </c>
      <c r="D192" s="36" t="s">
        <v>879</v>
      </c>
      <c r="E192" s="22" t="s">
        <v>57</v>
      </c>
      <c r="F192" s="22" t="s">
        <v>919</v>
      </c>
      <c r="G192" s="22" t="s">
        <v>59</v>
      </c>
      <c r="H192" s="22" t="s">
        <v>59</v>
      </c>
      <c r="I192" s="22" t="s">
        <v>60</v>
      </c>
      <c r="J192" s="22" t="s">
        <v>917</v>
      </c>
      <c r="K192" s="22" t="s">
        <v>531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6">
        <v>44.0</v>
      </c>
      <c r="B193" s="36" t="s">
        <v>261</v>
      </c>
      <c r="C193" s="37" t="s">
        <v>229</v>
      </c>
      <c r="D193" s="36" t="s">
        <v>876</v>
      </c>
      <c r="E193" s="22" t="s">
        <v>76</v>
      </c>
      <c r="F193" s="22" t="s">
        <v>921</v>
      </c>
      <c r="G193" s="22" t="s">
        <v>59</v>
      </c>
      <c r="H193" s="22" t="s">
        <v>59</v>
      </c>
      <c r="I193" s="22" t="s">
        <v>60</v>
      </c>
      <c r="J193" s="22" t="s">
        <v>284</v>
      </c>
      <c r="K193" s="22" t="s">
        <v>537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6">
        <v>45.0</v>
      </c>
      <c r="B194" s="36" t="s">
        <v>263</v>
      </c>
      <c r="C194" s="37" t="s">
        <v>229</v>
      </c>
      <c r="D194" s="36" t="s">
        <v>922</v>
      </c>
      <c r="E194" s="22" t="s">
        <v>57</v>
      </c>
      <c r="F194" s="22" t="s">
        <v>923</v>
      </c>
      <c r="G194" s="22" t="s">
        <v>59</v>
      </c>
      <c r="H194" s="22" t="s">
        <v>59</v>
      </c>
      <c r="I194" s="22" t="s">
        <v>60</v>
      </c>
      <c r="J194" s="22" t="s">
        <v>290</v>
      </c>
      <c r="K194" s="22" t="s">
        <v>525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6">
        <v>45.0</v>
      </c>
      <c r="B195" s="36" t="s">
        <v>263</v>
      </c>
      <c r="C195" s="37" t="s">
        <v>229</v>
      </c>
      <c r="D195" s="36" t="s">
        <v>924</v>
      </c>
      <c r="E195" s="22" t="s">
        <v>57</v>
      </c>
      <c r="F195" s="22" t="s">
        <v>925</v>
      </c>
      <c r="G195" s="22" t="s">
        <v>59</v>
      </c>
      <c r="H195" s="22" t="s">
        <v>59</v>
      </c>
      <c r="I195" s="22" t="s">
        <v>60</v>
      </c>
      <c r="J195" s="22" t="s">
        <v>926</v>
      </c>
      <c r="K195" s="22" t="s">
        <v>525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6">
        <v>45.0</v>
      </c>
      <c r="B196" s="36" t="s">
        <v>263</v>
      </c>
      <c r="C196" s="37" t="s">
        <v>229</v>
      </c>
      <c r="D196" s="36" t="s">
        <v>913</v>
      </c>
      <c r="E196" s="22" t="s">
        <v>76</v>
      </c>
      <c r="F196" s="22" t="s">
        <v>927</v>
      </c>
      <c r="G196" s="22" t="s">
        <v>59</v>
      </c>
      <c r="H196" s="22" t="s">
        <v>59</v>
      </c>
      <c r="I196" s="22" t="s">
        <v>60</v>
      </c>
      <c r="J196" s="22" t="s">
        <v>928</v>
      </c>
      <c r="K196" s="22" t="s">
        <v>531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6">
        <v>45.0</v>
      </c>
      <c r="B197" s="36" t="s">
        <v>263</v>
      </c>
      <c r="C197" s="37" t="s">
        <v>229</v>
      </c>
      <c r="D197" s="36" t="s">
        <v>929</v>
      </c>
      <c r="E197" s="22" t="s">
        <v>76</v>
      </c>
      <c r="F197" s="22" t="s">
        <v>930</v>
      </c>
      <c r="G197" s="22" t="s">
        <v>59</v>
      </c>
      <c r="H197" s="22" t="s">
        <v>59</v>
      </c>
      <c r="I197" s="22" t="s">
        <v>60</v>
      </c>
      <c r="J197" s="22" t="s">
        <v>290</v>
      </c>
      <c r="K197" s="22" t="s">
        <v>537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6">
        <v>45.0</v>
      </c>
      <c r="B198" s="36" t="s">
        <v>263</v>
      </c>
      <c r="C198" s="37" t="s">
        <v>229</v>
      </c>
      <c r="D198" s="36" t="s">
        <v>931</v>
      </c>
      <c r="E198" s="22" t="s">
        <v>76</v>
      </c>
      <c r="F198" s="22" t="s">
        <v>932</v>
      </c>
      <c r="G198" s="22" t="s">
        <v>59</v>
      </c>
      <c r="H198" s="22" t="s">
        <v>59</v>
      </c>
      <c r="I198" s="22" t="s">
        <v>60</v>
      </c>
      <c r="J198" s="22" t="s">
        <v>926</v>
      </c>
      <c r="K198" s="22" t="s">
        <v>525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6">
        <v>46.0</v>
      </c>
      <c r="B199" s="36" t="s">
        <v>267</v>
      </c>
      <c r="C199" s="37" t="s">
        <v>229</v>
      </c>
      <c r="D199" s="36" t="s">
        <v>232</v>
      </c>
      <c r="E199" s="22" t="s">
        <v>57</v>
      </c>
      <c r="F199" s="22" t="s">
        <v>933</v>
      </c>
      <c r="G199" s="22" t="s">
        <v>59</v>
      </c>
      <c r="H199" s="22" t="s">
        <v>59</v>
      </c>
      <c r="I199" s="22" t="s">
        <v>60</v>
      </c>
      <c r="J199" s="22" t="s">
        <v>296</v>
      </c>
      <c r="K199" s="22" t="s">
        <v>525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6">
        <v>46.0</v>
      </c>
      <c r="B200" s="36" t="s">
        <v>267</v>
      </c>
      <c r="C200" s="37" t="s">
        <v>229</v>
      </c>
      <c r="D200" s="36" t="s">
        <v>934</v>
      </c>
      <c r="E200" s="22" t="s">
        <v>76</v>
      </c>
      <c r="F200" s="22" t="s">
        <v>935</v>
      </c>
      <c r="G200" s="22" t="s">
        <v>59</v>
      </c>
      <c r="H200" s="22" t="s">
        <v>59</v>
      </c>
      <c r="I200" s="22" t="s">
        <v>60</v>
      </c>
      <c r="J200" s="22" t="s">
        <v>296</v>
      </c>
      <c r="K200" s="22" t="s">
        <v>525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6">
        <v>46.0</v>
      </c>
      <c r="B201" s="36" t="s">
        <v>267</v>
      </c>
      <c r="C201" s="37" t="s">
        <v>229</v>
      </c>
      <c r="D201" s="36" t="s">
        <v>864</v>
      </c>
      <c r="E201" s="22" t="s">
        <v>76</v>
      </c>
      <c r="F201" s="22" t="s">
        <v>936</v>
      </c>
      <c r="G201" s="22" t="s">
        <v>59</v>
      </c>
      <c r="H201" s="22" t="s">
        <v>59</v>
      </c>
      <c r="I201" s="22" t="s">
        <v>60</v>
      </c>
      <c r="J201" s="22" t="s">
        <v>296</v>
      </c>
      <c r="K201" s="22" t="s">
        <v>537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6">
        <v>47.0</v>
      </c>
      <c r="B202" s="36" t="s">
        <v>270</v>
      </c>
      <c r="C202" s="37" t="s">
        <v>229</v>
      </c>
      <c r="D202" s="36" t="s">
        <v>251</v>
      </c>
      <c r="E202" s="22" t="s">
        <v>57</v>
      </c>
      <c r="F202" s="22" t="s">
        <v>937</v>
      </c>
      <c r="G202" s="22" t="s">
        <v>59</v>
      </c>
      <c r="H202" s="22" t="s">
        <v>59</v>
      </c>
      <c r="I202" s="22" t="s">
        <v>60</v>
      </c>
      <c r="J202" s="22" t="s">
        <v>298</v>
      </c>
      <c r="K202" s="22" t="s">
        <v>525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6">
        <v>47.0</v>
      </c>
      <c r="B203" s="36" t="s">
        <v>270</v>
      </c>
      <c r="C203" s="37" t="s">
        <v>229</v>
      </c>
      <c r="D203" s="36" t="s">
        <v>893</v>
      </c>
      <c r="E203" s="22" t="s">
        <v>57</v>
      </c>
      <c r="F203" s="22" t="s">
        <v>938</v>
      </c>
      <c r="G203" s="22" t="s">
        <v>59</v>
      </c>
      <c r="H203" s="22" t="s">
        <v>59</v>
      </c>
      <c r="I203" s="22" t="s">
        <v>60</v>
      </c>
      <c r="J203" s="22" t="s">
        <v>939</v>
      </c>
      <c r="K203" s="22" t="s">
        <v>537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6">
        <v>47.0</v>
      </c>
      <c r="B204" s="36" t="s">
        <v>270</v>
      </c>
      <c r="C204" s="37" t="s">
        <v>229</v>
      </c>
      <c r="D204" s="36" t="s">
        <v>898</v>
      </c>
      <c r="E204" s="22" t="s">
        <v>57</v>
      </c>
      <c r="F204" s="22" t="s">
        <v>940</v>
      </c>
      <c r="G204" s="22" t="s">
        <v>59</v>
      </c>
      <c r="H204" s="22" t="s">
        <v>59</v>
      </c>
      <c r="I204" s="22" t="s">
        <v>60</v>
      </c>
      <c r="J204" s="22" t="s">
        <v>298</v>
      </c>
      <c r="K204" s="22" t="s">
        <v>537</v>
      </c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6">
        <v>47.0</v>
      </c>
      <c r="B205" s="36" t="s">
        <v>270</v>
      </c>
      <c r="C205" s="37" t="s">
        <v>229</v>
      </c>
      <c r="D205" s="36" t="s">
        <v>900</v>
      </c>
      <c r="E205" s="22" t="s">
        <v>76</v>
      </c>
      <c r="F205" s="22" t="s">
        <v>941</v>
      </c>
      <c r="G205" s="22" t="s">
        <v>59</v>
      </c>
      <c r="H205" s="22" t="s">
        <v>59</v>
      </c>
      <c r="I205" s="22" t="s">
        <v>60</v>
      </c>
      <c r="J205" s="22" t="s">
        <v>939</v>
      </c>
      <c r="K205" s="22" t="s">
        <v>537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6">
        <v>48.0</v>
      </c>
      <c r="B206" s="36" t="s">
        <v>273</v>
      </c>
      <c r="C206" s="37" t="s">
        <v>229</v>
      </c>
      <c r="D206" s="36" t="s">
        <v>943</v>
      </c>
      <c r="E206" s="22" t="s">
        <v>57</v>
      </c>
      <c r="F206" s="22" t="s">
        <v>944</v>
      </c>
      <c r="G206" s="22" t="s">
        <v>59</v>
      </c>
      <c r="H206" s="22" t="s">
        <v>59</v>
      </c>
      <c r="I206" s="22" t="s">
        <v>60</v>
      </c>
      <c r="J206" s="22" t="s">
        <v>302</v>
      </c>
      <c r="K206" s="22" t="s">
        <v>525</v>
      </c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6">
        <v>48.0</v>
      </c>
      <c r="B207" s="36" t="s">
        <v>273</v>
      </c>
      <c r="C207" s="37" t="s">
        <v>229</v>
      </c>
      <c r="D207" s="36" t="s">
        <v>945</v>
      </c>
      <c r="E207" s="22" t="s">
        <v>57</v>
      </c>
      <c r="F207" s="22" t="s">
        <v>947</v>
      </c>
      <c r="G207" s="22" t="s">
        <v>59</v>
      </c>
      <c r="H207" s="22" t="s">
        <v>59</v>
      </c>
      <c r="I207" s="22" t="s">
        <v>60</v>
      </c>
      <c r="J207" s="22" t="s">
        <v>948</v>
      </c>
      <c r="K207" s="22" t="s">
        <v>525</v>
      </c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6">
        <v>48.0</v>
      </c>
      <c r="B208" s="36" t="s">
        <v>273</v>
      </c>
      <c r="C208" s="37" t="s">
        <v>229</v>
      </c>
      <c r="D208" s="36" t="s">
        <v>859</v>
      </c>
      <c r="E208" s="22" t="s">
        <v>57</v>
      </c>
      <c r="F208" s="22" t="s">
        <v>949</v>
      </c>
      <c r="G208" s="22" t="s">
        <v>59</v>
      </c>
      <c r="H208" s="22" t="s">
        <v>59</v>
      </c>
      <c r="I208" s="22" t="s">
        <v>60</v>
      </c>
      <c r="J208" s="22" t="s">
        <v>950</v>
      </c>
      <c r="K208" s="22" t="s">
        <v>525</v>
      </c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6">
        <v>48.0</v>
      </c>
      <c r="B209" s="36" t="s">
        <v>273</v>
      </c>
      <c r="C209" s="37" t="s">
        <v>229</v>
      </c>
      <c r="D209" s="36" t="s">
        <v>874</v>
      </c>
      <c r="E209" s="22" t="s">
        <v>57</v>
      </c>
      <c r="F209" s="22" t="s">
        <v>951</v>
      </c>
      <c r="G209" s="22" t="s">
        <v>59</v>
      </c>
      <c r="H209" s="22" t="s">
        <v>59</v>
      </c>
      <c r="I209" s="22" t="s">
        <v>60</v>
      </c>
      <c r="J209" s="22" t="s">
        <v>302</v>
      </c>
      <c r="K209" s="22" t="s">
        <v>537</v>
      </c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6">
        <v>48.0</v>
      </c>
      <c r="B210" s="36" t="s">
        <v>273</v>
      </c>
      <c r="C210" s="37" t="s">
        <v>229</v>
      </c>
      <c r="D210" s="36" t="s">
        <v>805</v>
      </c>
      <c r="E210" s="22" t="s">
        <v>57</v>
      </c>
      <c r="F210" s="22" t="s">
        <v>952</v>
      </c>
      <c r="G210" s="22" t="s">
        <v>59</v>
      </c>
      <c r="H210" s="22" t="s">
        <v>59</v>
      </c>
      <c r="I210" s="22" t="s">
        <v>60</v>
      </c>
      <c r="J210" s="22" t="s">
        <v>948</v>
      </c>
      <c r="K210" s="22" t="s">
        <v>525</v>
      </c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6">
        <v>49.0</v>
      </c>
      <c r="B211" s="36" t="s">
        <v>277</v>
      </c>
      <c r="C211" s="37" t="s">
        <v>229</v>
      </c>
      <c r="D211" s="36" t="s">
        <v>866</v>
      </c>
      <c r="E211" s="22" t="s">
        <v>57</v>
      </c>
      <c r="F211" s="22" t="s">
        <v>953</v>
      </c>
      <c r="G211" s="22" t="s">
        <v>59</v>
      </c>
      <c r="H211" s="22" t="s">
        <v>59</v>
      </c>
      <c r="I211" s="22" t="s">
        <v>60</v>
      </c>
      <c r="J211" s="22" t="s">
        <v>310</v>
      </c>
      <c r="K211" s="22" t="s">
        <v>537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6">
        <v>49.0</v>
      </c>
      <c r="B212" s="36" t="s">
        <v>277</v>
      </c>
      <c r="C212" s="37" t="s">
        <v>229</v>
      </c>
      <c r="D212" s="36" t="s">
        <v>913</v>
      </c>
      <c r="E212" s="22" t="s">
        <v>57</v>
      </c>
      <c r="F212" s="22" t="s">
        <v>954</v>
      </c>
      <c r="G212" s="22" t="s">
        <v>59</v>
      </c>
      <c r="H212" s="22" t="s">
        <v>59</v>
      </c>
      <c r="I212" s="22" t="s">
        <v>60</v>
      </c>
      <c r="J212" s="22" t="s">
        <v>955</v>
      </c>
      <c r="K212" s="22" t="s">
        <v>531</v>
      </c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6">
        <v>49.0</v>
      </c>
      <c r="B213" s="36" t="s">
        <v>277</v>
      </c>
      <c r="C213" s="37" t="s">
        <v>229</v>
      </c>
      <c r="D213" s="36" t="s">
        <v>745</v>
      </c>
      <c r="E213" s="22" t="s">
        <v>76</v>
      </c>
      <c r="F213" s="22" t="s">
        <v>956</v>
      </c>
      <c r="G213" s="22" t="s">
        <v>59</v>
      </c>
      <c r="H213" s="22" t="s">
        <v>59</v>
      </c>
      <c r="I213" s="22" t="s">
        <v>60</v>
      </c>
      <c r="J213" s="22" t="s">
        <v>310</v>
      </c>
      <c r="K213" s="22" t="s">
        <v>531</v>
      </c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6">
        <v>49.0</v>
      </c>
      <c r="B214" s="36" t="s">
        <v>277</v>
      </c>
      <c r="C214" s="37" t="s">
        <v>229</v>
      </c>
      <c r="D214" s="36" t="s">
        <v>929</v>
      </c>
      <c r="E214" s="22" t="s">
        <v>76</v>
      </c>
      <c r="F214" s="22" t="s">
        <v>957</v>
      </c>
      <c r="G214" s="22" t="s">
        <v>59</v>
      </c>
      <c r="H214" s="22" t="s">
        <v>59</v>
      </c>
      <c r="I214" s="22" t="s">
        <v>60</v>
      </c>
      <c r="J214" s="22" t="s">
        <v>955</v>
      </c>
      <c r="K214" s="22" t="s">
        <v>537</v>
      </c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6">
        <v>49.0</v>
      </c>
      <c r="B215" s="36" t="s">
        <v>277</v>
      </c>
      <c r="C215" s="37" t="s">
        <v>229</v>
      </c>
      <c r="D215" s="36" t="s">
        <v>267</v>
      </c>
      <c r="E215" s="22" t="s">
        <v>76</v>
      </c>
      <c r="F215" s="22" t="s">
        <v>958</v>
      </c>
      <c r="G215" s="22" t="s">
        <v>59</v>
      </c>
      <c r="H215" s="22" t="s">
        <v>59</v>
      </c>
      <c r="I215" s="22" t="s">
        <v>60</v>
      </c>
      <c r="J215" s="22" t="s">
        <v>310</v>
      </c>
      <c r="K215" s="22" t="s">
        <v>525</v>
      </c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6">
        <v>50.0</v>
      </c>
      <c r="B216" s="36" t="s">
        <v>281</v>
      </c>
      <c r="C216" s="37" t="s">
        <v>282</v>
      </c>
      <c r="D216" s="36" t="s">
        <v>959</v>
      </c>
      <c r="E216" s="22" t="s">
        <v>57</v>
      </c>
      <c r="F216" s="22" t="s">
        <v>960</v>
      </c>
      <c r="G216" s="22" t="s">
        <v>59</v>
      </c>
      <c r="H216" s="22" t="s">
        <v>59</v>
      </c>
      <c r="I216" s="22" t="s">
        <v>60</v>
      </c>
      <c r="J216" s="22" t="s">
        <v>315</v>
      </c>
      <c r="K216" s="22" t="s">
        <v>525</v>
      </c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6">
        <v>50.0</v>
      </c>
      <c r="B217" s="36" t="s">
        <v>281</v>
      </c>
      <c r="C217" s="37" t="s">
        <v>282</v>
      </c>
      <c r="D217" s="36" t="s">
        <v>961</v>
      </c>
      <c r="E217" s="22" t="s">
        <v>57</v>
      </c>
      <c r="F217" s="22" t="s">
        <v>962</v>
      </c>
      <c r="G217" s="22" t="s">
        <v>59</v>
      </c>
      <c r="H217" s="22" t="s">
        <v>59</v>
      </c>
      <c r="I217" s="22" t="s">
        <v>60</v>
      </c>
      <c r="J217" s="22" t="s">
        <v>963</v>
      </c>
      <c r="K217" s="22" t="s">
        <v>525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6">
        <v>50.0</v>
      </c>
      <c r="B218" s="36" t="s">
        <v>281</v>
      </c>
      <c r="C218" s="37" t="s">
        <v>282</v>
      </c>
      <c r="D218" s="36" t="s">
        <v>964</v>
      </c>
      <c r="E218" s="22" t="s">
        <v>57</v>
      </c>
      <c r="F218" s="22" t="s">
        <v>965</v>
      </c>
      <c r="G218" s="22" t="s">
        <v>59</v>
      </c>
      <c r="H218" s="22" t="s">
        <v>59</v>
      </c>
      <c r="I218" s="22" t="s">
        <v>60</v>
      </c>
      <c r="J218" s="22" t="s">
        <v>966</v>
      </c>
      <c r="K218" s="22" t="s">
        <v>525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6">
        <v>50.0</v>
      </c>
      <c r="B219" s="36" t="s">
        <v>281</v>
      </c>
      <c r="C219" s="37" t="s">
        <v>282</v>
      </c>
      <c r="D219" s="36" t="s">
        <v>967</v>
      </c>
      <c r="E219" s="22" t="s">
        <v>57</v>
      </c>
      <c r="F219" s="22" t="s">
        <v>968</v>
      </c>
      <c r="G219" s="22" t="s">
        <v>59</v>
      </c>
      <c r="H219" s="22" t="s">
        <v>59</v>
      </c>
      <c r="I219" s="22" t="s">
        <v>60</v>
      </c>
      <c r="J219" s="22" t="s">
        <v>315</v>
      </c>
      <c r="K219" s="22" t="s">
        <v>525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6">
        <v>50.0</v>
      </c>
      <c r="B220" s="36" t="s">
        <v>281</v>
      </c>
      <c r="C220" s="37" t="s">
        <v>282</v>
      </c>
      <c r="D220" s="36" t="s">
        <v>969</v>
      </c>
      <c r="E220" s="22" t="s">
        <v>76</v>
      </c>
      <c r="F220" s="22" t="s">
        <v>971</v>
      </c>
      <c r="G220" s="22" t="s">
        <v>59</v>
      </c>
      <c r="H220" s="22" t="s">
        <v>59</v>
      </c>
      <c r="I220" s="22" t="s">
        <v>60</v>
      </c>
      <c r="J220" s="22" t="s">
        <v>963</v>
      </c>
      <c r="K220" s="22" t="s">
        <v>972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6">
        <v>51.0</v>
      </c>
      <c r="B221" s="36" t="s">
        <v>286</v>
      </c>
      <c r="C221" s="37" t="s">
        <v>287</v>
      </c>
      <c r="D221" s="36" t="s">
        <v>973</v>
      </c>
      <c r="E221" s="22" t="s">
        <v>57</v>
      </c>
      <c r="F221" s="22" t="s">
        <v>975</v>
      </c>
      <c r="G221" s="22" t="s">
        <v>59</v>
      </c>
      <c r="H221" s="22" t="s">
        <v>59</v>
      </c>
      <c r="I221" s="22" t="s">
        <v>60</v>
      </c>
      <c r="J221" s="22" t="s">
        <v>320</v>
      </c>
      <c r="K221" s="22" t="s">
        <v>525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6">
        <v>51.0</v>
      </c>
      <c r="B222" s="36" t="s">
        <v>286</v>
      </c>
      <c r="C222" s="37" t="s">
        <v>287</v>
      </c>
      <c r="D222" s="36" t="s">
        <v>976</v>
      </c>
      <c r="E222" s="22" t="s">
        <v>57</v>
      </c>
      <c r="F222" s="22" t="s">
        <v>977</v>
      </c>
      <c r="G222" s="22" t="s">
        <v>59</v>
      </c>
      <c r="H222" s="22" t="s">
        <v>59</v>
      </c>
      <c r="I222" s="22" t="s">
        <v>60</v>
      </c>
      <c r="J222" s="22" t="s">
        <v>979</v>
      </c>
      <c r="K222" s="22" t="s">
        <v>525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6">
        <v>51.0</v>
      </c>
      <c r="B223" s="36" t="s">
        <v>286</v>
      </c>
      <c r="C223" s="37" t="s">
        <v>287</v>
      </c>
      <c r="D223" s="36" t="s">
        <v>980</v>
      </c>
      <c r="E223" s="22" t="s">
        <v>57</v>
      </c>
      <c r="F223" s="22" t="s">
        <v>981</v>
      </c>
      <c r="G223" s="22" t="s">
        <v>59</v>
      </c>
      <c r="H223" s="22" t="s">
        <v>59</v>
      </c>
      <c r="I223" s="22" t="s">
        <v>60</v>
      </c>
      <c r="J223" s="22" t="s">
        <v>320</v>
      </c>
      <c r="K223" s="22" t="s">
        <v>525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6">
        <v>51.0</v>
      </c>
      <c r="B224" s="36" t="s">
        <v>286</v>
      </c>
      <c r="C224" s="37" t="s">
        <v>287</v>
      </c>
      <c r="D224" s="36" t="s">
        <v>983</v>
      </c>
      <c r="E224" s="22" t="s">
        <v>76</v>
      </c>
      <c r="F224" s="22" t="s">
        <v>984</v>
      </c>
      <c r="G224" s="22" t="s">
        <v>59</v>
      </c>
      <c r="H224" s="22" t="s">
        <v>59</v>
      </c>
      <c r="I224" s="22" t="s">
        <v>60</v>
      </c>
      <c r="J224" s="22" t="s">
        <v>979</v>
      </c>
      <c r="K224" s="22" t="s">
        <v>525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6">
        <v>52.0</v>
      </c>
      <c r="B225" s="36" t="s">
        <v>153</v>
      </c>
      <c r="C225" s="37" t="s">
        <v>294</v>
      </c>
      <c r="D225" s="36" t="s">
        <v>986</v>
      </c>
      <c r="E225" s="22" t="s">
        <v>57</v>
      </c>
      <c r="F225" s="22" t="s">
        <v>988</v>
      </c>
      <c r="G225" s="22" t="s">
        <v>59</v>
      </c>
      <c r="H225" s="22" t="s">
        <v>59</v>
      </c>
      <c r="I225" s="22" t="s">
        <v>60</v>
      </c>
      <c r="J225" s="22" t="s">
        <v>322</v>
      </c>
      <c r="K225" s="22" t="s">
        <v>525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6">
        <v>52.0</v>
      </c>
      <c r="B226" s="36" t="s">
        <v>153</v>
      </c>
      <c r="C226" s="37" t="s">
        <v>294</v>
      </c>
      <c r="D226" s="36" t="s">
        <v>989</v>
      </c>
      <c r="E226" s="22" t="s">
        <v>57</v>
      </c>
      <c r="F226" s="22" t="s">
        <v>991</v>
      </c>
      <c r="G226" s="22" t="s">
        <v>59</v>
      </c>
      <c r="H226" s="22" t="s">
        <v>59</v>
      </c>
      <c r="I226" s="22" t="s">
        <v>60</v>
      </c>
      <c r="J226" s="22" t="s">
        <v>992</v>
      </c>
      <c r="K226" s="22" t="s">
        <v>525</v>
      </c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6">
        <v>52.0</v>
      </c>
      <c r="B227" s="36" t="s">
        <v>153</v>
      </c>
      <c r="C227" s="37" t="s">
        <v>294</v>
      </c>
      <c r="D227" s="36" t="s">
        <v>250</v>
      </c>
      <c r="E227" s="22" t="s">
        <v>57</v>
      </c>
      <c r="F227" s="22" t="s">
        <v>994</v>
      </c>
      <c r="G227" s="22" t="s">
        <v>59</v>
      </c>
      <c r="H227" s="22" t="s">
        <v>59</v>
      </c>
      <c r="I227" s="22" t="s">
        <v>60</v>
      </c>
      <c r="J227" s="22" t="s">
        <v>995</v>
      </c>
      <c r="K227" s="22" t="s">
        <v>525</v>
      </c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6">
        <v>52.0</v>
      </c>
      <c r="B228" s="36" t="s">
        <v>153</v>
      </c>
      <c r="C228" s="37" t="s">
        <v>294</v>
      </c>
      <c r="D228" s="36" t="s">
        <v>105</v>
      </c>
      <c r="E228" s="22" t="s">
        <v>57</v>
      </c>
      <c r="F228" s="22" t="s">
        <v>997</v>
      </c>
      <c r="G228" s="22" t="s">
        <v>59</v>
      </c>
      <c r="H228" s="22" t="s">
        <v>59</v>
      </c>
      <c r="I228" s="22" t="s">
        <v>60</v>
      </c>
      <c r="J228" s="22" t="s">
        <v>998</v>
      </c>
      <c r="K228" s="22" t="s">
        <v>525</v>
      </c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6">
        <v>52.0</v>
      </c>
      <c r="B229" s="36" t="s">
        <v>153</v>
      </c>
      <c r="C229" s="37" t="s">
        <v>294</v>
      </c>
      <c r="D229" s="36" t="s">
        <v>1000</v>
      </c>
      <c r="E229" s="22" t="s">
        <v>76</v>
      </c>
      <c r="F229" s="22" t="s">
        <v>1001</v>
      </c>
      <c r="G229" s="22" t="s">
        <v>59</v>
      </c>
      <c r="H229" s="22" t="s">
        <v>59</v>
      </c>
      <c r="I229" s="22" t="s">
        <v>60</v>
      </c>
      <c r="J229" s="22" t="s">
        <v>322</v>
      </c>
      <c r="K229" s="22" t="s">
        <v>556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6">
        <v>53.0</v>
      </c>
      <c r="B230" s="36" t="s">
        <v>297</v>
      </c>
      <c r="C230" s="37" t="s">
        <v>294</v>
      </c>
      <c r="D230" s="36" t="s">
        <v>1003</v>
      </c>
      <c r="E230" s="22" t="s">
        <v>57</v>
      </c>
      <c r="F230" s="22" t="s">
        <v>1004</v>
      </c>
      <c r="G230" s="22" t="s">
        <v>59</v>
      </c>
      <c r="H230" s="22" t="s">
        <v>59</v>
      </c>
      <c r="I230" s="22" t="s">
        <v>60</v>
      </c>
      <c r="J230" s="22" t="s">
        <v>326</v>
      </c>
      <c r="K230" s="22" t="s">
        <v>525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6">
        <v>53.0</v>
      </c>
      <c r="B231" s="36" t="s">
        <v>297</v>
      </c>
      <c r="C231" s="37" t="s">
        <v>294</v>
      </c>
      <c r="D231" s="36" t="s">
        <v>1006</v>
      </c>
      <c r="E231" s="22" t="s">
        <v>57</v>
      </c>
      <c r="F231" s="22" t="s">
        <v>1007</v>
      </c>
      <c r="G231" s="22" t="s">
        <v>59</v>
      </c>
      <c r="H231" s="22" t="s">
        <v>59</v>
      </c>
      <c r="I231" s="22" t="s">
        <v>60</v>
      </c>
      <c r="J231" s="22" t="s">
        <v>1008</v>
      </c>
      <c r="K231" s="22" t="s">
        <v>556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6">
        <v>53.0</v>
      </c>
      <c r="B232" s="36" t="s">
        <v>297</v>
      </c>
      <c r="C232" s="37" t="s">
        <v>294</v>
      </c>
      <c r="D232" s="36" t="s">
        <v>264</v>
      </c>
      <c r="E232" s="22" t="s">
        <v>76</v>
      </c>
      <c r="F232" s="22" t="s">
        <v>1010</v>
      </c>
      <c r="G232" s="22" t="s">
        <v>59</v>
      </c>
      <c r="H232" s="22" t="s">
        <v>59</v>
      </c>
      <c r="I232" s="22" t="s">
        <v>60</v>
      </c>
      <c r="J232" s="22" t="s">
        <v>326</v>
      </c>
      <c r="K232" s="22" t="s">
        <v>525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6">
        <v>54.0</v>
      </c>
      <c r="B233" s="36" t="s">
        <v>300</v>
      </c>
      <c r="C233" s="37" t="s">
        <v>294</v>
      </c>
      <c r="D233" s="36" t="s">
        <v>1012</v>
      </c>
      <c r="E233" s="22" t="s">
        <v>57</v>
      </c>
      <c r="F233" s="22" t="s">
        <v>1014</v>
      </c>
      <c r="G233" s="22" t="s">
        <v>59</v>
      </c>
      <c r="H233" s="22" t="s">
        <v>59</v>
      </c>
      <c r="I233" s="22" t="s">
        <v>60</v>
      </c>
      <c r="J233" s="22" t="s">
        <v>330</v>
      </c>
      <c r="K233" s="22" t="s">
        <v>525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6">
        <v>54.0</v>
      </c>
      <c r="B234" s="36" t="s">
        <v>300</v>
      </c>
      <c r="C234" s="37" t="s">
        <v>294</v>
      </c>
      <c r="D234" s="36" t="s">
        <v>1015</v>
      </c>
      <c r="E234" s="22" t="s">
        <v>57</v>
      </c>
      <c r="F234" s="22" t="s">
        <v>1017</v>
      </c>
      <c r="G234" s="22" t="s">
        <v>59</v>
      </c>
      <c r="H234" s="22" t="s">
        <v>59</v>
      </c>
      <c r="I234" s="22" t="s">
        <v>60</v>
      </c>
      <c r="J234" s="22" t="s">
        <v>1018</v>
      </c>
      <c r="K234" s="22" t="s">
        <v>525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6">
        <v>54.0</v>
      </c>
      <c r="B235" s="36" t="s">
        <v>300</v>
      </c>
      <c r="C235" s="37" t="s">
        <v>294</v>
      </c>
      <c r="D235" s="36" t="s">
        <v>1019</v>
      </c>
      <c r="E235" s="22" t="s">
        <v>57</v>
      </c>
      <c r="F235" s="22" t="s">
        <v>1020</v>
      </c>
      <c r="G235" s="22" t="s">
        <v>59</v>
      </c>
      <c r="H235" s="22" t="s">
        <v>59</v>
      </c>
      <c r="I235" s="22" t="s">
        <v>60</v>
      </c>
      <c r="J235" s="22" t="s">
        <v>330</v>
      </c>
      <c r="K235" s="22" t="s">
        <v>525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6">
        <v>54.0</v>
      </c>
      <c r="B236" s="36" t="s">
        <v>300</v>
      </c>
      <c r="C236" s="37" t="s">
        <v>294</v>
      </c>
      <c r="D236" s="36" t="s">
        <v>1021</v>
      </c>
      <c r="E236" s="22" t="s">
        <v>57</v>
      </c>
      <c r="F236" s="22" t="s">
        <v>1022</v>
      </c>
      <c r="G236" s="22" t="s">
        <v>59</v>
      </c>
      <c r="H236" s="22" t="s">
        <v>59</v>
      </c>
      <c r="I236" s="22" t="s">
        <v>60</v>
      </c>
      <c r="J236" s="22" t="s">
        <v>1018</v>
      </c>
      <c r="K236" s="22" t="s">
        <v>525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6">
        <v>54.0</v>
      </c>
      <c r="B237" s="36" t="s">
        <v>300</v>
      </c>
      <c r="C237" s="37" t="s">
        <v>294</v>
      </c>
      <c r="D237" s="36" t="s">
        <v>797</v>
      </c>
      <c r="E237" s="22" t="s">
        <v>76</v>
      </c>
      <c r="F237" s="22" t="s">
        <v>1023</v>
      </c>
      <c r="G237" s="22" t="s">
        <v>59</v>
      </c>
      <c r="H237" s="22" t="s">
        <v>59</v>
      </c>
      <c r="I237" s="22" t="s">
        <v>60</v>
      </c>
      <c r="J237" s="22" t="s">
        <v>330</v>
      </c>
      <c r="K237" s="22" t="s">
        <v>525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6">
        <v>55.0</v>
      </c>
      <c r="B238" s="36" t="s">
        <v>304</v>
      </c>
      <c r="C238" s="37" t="s">
        <v>294</v>
      </c>
      <c r="D238" s="36" t="s">
        <v>216</v>
      </c>
      <c r="E238" s="22" t="s">
        <v>57</v>
      </c>
      <c r="F238" s="22" t="s">
        <v>1024</v>
      </c>
      <c r="G238" s="22" t="s">
        <v>59</v>
      </c>
      <c r="H238" s="22" t="s">
        <v>59</v>
      </c>
      <c r="I238" s="22" t="s">
        <v>60</v>
      </c>
      <c r="J238" s="22" t="s">
        <v>332</v>
      </c>
      <c r="K238" s="22" t="s">
        <v>525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6">
        <v>55.0</v>
      </c>
      <c r="B239" s="36" t="s">
        <v>304</v>
      </c>
      <c r="C239" s="37" t="s">
        <v>294</v>
      </c>
      <c r="D239" s="36" t="s">
        <v>1025</v>
      </c>
      <c r="E239" s="22" t="s">
        <v>57</v>
      </c>
      <c r="F239" s="22" t="s">
        <v>1026</v>
      </c>
      <c r="G239" s="22" t="s">
        <v>59</v>
      </c>
      <c r="H239" s="22" t="s">
        <v>59</v>
      </c>
      <c r="I239" s="22" t="s">
        <v>60</v>
      </c>
      <c r="J239" s="22" t="s">
        <v>1027</v>
      </c>
      <c r="K239" s="22" t="s">
        <v>525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6">
        <v>55.0</v>
      </c>
      <c r="B240" s="36" t="s">
        <v>304</v>
      </c>
      <c r="C240" s="37" t="s">
        <v>294</v>
      </c>
      <c r="D240" s="36" t="s">
        <v>510</v>
      </c>
      <c r="E240" s="22" t="s">
        <v>57</v>
      </c>
      <c r="F240" s="22" t="s">
        <v>1029</v>
      </c>
      <c r="G240" s="22" t="s">
        <v>59</v>
      </c>
      <c r="H240" s="22" t="s">
        <v>59</v>
      </c>
      <c r="I240" s="22" t="s">
        <v>60</v>
      </c>
      <c r="J240" s="22" t="s">
        <v>1030</v>
      </c>
      <c r="K240" s="22" t="s">
        <v>525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6">
        <v>55.0</v>
      </c>
      <c r="B241" s="36" t="s">
        <v>304</v>
      </c>
      <c r="C241" s="37" t="s">
        <v>294</v>
      </c>
      <c r="D241" s="36" t="s">
        <v>1031</v>
      </c>
      <c r="E241" s="22" t="s">
        <v>76</v>
      </c>
      <c r="F241" s="22" t="s">
        <v>1033</v>
      </c>
      <c r="G241" s="22" t="s">
        <v>59</v>
      </c>
      <c r="H241" s="22" t="s">
        <v>59</v>
      </c>
      <c r="I241" s="22" t="s">
        <v>60</v>
      </c>
      <c r="J241" s="22" t="s">
        <v>332</v>
      </c>
      <c r="K241" s="22" t="s">
        <v>537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6">
        <v>55.0</v>
      </c>
      <c r="B242" s="36" t="s">
        <v>304</v>
      </c>
      <c r="C242" s="37" t="s">
        <v>294</v>
      </c>
      <c r="D242" s="36" t="s">
        <v>1034</v>
      </c>
      <c r="E242" s="22" t="s">
        <v>76</v>
      </c>
      <c r="F242" s="22" t="s">
        <v>1035</v>
      </c>
      <c r="G242" s="22" t="s">
        <v>59</v>
      </c>
      <c r="H242" s="22" t="s">
        <v>59</v>
      </c>
      <c r="I242" s="22" t="s">
        <v>60</v>
      </c>
      <c r="J242" s="22" t="s">
        <v>1027</v>
      </c>
      <c r="K242" s="22" t="s">
        <v>525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6">
        <v>56.0</v>
      </c>
      <c r="B243" s="36" t="s">
        <v>247</v>
      </c>
      <c r="C243" s="37" t="s">
        <v>294</v>
      </c>
      <c r="D243" s="36" t="s">
        <v>114</v>
      </c>
      <c r="E243" s="22" t="s">
        <v>57</v>
      </c>
      <c r="F243" s="22" t="s">
        <v>1036</v>
      </c>
      <c r="G243" s="22" t="s">
        <v>59</v>
      </c>
      <c r="H243" s="22" t="s">
        <v>59</v>
      </c>
      <c r="I243" s="22" t="s">
        <v>60</v>
      </c>
      <c r="J243" s="22" t="s">
        <v>335</v>
      </c>
      <c r="K243" s="22" t="s">
        <v>537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6">
        <v>56.0</v>
      </c>
      <c r="B244" s="36" t="s">
        <v>247</v>
      </c>
      <c r="C244" s="37" t="s">
        <v>294</v>
      </c>
      <c r="D244" s="36" t="s">
        <v>106</v>
      </c>
      <c r="E244" s="22" t="s">
        <v>57</v>
      </c>
      <c r="F244" s="22" t="s">
        <v>1038</v>
      </c>
      <c r="G244" s="22" t="s">
        <v>59</v>
      </c>
      <c r="H244" s="22" t="s">
        <v>59</v>
      </c>
      <c r="I244" s="22" t="s">
        <v>60</v>
      </c>
      <c r="J244" s="22" t="s">
        <v>1039</v>
      </c>
      <c r="K244" s="22" t="s">
        <v>525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6">
        <v>56.0</v>
      </c>
      <c r="B245" s="36" t="s">
        <v>247</v>
      </c>
      <c r="C245" s="37" t="s">
        <v>294</v>
      </c>
      <c r="D245" s="36" t="s">
        <v>115</v>
      </c>
      <c r="E245" s="22" t="s">
        <v>57</v>
      </c>
      <c r="F245" s="22" t="s">
        <v>1040</v>
      </c>
      <c r="G245" s="22" t="s">
        <v>59</v>
      </c>
      <c r="H245" s="22" t="s">
        <v>59</v>
      </c>
      <c r="I245" s="22" t="s">
        <v>60</v>
      </c>
      <c r="J245" s="22" t="s">
        <v>335</v>
      </c>
      <c r="K245" s="22" t="s">
        <v>537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6">
        <v>56.0</v>
      </c>
      <c r="B246" s="36" t="s">
        <v>247</v>
      </c>
      <c r="C246" s="37" t="s">
        <v>294</v>
      </c>
      <c r="D246" s="36" t="s">
        <v>323</v>
      </c>
      <c r="E246" s="22" t="s">
        <v>76</v>
      </c>
      <c r="F246" s="22" t="s">
        <v>1041</v>
      </c>
      <c r="G246" s="22" t="s">
        <v>59</v>
      </c>
      <c r="H246" s="22" t="s">
        <v>59</v>
      </c>
      <c r="I246" s="22" t="s">
        <v>60</v>
      </c>
      <c r="J246" s="22" t="s">
        <v>1039</v>
      </c>
      <c r="K246" s="22" t="s">
        <v>525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6">
        <v>56.0</v>
      </c>
      <c r="B247" s="36" t="s">
        <v>247</v>
      </c>
      <c r="C247" s="37" t="s">
        <v>294</v>
      </c>
      <c r="D247" s="36" t="s">
        <v>1031</v>
      </c>
      <c r="E247" s="22" t="s">
        <v>76</v>
      </c>
      <c r="F247" s="22" t="s">
        <v>1042</v>
      </c>
      <c r="G247" s="22" t="s">
        <v>59</v>
      </c>
      <c r="H247" s="22" t="s">
        <v>59</v>
      </c>
      <c r="I247" s="22" t="s">
        <v>60</v>
      </c>
      <c r="J247" s="22" t="s">
        <v>335</v>
      </c>
      <c r="K247" s="22" t="s">
        <v>537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6">
        <v>57.0</v>
      </c>
      <c r="B248" s="36" t="s">
        <v>316</v>
      </c>
      <c r="C248" s="37" t="s">
        <v>318</v>
      </c>
      <c r="D248" s="36" t="s">
        <v>1044</v>
      </c>
      <c r="E248" s="22" t="s">
        <v>57</v>
      </c>
      <c r="F248" s="22" t="s">
        <v>1045</v>
      </c>
      <c r="G248" s="22" t="s">
        <v>59</v>
      </c>
      <c r="H248" s="22" t="s">
        <v>59</v>
      </c>
      <c r="I248" s="22" t="s">
        <v>60</v>
      </c>
      <c r="J248" s="22" t="s">
        <v>340</v>
      </c>
      <c r="K248" s="22" t="s">
        <v>525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6">
        <v>57.0</v>
      </c>
      <c r="B249" s="36" t="s">
        <v>316</v>
      </c>
      <c r="C249" s="37" t="s">
        <v>318</v>
      </c>
      <c r="D249" s="36" t="s">
        <v>1046</v>
      </c>
      <c r="E249" s="22" t="s">
        <v>57</v>
      </c>
      <c r="F249" s="22" t="s">
        <v>1047</v>
      </c>
      <c r="G249" s="22" t="s">
        <v>59</v>
      </c>
      <c r="H249" s="22" t="s">
        <v>59</v>
      </c>
      <c r="I249" s="22" t="s">
        <v>60</v>
      </c>
      <c r="J249" s="22" t="s">
        <v>1048</v>
      </c>
      <c r="K249" s="22" t="s">
        <v>525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6">
        <v>57.0</v>
      </c>
      <c r="B250" s="36" t="s">
        <v>316</v>
      </c>
      <c r="C250" s="37" t="s">
        <v>318</v>
      </c>
      <c r="D250" s="36" t="s">
        <v>1049</v>
      </c>
      <c r="E250" s="22" t="s">
        <v>57</v>
      </c>
      <c r="F250" s="22" t="s">
        <v>1051</v>
      </c>
      <c r="G250" s="22" t="s">
        <v>59</v>
      </c>
      <c r="H250" s="22" t="s">
        <v>59</v>
      </c>
      <c r="I250" s="22" t="s">
        <v>60</v>
      </c>
      <c r="J250" s="22" t="s">
        <v>1052</v>
      </c>
      <c r="K250" s="22" t="s">
        <v>525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6">
        <v>57.0</v>
      </c>
      <c r="B251" s="36" t="s">
        <v>316</v>
      </c>
      <c r="C251" s="37" t="s">
        <v>318</v>
      </c>
      <c r="D251" s="36" t="s">
        <v>1053</v>
      </c>
      <c r="E251" s="22" t="s">
        <v>57</v>
      </c>
      <c r="F251" s="22" t="s">
        <v>1055</v>
      </c>
      <c r="G251" s="22" t="s">
        <v>59</v>
      </c>
      <c r="H251" s="22" t="s">
        <v>59</v>
      </c>
      <c r="I251" s="22" t="s">
        <v>60</v>
      </c>
      <c r="J251" s="22" t="s">
        <v>1056</v>
      </c>
      <c r="K251" s="22" t="s">
        <v>525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6">
        <v>57.0</v>
      </c>
      <c r="B252" s="36" t="s">
        <v>316</v>
      </c>
      <c r="C252" s="37" t="s">
        <v>318</v>
      </c>
      <c r="D252" s="36" t="s">
        <v>1057</v>
      </c>
      <c r="E252" s="22" t="s">
        <v>76</v>
      </c>
      <c r="F252" s="22" t="s">
        <v>1058</v>
      </c>
      <c r="G252" s="22" t="s">
        <v>59</v>
      </c>
      <c r="H252" s="22" t="s">
        <v>59</v>
      </c>
      <c r="I252" s="22" t="s">
        <v>60</v>
      </c>
      <c r="J252" s="22" t="s">
        <v>340</v>
      </c>
      <c r="K252" s="22" t="s">
        <v>537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6">
        <v>58.0</v>
      </c>
      <c r="B253" s="36" t="s">
        <v>128</v>
      </c>
      <c r="C253" s="37" t="s">
        <v>318</v>
      </c>
      <c r="D253" s="36" t="s">
        <v>132</v>
      </c>
      <c r="E253" s="22" t="s">
        <v>57</v>
      </c>
      <c r="F253" s="22" t="s">
        <v>1060</v>
      </c>
      <c r="G253" s="22" t="s">
        <v>59</v>
      </c>
      <c r="H253" s="22" t="s">
        <v>59</v>
      </c>
      <c r="I253" s="22" t="s">
        <v>60</v>
      </c>
      <c r="J253" s="22" t="s">
        <v>347</v>
      </c>
      <c r="K253" s="22" t="s">
        <v>525</v>
      </c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6">
        <v>58.0</v>
      </c>
      <c r="B254" s="36" t="s">
        <v>128</v>
      </c>
      <c r="C254" s="37" t="s">
        <v>318</v>
      </c>
      <c r="D254" s="36" t="s">
        <v>1061</v>
      </c>
      <c r="E254" s="22" t="s">
        <v>57</v>
      </c>
      <c r="F254" s="22" t="s">
        <v>1062</v>
      </c>
      <c r="G254" s="22" t="s">
        <v>59</v>
      </c>
      <c r="H254" s="22" t="s">
        <v>59</v>
      </c>
      <c r="I254" s="22" t="s">
        <v>60</v>
      </c>
      <c r="J254" s="22" t="s">
        <v>1063</v>
      </c>
      <c r="K254" s="22" t="s">
        <v>525</v>
      </c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6">
        <v>58.0</v>
      </c>
      <c r="B255" s="36" t="s">
        <v>128</v>
      </c>
      <c r="C255" s="37" t="s">
        <v>318</v>
      </c>
      <c r="D255" s="36" t="s">
        <v>1064</v>
      </c>
      <c r="E255" s="22" t="s">
        <v>57</v>
      </c>
      <c r="F255" s="22" t="s">
        <v>1065</v>
      </c>
      <c r="G255" s="22" t="s">
        <v>59</v>
      </c>
      <c r="H255" s="22" t="s">
        <v>59</v>
      </c>
      <c r="I255" s="22" t="s">
        <v>60</v>
      </c>
      <c r="J255" s="22" t="s">
        <v>1066</v>
      </c>
      <c r="K255" s="22" t="s">
        <v>525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6">
        <v>58.0</v>
      </c>
      <c r="B256" s="36" t="s">
        <v>128</v>
      </c>
      <c r="C256" s="37" t="s">
        <v>318</v>
      </c>
      <c r="D256" s="36" t="s">
        <v>624</v>
      </c>
      <c r="E256" s="22" t="s">
        <v>57</v>
      </c>
      <c r="F256" s="22" t="s">
        <v>1067</v>
      </c>
      <c r="G256" s="22" t="s">
        <v>59</v>
      </c>
      <c r="H256" s="22" t="s">
        <v>59</v>
      </c>
      <c r="I256" s="22" t="s">
        <v>60</v>
      </c>
      <c r="J256" s="22" t="s">
        <v>1068</v>
      </c>
      <c r="K256" s="22" t="s">
        <v>525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6">
        <v>58.0</v>
      </c>
      <c r="B257" s="36" t="s">
        <v>128</v>
      </c>
      <c r="C257" s="37" t="s">
        <v>318</v>
      </c>
      <c r="D257" s="36" t="s">
        <v>1069</v>
      </c>
      <c r="E257" s="22" t="s">
        <v>76</v>
      </c>
      <c r="F257" s="22" t="s">
        <v>1070</v>
      </c>
      <c r="G257" s="22" t="s">
        <v>59</v>
      </c>
      <c r="H257" s="22" t="s">
        <v>59</v>
      </c>
      <c r="I257" s="22" t="s">
        <v>60</v>
      </c>
      <c r="J257" s="22" t="s">
        <v>347</v>
      </c>
      <c r="K257" s="22" t="s">
        <v>525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6">
        <v>59.0</v>
      </c>
      <c r="B258" s="36" t="s">
        <v>90</v>
      </c>
      <c r="C258" s="37" t="s">
        <v>318</v>
      </c>
      <c r="D258" s="36" t="s">
        <v>1072</v>
      </c>
      <c r="E258" s="22" t="s">
        <v>57</v>
      </c>
      <c r="F258" s="22" t="s">
        <v>1073</v>
      </c>
      <c r="G258" s="22" t="s">
        <v>59</v>
      </c>
      <c r="H258" s="22" t="s">
        <v>59</v>
      </c>
      <c r="I258" s="22" t="s">
        <v>60</v>
      </c>
      <c r="J258" s="22" t="s">
        <v>352</v>
      </c>
      <c r="K258" s="22" t="s">
        <v>525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6">
        <v>59.0</v>
      </c>
      <c r="B259" s="36" t="s">
        <v>90</v>
      </c>
      <c r="C259" s="37" t="s">
        <v>318</v>
      </c>
      <c r="D259" s="36" t="s">
        <v>1074</v>
      </c>
      <c r="E259" s="22" t="s">
        <v>57</v>
      </c>
      <c r="F259" s="22" t="s">
        <v>1075</v>
      </c>
      <c r="G259" s="22" t="s">
        <v>59</v>
      </c>
      <c r="H259" s="22" t="s">
        <v>59</v>
      </c>
      <c r="I259" s="22" t="s">
        <v>60</v>
      </c>
      <c r="J259" s="22" t="s">
        <v>1077</v>
      </c>
      <c r="K259" s="22" t="s">
        <v>525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6">
        <v>59.0</v>
      </c>
      <c r="B260" s="36" t="s">
        <v>90</v>
      </c>
      <c r="C260" s="37" t="s">
        <v>318</v>
      </c>
      <c r="D260" s="36" t="s">
        <v>1078</v>
      </c>
      <c r="E260" s="22" t="s">
        <v>76</v>
      </c>
      <c r="F260" s="22" t="s">
        <v>1079</v>
      </c>
      <c r="G260" s="22" t="s">
        <v>59</v>
      </c>
      <c r="H260" s="22" t="s">
        <v>59</v>
      </c>
      <c r="I260" s="22" t="s">
        <v>60</v>
      </c>
      <c r="J260" s="22" t="s">
        <v>1080</v>
      </c>
      <c r="K260" s="22" t="s">
        <v>525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6">
        <v>60.0</v>
      </c>
      <c r="B261" s="36" t="s">
        <v>212</v>
      </c>
      <c r="C261" s="37" t="s">
        <v>327</v>
      </c>
      <c r="D261" s="36" t="s">
        <v>1081</v>
      </c>
      <c r="E261" s="22" t="s">
        <v>57</v>
      </c>
      <c r="F261" s="22" t="s">
        <v>1083</v>
      </c>
      <c r="G261" s="22" t="s">
        <v>59</v>
      </c>
      <c r="H261" s="22" t="s">
        <v>59</v>
      </c>
      <c r="I261" s="22" t="s">
        <v>60</v>
      </c>
      <c r="J261" s="22" t="s">
        <v>358</v>
      </c>
      <c r="K261" s="22" t="s">
        <v>525</v>
      </c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6">
        <v>60.0</v>
      </c>
      <c r="B262" s="36" t="s">
        <v>212</v>
      </c>
      <c r="C262" s="37" t="s">
        <v>327</v>
      </c>
      <c r="D262" s="36" t="s">
        <v>1085</v>
      </c>
      <c r="E262" s="22" t="s">
        <v>57</v>
      </c>
      <c r="F262" s="22" t="s">
        <v>1087</v>
      </c>
      <c r="G262" s="22" t="s">
        <v>59</v>
      </c>
      <c r="H262" s="22" t="s">
        <v>59</v>
      </c>
      <c r="I262" s="22" t="s">
        <v>60</v>
      </c>
      <c r="J262" s="22" t="s">
        <v>1088</v>
      </c>
      <c r="K262" s="22" t="s">
        <v>525</v>
      </c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6">
        <v>60.0</v>
      </c>
      <c r="B263" s="36" t="s">
        <v>212</v>
      </c>
      <c r="C263" s="37" t="s">
        <v>327</v>
      </c>
      <c r="D263" s="36" t="s">
        <v>1089</v>
      </c>
      <c r="E263" s="22" t="s">
        <v>57</v>
      </c>
      <c r="F263" s="22" t="s">
        <v>1090</v>
      </c>
      <c r="G263" s="22" t="s">
        <v>59</v>
      </c>
      <c r="H263" s="22" t="s">
        <v>59</v>
      </c>
      <c r="I263" s="22" t="s">
        <v>60</v>
      </c>
      <c r="J263" s="22" t="s">
        <v>1091</v>
      </c>
      <c r="K263" s="22" t="s">
        <v>525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6">
        <v>60.0</v>
      </c>
      <c r="B264" s="36" t="s">
        <v>212</v>
      </c>
      <c r="C264" s="37" t="s">
        <v>327</v>
      </c>
      <c r="D264" s="36" t="s">
        <v>1093</v>
      </c>
      <c r="E264" s="22" t="s">
        <v>57</v>
      </c>
      <c r="F264" s="22" t="s">
        <v>1094</v>
      </c>
      <c r="G264" s="22" t="s">
        <v>59</v>
      </c>
      <c r="H264" s="22" t="s">
        <v>59</v>
      </c>
      <c r="I264" s="22" t="s">
        <v>60</v>
      </c>
      <c r="J264" s="22" t="s">
        <v>358</v>
      </c>
      <c r="K264" s="22" t="s">
        <v>525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6">
        <v>60.0</v>
      </c>
      <c r="B265" s="36" t="s">
        <v>212</v>
      </c>
      <c r="C265" s="37" t="s">
        <v>327</v>
      </c>
      <c r="D265" s="36" t="s">
        <v>1095</v>
      </c>
      <c r="E265" s="22" t="s">
        <v>76</v>
      </c>
      <c r="F265" s="22" t="s">
        <v>1097</v>
      </c>
      <c r="G265" s="22" t="s">
        <v>59</v>
      </c>
      <c r="H265" s="22" t="s">
        <v>59</v>
      </c>
      <c r="I265" s="22" t="s">
        <v>60</v>
      </c>
      <c r="J265" s="22" t="s">
        <v>1088</v>
      </c>
      <c r="K265" s="22" t="s">
        <v>525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6">
        <v>61.0</v>
      </c>
      <c r="B266" s="36" t="s">
        <v>331</v>
      </c>
      <c r="C266" s="37" t="s">
        <v>327</v>
      </c>
      <c r="D266" s="36" t="s">
        <v>1099</v>
      </c>
      <c r="E266" s="22" t="s">
        <v>57</v>
      </c>
      <c r="F266" s="22" t="s">
        <v>1101</v>
      </c>
      <c r="G266" s="22" t="s">
        <v>59</v>
      </c>
      <c r="H266" s="22" t="s">
        <v>59</v>
      </c>
      <c r="I266" s="22" t="s">
        <v>60</v>
      </c>
      <c r="J266" s="22" t="s">
        <v>364</v>
      </c>
      <c r="K266" s="22" t="s">
        <v>525</v>
      </c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6">
        <v>61.0</v>
      </c>
      <c r="B267" s="36" t="s">
        <v>331</v>
      </c>
      <c r="C267" s="37" t="s">
        <v>327</v>
      </c>
      <c r="D267" s="36" t="s">
        <v>1102</v>
      </c>
      <c r="E267" s="22" t="s">
        <v>57</v>
      </c>
      <c r="F267" s="22" t="s">
        <v>1103</v>
      </c>
      <c r="G267" s="22" t="s">
        <v>59</v>
      </c>
      <c r="H267" s="22" t="s">
        <v>59</v>
      </c>
      <c r="I267" s="22" t="s">
        <v>60</v>
      </c>
      <c r="J267" s="22" t="s">
        <v>1104</v>
      </c>
      <c r="K267" s="22" t="s">
        <v>525</v>
      </c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6">
        <v>61.0</v>
      </c>
      <c r="B268" s="36" t="s">
        <v>331</v>
      </c>
      <c r="C268" s="37" t="s">
        <v>327</v>
      </c>
      <c r="D268" s="36" t="s">
        <v>559</v>
      </c>
      <c r="E268" s="22" t="s">
        <v>57</v>
      </c>
      <c r="F268" s="22" t="s">
        <v>1106</v>
      </c>
      <c r="G268" s="22" t="s">
        <v>59</v>
      </c>
      <c r="H268" s="22" t="s">
        <v>59</v>
      </c>
      <c r="I268" s="22" t="s">
        <v>60</v>
      </c>
      <c r="J268" s="22" t="s">
        <v>364</v>
      </c>
      <c r="K268" s="22" t="s">
        <v>525</v>
      </c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6">
        <v>61.0</v>
      </c>
      <c r="B269" s="36" t="s">
        <v>331</v>
      </c>
      <c r="C269" s="37" t="s">
        <v>327</v>
      </c>
      <c r="D269" s="36" t="s">
        <v>1108</v>
      </c>
      <c r="E269" s="22" t="s">
        <v>76</v>
      </c>
      <c r="F269" s="22" t="s">
        <v>1109</v>
      </c>
      <c r="G269" s="22" t="s">
        <v>59</v>
      </c>
      <c r="H269" s="22" t="s">
        <v>59</v>
      </c>
      <c r="I269" s="22" t="s">
        <v>60</v>
      </c>
      <c r="J269" s="22" t="s">
        <v>1104</v>
      </c>
      <c r="K269" s="22" t="s">
        <v>525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6">
        <v>61.0</v>
      </c>
      <c r="B270" s="36" t="s">
        <v>331</v>
      </c>
      <c r="C270" s="37" t="s">
        <v>327</v>
      </c>
      <c r="D270" s="36" t="s">
        <v>1110</v>
      </c>
      <c r="E270" s="22" t="s">
        <v>76</v>
      </c>
      <c r="F270" s="22" t="s">
        <v>1111</v>
      </c>
      <c r="G270" s="22" t="s">
        <v>59</v>
      </c>
      <c r="H270" s="22" t="s">
        <v>59</v>
      </c>
      <c r="I270" s="22" t="s">
        <v>60</v>
      </c>
      <c r="J270" s="22" t="s">
        <v>364</v>
      </c>
      <c r="K270" s="22" t="s">
        <v>525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6">
        <v>62.0</v>
      </c>
      <c r="B271" s="36" t="s">
        <v>334</v>
      </c>
      <c r="C271" s="37" t="s">
        <v>327</v>
      </c>
      <c r="D271" s="36" t="s">
        <v>1113</v>
      </c>
      <c r="E271" s="22" t="s">
        <v>57</v>
      </c>
      <c r="F271" s="22" t="s">
        <v>1114</v>
      </c>
      <c r="G271" s="22" t="s">
        <v>59</v>
      </c>
      <c r="H271" s="22" t="s">
        <v>59</v>
      </c>
      <c r="I271" s="22" t="s">
        <v>60</v>
      </c>
      <c r="J271" s="22" t="s">
        <v>371</v>
      </c>
      <c r="K271" s="22" t="s">
        <v>525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6">
        <v>62.0</v>
      </c>
      <c r="B272" s="36" t="s">
        <v>334</v>
      </c>
      <c r="C272" s="37" t="s">
        <v>327</v>
      </c>
      <c r="D272" s="36" t="s">
        <v>1115</v>
      </c>
      <c r="E272" s="22" t="s">
        <v>57</v>
      </c>
      <c r="F272" s="22" t="s">
        <v>1117</v>
      </c>
      <c r="G272" s="22" t="s">
        <v>59</v>
      </c>
      <c r="H272" s="22" t="s">
        <v>59</v>
      </c>
      <c r="I272" s="22" t="s">
        <v>60</v>
      </c>
      <c r="J272" s="22" t="s">
        <v>1118</v>
      </c>
      <c r="K272" s="22" t="s">
        <v>525</v>
      </c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6">
        <v>62.0</v>
      </c>
      <c r="B273" s="36" t="s">
        <v>334</v>
      </c>
      <c r="C273" s="37" t="s">
        <v>327</v>
      </c>
      <c r="D273" s="36" t="s">
        <v>1120</v>
      </c>
      <c r="E273" s="22" t="s">
        <v>57</v>
      </c>
      <c r="F273" s="22" t="s">
        <v>1122</v>
      </c>
      <c r="G273" s="22" t="s">
        <v>59</v>
      </c>
      <c r="H273" s="22" t="s">
        <v>59</v>
      </c>
      <c r="I273" s="22" t="s">
        <v>60</v>
      </c>
      <c r="J273" s="22" t="s">
        <v>371</v>
      </c>
      <c r="K273" s="22" t="s">
        <v>525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6">
        <v>62.0</v>
      </c>
      <c r="B274" s="36" t="s">
        <v>334</v>
      </c>
      <c r="C274" s="37" t="s">
        <v>327</v>
      </c>
      <c r="D274" s="36" t="s">
        <v>1123</v>
      </c>
      <c r="E274" s="22" t="s">
        <v>76</v>
      </c>
      <c r="F274" s="22" t="s">
        <v>1124</v>
      </c>
      <c r="G274" s="22" t="s">
        <v>59</v>
      </c>
      <c r="H274" s="22" t="s">
        <v>59</v>
      </c>
      <c r="I274" s="22" t="s">
        <v>60</v>
      </c>
      <c r="J274" s="22" t="s">
        <v>1118</v>
      </c>
      <c r="K274" s="22" t="s">
        <v>537</v>
      </c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6">
        <v>62.0</v>
      </c>
      <c r="B275" s="36" t="s">
        <v>334</v>
      </c>
      <c r="C275" s="37" t="s">
        <v>327</v>
      </c>
      <c r="D275" s="36" t="s">
        <v>1125</v>
      </c>
      <c r="E275" s="22" t="s">
        <v>76</v>
      </c>
      <c r="F275" s="22" t="s">
        <v>1127</v>
      </c>
      <c r="G275" s="22" t="s">
        <v>59</v>
      </c>
      <c r="H275" s="22" t="s">
        <v>59</v>
      </c>
      <c r="I275" s="22" t="s">
        <v>60</v>
      </c>
      <c r="J275" s="22" t="s">
        <v>371</v>
      </c>
      <c r="K275" s="22" t="s">
        <v>537</v>
      </c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6">
        <v>63.0</v>
      </c>
      <c r="B276" s="36" t="s">
        <v>337</v>
      </c>
      <c r="C276" s="37" t="s">
        <v>327</v>
      </c>
      <c r="D276" s="36" t="s">
        <v>1128</v>
      </c>
      <c r="E276" s="22" t="s">
        <v>57</v>
      </c>
      <c r="F276" s="22" t="s">
        <v>1129</v>
      </c>
      <c r="G276" s="22" t="s">
        <v>59</v>
      </c>
      <c r="H276" s="22" t="s">
        <v>59</v>
      </c>
      <c r="I276" s="22" t="s">
        <v>60</v>
      </c>
      <c r="J276" s="22" t="s">
        <v>377</v>
      </c>
      <c r="K276" s="22" t="s">
        <v>525</v>
      </c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6">
        <v>63.0</v>
      </c>
      <c r="B277" s="36" t="s">
        <v>337</v>
      </c>
      <c r="C277" s="37" t="s">
        <v>327</v>
      </c>
      <c r="D277" s="36" t="s">
        <v>583</v>
      </c>
      <c r="E277" s="22" t="s">
        <v>57</v>
      </c>
      <c r="F277" s="22" t="s">
        <v>1130</v>
      </c>
      <c r="G277" s="22" t="s">
        <v>59</v>
      </c>
      <c r="H277" s="22" t="s">
        <v>59</v>
      </c>
      <c r="I277" s="22" t="s">
        <v>60</v>
      </c>
      <c r="J277" s="22" t="s">
        <v>1131</v>
      </c>
      <c r="K277" s="22" t="s">
        <v>525</v>
      </c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6">
        <v>63.0</v>
      </c>
      <c r="B278" s="36" t="s">
        <v>337</v>
      </c>
      <c r="C278" s="37" t="s">
        <v>327</v>
      </c>
      <c r="D278" s="36" t="s">
        <v>1123</v>
      </c>
      <c r="E278" s="22" t="s">
        <v>57</v>
      </c>
      <c r="F278" s="22" t="s">
        <v>1133</v>
      </c>
      <c r="G278" s="22" t="s">
        <v>59</v>
      </c>
      <c r="H278" s="22" t="s">
        <v>59</v>
      </c>
      <c r="I278" s="22" t="s">
        <v>60</v>
      </c>
      <c r="J278" s="22" t="s">
        <v>377</v>
      </c>
      <c r="K278" s="22" t="s">
        <v>537</v>
      </c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6">
        <v>63.0</v>
      </c>
      <c r="B279" s="36" t="s">
        <v>337</v>
      </c>
      <c r="C279" s="37" t="s">
        <v>327</v>
      </c>
      <c r="D279" s="36" t="s">
        <v>1125</v>
      </c>
      <c r="E279" s="22" t="s">
        <v>57</v>
      </c>
      <c r="F279" s="22" t="s">
        <v>1134</v>
      </c>
      <c r="G279" s="22" t="s">
        <v>59</v>
      </c>
      <c r="H279" s="22" t="s">
        <v>59</v>
      </c>
      <c r="I279" s="22" t="s">
        <v>60</v>
      </c>
      <c r="J279" s="22" t="s">
        <v>1131</v>
      </c>
      <c r="K279" s="22" t="s">
        <v>537</v>
      </c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6">
        <v>63.0</v>
      </c>
      <c r="B280" s="36" t="s">
        <v>337</v>
      </c>
      <c r="C280" s="37" t="s">
        <v>327</v>
      </c>
      <c r="D280" s="36" t="s">
        <v>1135</v>
      </c>
      <c r="E280" s="22" t="s">
        <v>76</v>
      </c>
      <c r="F280" s="22" t="s">
        <v>1136</v>
      </c>
      <c r="G280" s="22" t="s">
        <v>59</v>
      </c>
      <c r="H280" s="22" t="s">
        <v>59</v>
      </c>
      <c r="I280" s="22" t="s">
        <v>60</v>
      </c>
      <c r="J280" s="22" t="s">
        <v>377</v>
      </c>
      <c r="K280" s="22" t="s">
        <v>537</v>
      </c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6">
        <v>64.0</v>
      </c>
      <c r="B281" s="36" t="s">
        <v>344</v>
      </c>
      <c r="C281" s="37" t="s">
        <v>327</v>
      </c>
      <c r="D281" s="36" t="s">
        <v>1137</v>
      </c>
      <c r="E281" s="22" t="s">
        <v>57</v>
      </c>
      <c r="F281" s="22" t="s">
        <v>1138</v>
      </c>
      <c r="G281" s="22" t="s">
        <v>59</v>
      </c>
      <c r="H281" s="22" t="s">
        <v>59</v>
      </c>
      <c r="I281" s="22" t="s">
        <v>60</v>
      </c>
      <c r="J281" s="22" t="s">
        <v>385</v>
      </c>
      <c r="K281" s="22" t="s">
        <v>525</v>
      </c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6">
        <v>64.0</v>
      </c>
      <c r="B282" s="36" t="s">
        <v>344</v>
      </c>
      <c r="C282" s="37" t="s">
        <v>327</v>
      </c>
      <c r="D282" s="36" t="s">
        <v>1140</v>
      </c>
      <c r="E282" s="22" t="s">
        <v>57</v>
      </c>
      <c r="F282" s="22" t="s">
        <v>1141</v>
      </c>
      <c r="G282" s="22" t="s">
        <v>59</v>
      </c>
      <c r="H282" s="22" t="s">
        <v>59</v>
      </c>
      <c r="I282" s="22" t="s">
        <v>60</v>
      </c>
      <c r="J282" s="22" t="s">
        <v>1142</v>
      </c>
      <c r="K282" s="22" t="s">
        <v>525</v>
      </c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6">
        <v>64.0</v>
      </c>
      <c r="B283" s="36" t="s">
        <v>344</v>
      </c>
      <c r="C283" s="37" t="s">
        <v>327</v>
      </c>
      <c r="D283" s="36" t="s">
        <v>461</v>
      </c>
      <c r="E283" s="22" t="s">
        <v>57</v>
      </c>
      <c r="F283" s="22" t="s">
        <v>1143</v>
      </c>
      <c r="G283" s="22" t="s">
        <v>59</v>
      </c>
      <c r="H283" s="22" t="s">
        <v>59</v>
      </c>
      <c r="I283" s="22" t="s">
        <v>60</v>
      </c>
      <c r="J283" s="22" t="s">
        <v>385</v>
      </c>
      <c r="K283" s="22" t="s">
        <v>525</v>
      </c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6">
        <v>64.0</v>
      </c>
      <c r="B284" s="36" t="s">
        <v>344</v>
      </c>
      <c r="C284" s="37" t="s">
        <v>327</v>
      </c>
      <c r="D284" s="36" t="s">
        <v>1144</v>
      </c>
      <c r="E284" s="22" t="s">
        <v>57</v>
      </c>
      <c r="F284" s="22" t="s">
        <v>1145</v>
      </c>
      <c r="G284" s="22" t="s">
        <v>59</v>
      </c>
      <c r="H284" s="22" t="s">
        <v>59</v>
      </c>
      <c r="I284" s="22" t="s">
        <v>60</v>
      </c>
      <c r="J284" s="22" t="s">
        <v>1142</v>
      </c>
      <c r="K284" s="22" t="s">
        <v>525</v>
      </c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6">
        <v>64.0</v>
      </c>
      <c r="B285" s="36" t="s">
        <v>344</v>
      </c>
      <c r="C285" s="37" t="s">
        <v>327</v>
      </c>
      <c r="D285" s="36" t="s">
        <v>1146</v>
      </c>
      <c r="E285" s="22" t="s">
        <v>57</v>
      </c>
      <c r="F285" s="22" t="s">
        <v>1148</v>
      </c>
      <c r="G285" s="22" t="s">
        <v>59</v>
      </c>
      <c r="H285" s="22" t="s">
        <v>59</v>
      </c>
      <c r="I285" s="22" t="s">
        <v>60</v>
      </c>
      <c r="J285" s="22" t="s">
        <v>385</v>
      </c>
      <c r="K285" s="22" t="s">
        <v>525</v>
      </c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6">
        <v>65.0</v>
      </c>
      <c r="B286" s="36" t="s">
        <v>349</v>
      </c>
      <c r="C286" s="37" t="s">
        <v>327</v>
      </c>
      <c r="D286" s="36" t="s">
        <v>1149</v>
      </c>
      <c r="E286" s="22" t="s">
        <v>57</v>
      </c>
      <c r="F286" s="22" t="s">
        <v>1151</v>
      </c>
      <c r="G286" s="22" t="s">
        <v>59</v>
      </c>
      <c r="H286" s="22" t="s">
        <v>59</v>
      </c>
      <c r="I286" s="22" t="s">
        <v>60</v>
      </c>
      <c r="J286" s="22" t="s">
        <v>390</v>
      </c>
      <c r="K286" s="22" t="s">
        <v>525</v>
      </c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6">
        <v>65.0</v>
      </c>
      <c r="B287" s="36" t="s">
        <v>349</v>
      </c>
      <c r="C287" s="37" t="s">
        <v>327</v>
      </c>
      <c r="D287" s="36" t="s">
        <v>1152</v>
      </c>
      <c r="E287" s="22" t="s">
        <v>57</v>
      </c>
      <c r="F287" s="22" t="s">
        <v>1153</v>
      </c>
      <c r="G287" s="22" t="s">
        <v>59</v>
      </c>
      <c r="H287" s="22" t="s">
        <v>59</v>
      </c>
      <c r="I287" s="22" t="s">
        <v>60</v>
      </c>
      <c r="J287" s="22" t="s">
        <v>1154</v>
      </c>
      <c r="K287" s="22" t="s">
        <v>525</v>
      </c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6">
        <v>65.0</v>
      </c>
      <c r="B288" s="36" t="s">
        <v>349</v>
      </c>
      <c r="C288" s="37" t="s">
        <v>327</v>
      </c>
      <c r="D288" s="36" t="s">
        <v>1155</v>
      </c>
      <c r="E288" s="22" t="s">
        <v>57</v>
      </c>
      <c r="F288" s="22" t="s">
        <v>1157</v>
      </c>
      <c r="G288" s="22" t="s">
        <v>59</v>
      </c>
      <c r="H288" s="22" t="s">
        <v>59</v>
      </c>
      <c r="I288" s="22" t="s">
        <v>60</v>
      </c>
      <c r="J288" s="22" t="s">
        <v>390</v>
      </c>
      <c r="K288" s="22" t="s">
        <v>525</v>
      </c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6">
        <v>65.0</v>
      </c>
      <c r="B289" s="36" t="s">
        <v>349</v>
      </c>
      <c r="C289" s="37" t="s">
        <v>327</v>
      </c>
      <c r="D289" s="36" t="s">
        <v>1158</v>
      </c>
      <c r="E289" s="22" t="s">
        <v>57</v>
      </c>
      <c r="F289" s="22" t="s">
        <v>1159</v>
      </c>
      <c r="G289" s="22" t="s">
        <v>59</v>
      </c>
      <c r="H289" s="22" t="s">
        <v>59</v>
      </c>
      <c r="I289" s="22" t="s">
        <v>60</v>
      </c>
      <c r="J289" s="22" t="s">
        <v>1154</v>
      </c>
      <c r="K289" s="22" t="s">
        <v>525</v>
      </c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6">
        <v>65.0</v>
      </c>
      <c r="B290" s="36" t="s">
        <v>349</v>
      </c>
      <c r="C290" s="37" t="s">
        <v>327</v>
      </c>
      <c r="D290" s="36" t="s">
        <v>1160</v>
      </c>
      <c r="E290" s="22" t="s">
        <v>57</v>
      </c>
      <c r="F290" s="22" t="s">
        <v>1161</v>
      </c>
      <c r="G290" s="22" t="s">
        <v>59</v>
      </c>
      <c r="H290" s="22" t="s">
        <v>59</v>
      </c>
      <c r="I290" s="22" t="s">
        <v>60</v>
      </c>
      <c r="J290" s="22" t="s">
        <v>390</v>
      </c>
      <c r="K290" s="22" t="s">
        <v>525</v>
      </c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6">
        <v>66.0</v>
      </c>
      <c r="B291" s="36" t="s">
        <v>355</v>
      </c>
      <c r="C291" s="37" t="s">
        <v>357</v>
      </c>
      <c r="D291" s="36" t="s">
        <v>1163</v>
      </c>
      <c r="E291" s="22" t="s">
        <v>57</v>
      </c>
      <c r="F291" s="22" t="s">
        <v>1164</v>
      </c>
      <c r="G291" s="22" t="s">
        <v>59</v>
      </c>
      <c r="H291" s="22" t="s">
        <v>59</v>
      </c>
      <c r="I291" s="22" t="s">
        <v>60</v>
      </c>
      <c r="J291" s="22" t="s">
        <v>394</v>
      </c>
      <c r="K291" s="22" t="s">
        <v>525</v>
      </c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6">
        <v>66.0</v>
      </c>
      <c r="B292" s="36" t="s">
        <v>355</v>
      </c>
      <c r="C292" s="37" t="s">
        <v>357</v>
      </c>
      <c r="D292" s="36" t="s">
        <v>1166</v>
      </c>
      <c r="E292" s="22" t="s">
        <v>57</v>
      </c>
      <c r="F292" s="22" t="s">
        <v>1168</v>
      </c>
      <c r="G292" s="22" t="s">
        <v>59</v>
      </c>
      <c r="H292" s="22" t="s">
        <v>59</v>
      </c>
      <c r="I292" s="22" t="s">
        <v>60</v>
      </c>
      <c r="J292" s="22" t="s">
        <v>1169</v>
      </c>
      <c r="K292" s="22" t="s">
        <v>525</v>
      </c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6">
        <v>66.0</v>
      </c>
      <c r="B293" s="36" t="s">
        <v>355</v>
      </c>
      <c r="C293" s="37" t="s">
        <v>357</v>
      </c>
      <c r="D293" s="36" t="s">
        <v>1170</v>
      </c>
      <c r="E293" s="22" t="s">
        <v>57</v>
      </c>
      <c r="F293" s="22" t="s">
        <v>1171</v>
      </c>
      <c r="G293" s="22" t="s">
        <v>59</v>
      </c>
      <c r="H293" s="22" t="s">
        <v>59</v>
      </c>
      <c r="I293" s="22" t="s">
        <v>60</v>
      </c>
      <c r="J293" s="22" t="s">
        <v>1172</v>
      </c>
      <c r="K293" s="22" t="s">
        <v>525</v>
      </c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6">
        <v>66.0</v>
      </c>
      <c r="B294" s="36" t="s">
        <v>355</v>
      </c>
      <c r="C294" s="37" t="s">
        <v>357</v>
      </c>
      <c r="D294" s="36" t="s">
        <v>1057</v>
      </c>
      <c r="E294" s="22" t="s">
        <v>76</v>
      </c>
      <c r="F294" s="22" t="s">
        <v>1174</v>
      </c>
      <c r="G294" s="22" t="s">
        <v>59</v>
      </c>
      <c r="H294" s="22" t="s">
        <v>59</v>
      </c>
      <c r="I294" s="22" t="s">
        <v>60</v>
      </c>
      <c r="J294" s="22" t="s">
        <v>394</v>
      </c>
      <c r="K294" s="22" t="s">
        <v>537</v>
      </c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6">
        <v>66.0</v>
      </c>
      <c r="B295" s="36" t="s">
        <v>355</v>
      </c>
      <c r="C295" s="37" t="s">
        <v>357</v>
      </c>
      <c r="D295" s="36" t="s">
        <v>1175</v>
      </c>
      <c r="E295" s="22" t="s">
        <v>76</v>
      </c>
      <c r="F295" s="22" t="s">
        <v>1176</v>
      </c>
      <c r="G295" s="22" t="s">
        <v>59</v>
      </c>
      <c r="H295" s="22" t="s">
        <v>59</v>
      </c>
      <c r="I295" s="22" t="s">
        <v>60</v>
      </c>
      <c r="J295" s="22" t="s">
        <v>1169</v>
      </c>
      <c r="K295" s="22" t="s">
        <v>525</v>
      </c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6">
        <v>67.0</v>
      </c>
      <c r="B296" s="36" t="s">
        <v>361</v>
      </c>
      <c r="C296" s="37" t="s">
        <v>357</v>
      </c>
      <c r="D296" s="36" t="s">
        <v>1177</v>
      </c>
      <c r="E296" s="22" t="s">
        <v>57</v>
      </c>
      <c r="F296" s="22" t="s">
        <v>1178</v>
      </c>
      <c r="G296" s="22" t="s">
        <v>59</v>
      </c>
      <c r="H296" s="22" t="s">
        <v>59</v>
      </c>
      <c r="I296" s="22" t="s">
        <v>60</v>
      </c>
      <c r="J296" s="22" t="s">
        <v>397</v>
      </c>
      <c r="K296" s="22" t="s">
        <v>525</v>
      </c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6">
        <v>67.0</v>
      </c>
      <c r="B297" s="36" t="s">
        <v>361</v>
      </c>
      <c r="C297" s="37" t="s">
        <v>357</v>
      </c>
      <c r="D297" s="36" t="s">
        <v>226</v>
      </c>
      <c r="E297" s="22" t="s">
        <v>57</v>
      </c>
      <c r="F297" s="22" t="s">
        <v>1179</v>
      </c>
      <c r="G297" s="22" t="s">
        <v>59</v>
      </c>
      <c r="H297" s="22" t="s">
        <v>59</v>
      </c>
      <c r="I297" s="22" t="s">
        <v>60</v>
      </c>
      <c r="J297" s="22" t="s">
        <v>1180</v>
      </c>
      <c r="K297" s="22" t="s">
        <v>525</v>
      </c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6">
        <v>67.0</v>
      </c>
      <c r="B298" s="36" t="s">
        <v>361</v>
      </c>
      <c r="C298" s="37" t="s">
        <v>357</v>
      </c>
      <c r="D298" s="36" t="s">
        <v>1181</v>
      </c>
      <c r="E298" s="22" t="s">
        <v>76</v>
      </c>
      <c r="F298" s="22" t="s">
        <v>1182</v>
      </c>
      <c r="G298" s="22" t="s">
        <v>59</v>
      </c>
      <c r="H298" s="22" t="s">
        <v>59</v>
      </c>
      <c r="I298" s="22" t="s">
        <v>60</v>
      </c>
      <c r="J298" s="22" t="s">
        <v>397</v>
      </c>
      <c r="K298" s="22" t="s">
        <v>525</v>
      </c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6">
        <v>67.0</v>
      </c>
      <c r="B299" s="36" t="s">
        <v>361</v>
      </c>
      <c r="C299" s="37" t="s">
        <v>357</v>
      </c>
      <c r="D299" s="36" t="s">
        <v>1135</v>
      </c>
      <c r="E299" s="22" t="s">
        <v>76</v>
      </c>
      <c r="F299" s="22" t="s">
        <v>1183</v>
      </c>
      <c r="G299" s="22" t="s">
        <v>59</v>
      </c>
      <c r="H299" s="22" t="s">
        <v>59</v>
      </c>
      <c r="I299" s="22" t="s">
        <v>60</v>
      </c>
      <c r="J299" s="22" t="s">
        <v>1180</v>
      </c>
      <c r="K299" s="22" t="s">
        <v>537</v>
      </c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6">
        <v>67.0</v>
      </c>
      <c r="B300" s="36" t="s">
        <v>361</v>
      </c>
      <c r="C300" s="37" t="s">
        <v>357</v>
      </c>
      <c r="D300" s="36" t="s">
        <v>1185</v>
      </c>
      <c r="E300" s="22" t="s">
        <v>76</v>
      </c>
      <c r="F300" s="22" t="s">
        <v>1186</v>
      </c>
      <c r="G300" s="22" t="s">
        <v>59</v>
      </c>
      <c r="H300" s="22" t="s">
        <v>59</v>
      </c>
      <c r="I300" s="22" t="s">
        <v>60</v>
      </c>
      <c r="J300" s="22" t="s">
        <v>397</v>
      </c>
      <c r="K300" s="22" t="s">
        <v>525</v>
      </c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6">
        <v>68.0</v>
      </c>
      <c r="B301" s="36" t="s">
        <v>366</v>
      </c>
      <c r="C301" s="37" t="s">
        <v>367</v>
      </c>
      <c r="D301" s="36" t="s">
        <v>1187</v>
      </c>
      <c r="E301" s="22" t="s">
        <v>57</v>
      </c>
      <c r="F301" s="22" t="s">
        <v>1189</v>
      </c>
      <c r="G301" s="22" t="s">
        <v>59</v>
      </c>
      <c r="H301" s="22" t="s">
        <v>59</v>
      </c>
      <c r="I301" s="22" t="s">
        <v>60</v>
      </c>
      <c r="J301" s="22" t="s">
        <v>400</v>
      </c>
      <c r="K301" s="22" t="s">
        <v>1190</v>
      </c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6">
        <v>68.0</v>
      </c>
      <c r="B302" s="36" t="s">
        <v>366</v>
      </c>
      <c r="C302" s="37" t="s">
        <v>367</v>
      </c>
      <c r="D302" s="36" t="s">
        <v>1191</v>
      </c>
      <c r="E302" s="22" t="s">
        <v>57</v>
      </c>
      <c r="F302" s="22" t="s">
        <v>1192</v>
      </c>
      <c r="G302" s="22" t="s">
        <v>59</v>
      </c>
      <c r="H302" s="22" t="s">
        <v>59</v>
      </c>
      <c r="I302" s="22" t="s">
        <v>60</v>
      </c>
      <c r="J302" s="22" t="s">
        <v>1193</v>
      </c>
      <c r="K302" s="22" t="s">
        <v>525</v>
      </c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6">
        <v>68.0</v>
      </c>
      <c r="B303" s="36" t="s">
        <v>366</v>
      </c>
      <c r="C303" s="37" t="s">
        <v>367</v>
      </c>
      <c r="D303" s="36" t="s">
        <v>1194</v>
      </c>
      <c r="E303" s="22" t="s">
        <v>57</v>
      </c>
      <c r="F303" s="22" t="s">
        <v>1195</v>
      </c>
      <c r="G303" s="22" t="s">
        <v>59</v>
      </c>
      <c r="H303" s="22" t="s">
        <v>59</v>
      </c>
      <c r="I303" s="22" t="s">
        <v>60</v>
      </c>
      <c r="J303" s="22" t="s">
        <v>1196</v>
      </c>
      <c r="K303" s="22" t="s">
        <v>525</v>
      </c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6">
        <v>68.0</v>
      </c>
      <c r="B304" s="36" t="s">
        <v>366</v>
      </c>
      <c r="C304" s="37" t="s">
        <v>367</v>
      </c>
      <c r="D304" s="36" t="s">
        <v>1197</v>
      </c>
      <c r="E304" s="22" t="s">
        <v>57</v>
      </c>
      <c r="F304" s="22" t="s">
        <v>1198</v>
      </c>
      <c r="G304" s="22" t="s">
        <v>59</v>
      </c>
      <c r="H304" s="22" t="s">
        <v>59</v>
      </c>
      <c r="I304" s="22" t="s">
        <v>60</v>
      </c>
      <c r="J304" s="22" t="s">
        <v>400</v>
      </c>
      <c r="K304" s="22" t="s">
        <v>525</v>
      </c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6">
        <v>68.0</v>
      </c>
      <c r="B305" s="36" t="s">
        <v>366</v>
      </c>
      <c r="C305" s="37" t="s">
        <v>367</v>
      </c>
      <c r="D305" s="36" t="s">
        <v>1199</v>
      </c>
      <c r="E305" s="22" t="s">
        <v>76</v>
      </c>
      <c r="F305" s="22" t="s">
        <v>1200</v>
      </c>
      <c r="G305" s="22" t="s">
        <v>59</v>
      </c>
      <c r="H305" s="22" t="s">
        <v>59</v>
      </c>
      <c r="I305" s="22" t="s">
        <v>60</v>
      </c>
      <c r="J305" s="22" t="s">
        <v>1193</v>
      </c>
      <c r="K305" s="22" t="s">
        <v>525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6">
        <v>69.0</v>
      </c>
      <c r="B306" s="36" t="s">
        <v>370</v>
      </c>
      <c r="C306" s="37" t="s">
        <v>367</v>
      </c>
      <c r="D306" s="36" t="s">
        <v>1201</v>
      </c>
      <c r="E306" s="22" t="s">
        <v>57</v>
      </c>
      <c r="F306" s="22" t="s">
        <v>1202</v>
      </c>
      <c r="G306" s="22" t="s">
        <v>59</v>
      </c>
      <c r="H306" s="22" t="s">
        <v>59</v>
      </c>
      <c r="I306" s="22" t="s">
        <v>60</v>
      </c>
      <c r="J306" s="22" t="s">
        <v>401</v>
      </c>
      <c r="K306" s="22" t="s">
        <v>525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6">
        <v>69.0</v>
      </c>
      <c r="B307" s="36" t="s">
        <v>370</v>
      </c>
      <c r="C307" s="37" t="s">
        <v>367</v>
      </c>
      <c r="D307" s="36" t="s">
        <v>684</v>
      </c>
      <c r="E307" s="22" t="s">
        <v>57</v>
      </c>
      <c r="F307" s="22" t="s">
        <v>1203</v>
      </c>
      <c r="G307" s="22" t="s">
        <v>59</v>
      </c>
      <c r="H307" s="22" t="s">
        <v>59</v>
      </c>
      <c r="I307" s="22" t="s">
        <v>60</v>
      </c>
      <c r="J307" s="22" t="s">
        <v>1204</v>
      </c>
      <c r="K307" s="22" t="s">
        <v>525</v>
      </c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6">
        <v>69.0</v>
      </c>
      <c r="B308" s="36" t="s">
        <v>370</v>
      </c>
      <c r="C308" s="37" t="s">
        <v>367</v>
      </c>
      <c r="D308" s="36" t="s">
        <v>728</v>
      </c>
      <c r="E308" s="22" t="s">
        <v>57</v>
      </c>
      <c r="F308" s="22" t="s">
        <v>1205</v>
      </c>
      <c r="G308" s="22" t="s">
        <v>59</v>
      </c>
      <c r="H308" s="22" t="s">
        <v>59</v>
      </c>
      <c r="I308" s="22" t="s">
        <v>60</v>
      </c>
      <c r="J308" s="22" t="s">
        <v>401</v>
      </c>
      <c r="K308" s="22" t="s">
        <v>537</v>
      </c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6">
        <v>69.0</v>
      </c>
      <c r="B309" s="36" t="s">
        <v>370</v>
      </c>
      <c r="C309" s="37" t="s">
        <v>367</v>
      </c>
      <c r="D309" s="36" t="s">
        <v>614</v>
      </c>
      <c r="E309" s="22" t="s">
        <v>76</v>
      </c>
      <c r="F309" s="22" t="s">
        <v>1206</v>
      </c>
      <c r="G309" s="22" t="s">
        <v>59</v>
      </c>
      <c r="H309" s="22" t="s">
        <v>59</v>
      </c>
      <c r="I309" s="22" t="s">
        <v>60</v>
      </c>
      <c r="J309" s="22" t="s">
        <v>1204</v>
      </c>
      <c r="K309" s="22" t="s">
        <v>537</v>
      </c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6">
        <v>69.0</v>
      </c>
      <c r="B310" s="36" t="s">
        <v>370</v>
      </c>
      <c r="C310" s="37" t="s">
        <v>367</v>
      </c>
      <c r="D310" s="36" t="s">
        <v>1207</v>
      </c>
      <c r="E310" s="22" t="s">
        <v>76</v>
      </c>
      <c r="F310" s="22" t="s">
        <v>1209</v>
      </c>
      <c r="G310" s="22" t="s">
        <v>59</v>
      </c>
      <c r="H310" s="22" t="s">
        <v>59</v>
      </c>
      <c r="I310" s="22" t="s">
        <v>60</v>
      </c>
      <c r="J310" s="22" t="s">
        <v>401</v>
      </c>
      <c r="K310" s="22" t="s">
        <v>537</v>
      </c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6">
        <v>70.0</v>
      </c>
      <c r="B311" s="36" t="s">
        <v>374</v>
      </c>
      <c r="C311" s="37" t="s">
        <v>367</v>
      </c>
      <c r="D311" s="36" t="s">
        <v>1210</v>
      </c>
      <c r="E311" s="22" t="s">
        <v>57</v>
      </c>
      <c r="F311" s="22" t="s">
        <v>1211</v>
      </c>
      <c r="G311" s="22" t="s">
        <v>59</v>
      </c>
      <c r="H311" s="22" t="s">
        <v>59</v>
      </c>
      <c r="I311" s="22" t="s">
        <v>60</v>
      </c>
      <c r="J311" s="22" t="s">
        <v>405</v>
      </c>
      <c r="K311" s="22" t="s">
        <v>525</v>
      </c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6">
        <v>70.0</v>
      </c>
      <c r="B312" s="36" t="s">
        <v>374</v>
      </c>
      <c r="C312" s="37" t="s">
        <v>367</v>
      </c>
      <c r="D312" s="36" t="s">
        <v>1212</v>
      </c>
      <c r="E312" s="22" t="s">
        <v>57</v>
      </c>
      <c r="F312" s="22" t="s">
        <v>1213</v>
      </c>
      <c r="G312" s="22" t="s">
        <v>59</v>
      </c>
      <c r="H312" s="22" t="s">
        <v>59</v>
      </c>
      <c r="I312" s="22" t="s">
        <v>60</v>
      </c>
      <c r="J312" s="22" t="s">
        <v>1214</v>
      </c>
      <c r="K312" s="22" t="s">
        <v>525</v>
      </c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6">
        <v>70.0</v>
      </c>
      <c r="B313" s="36" t="s">
        <v>374</v>
      </c>
      <c r="C313" s="37" t="s">
        <v>367</v>
      </c>
      <c r="D313" s="36" t="s">
        <v>1215</v>
      </c>
      <c r="E313" s="22" t="s">
        <v>57</v>
      </c>
      <c r="F313" s="22" t="s">
        <v>1216</v>
      </c>
      <c r="G313" s="22" t="s">
        <v>59</v>
      </c>
      <c r="H313" s="22" t="s">
        <v>59</v>
      </c>
      <c r="I313" s="22" t="s">
        <v>60</v>
      </c>
      <c r="J313" s="22" t="s">
        <v>405</v>
      </c>
      <c r="K313" s="22" t="s">
        <v>525</v>
      </c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6">
        <v>70.0</v>
      </c>
      <c r="B314" s="36" t="s">
        <v>374</v>
      </c>
      <c r="C314" s="37" t="s">
        <v>367</v>
      </c>
      <c r="D314" s="36" t="s">
        <v>1217</v>
      </c>
      <c r="E314" s="22" t="s">
        <v>57</v>
      </c>
      <c r="F314" s="22" t="s">
        <v>1218</v>
      </c>
      <c r="G314" s="22" t="s">
        <v>59</v>
      </c>
      <c r="H314" s="22" t="s">
        <v>59</v>
      </c>
      <c r="I314" s="22" t="s">
        <v>60</v>
      </c>
      <c r="J314" s="22" t="s">
        <v>1214</v>
      </c>
      <c r="K314" s="22" t="s">
        <v>525</v>
      </c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6">
        <v>70.0</v>
      </c>
      <c r="B315" s="36" t="s">
        <v>374</v>
      </c>
      <c r="C315" s="37" t="s">
        <v>367</v>
      </c>
      <c r="D315" s="36" t="s">
        <v>1219</v>
      </c>
      <c r="E315" s="22" t="s">
        <v>76</v>
      </c>
      <c r="F315" s="22" t="s">
        <v>1220</v>
      </c>
      <c r="G315" s="22" t="s">
        <v>59</v>
      </c>
      <c r="H315" s="22" t="s">
        <v>59</v>
      </c>
      <c r="I315" s="22" t="s">
        <v>60</v>
      </c>
      <c r="J315" s="22" t="s">
        <v>405</v>
      </c>
      <c r="K315" s="22" t="s">
        <v>525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6">
        <v>71.0</v>
      </c>
      <c r="B316" s="36" t="s">
        <v>382</v>
      </c>
      <c r="C316" s="37" t="s">
        <v>367</v>
      </c>
      <c r="D316" s="36" t="s">
        <v>1032</v>
      </c>
      <c r="E316" s="22" t="s">
        <v>57</v>
      </c>
      <c r="F316" s="22" t="s">
        <v>1222</v>
      </c>
      <c r="G316" s="22" t="s">
        <v>59</v>
      </c>
      <c r="H316" s="22" t="s">
        <v>59</v>
      </c>
      <c r="I316" s="22" t="s">
        <v>60</v>
      </c>
      <c r="J316" s="22" t="s">
        <v>412</v>
      </c>
      <c r="K316" s="22" t="s">
        <v>525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6">
        <v>71.0</v>
      </c>
      <c r="B317" s="36" t="s">
        <v>382</v>
      </c>
      <c r="C317" s="37" t="s">
        <v>367</v>
      </c>
      <c r="D317" s="36" t="s">
        <v>1223</v>
      </c>
      <c r="E317" s="22" t="s">
        <v>57</v>
      </c>
      <c r="F317" s="22" t="s">
        <v>1224</v>
      </c>
      <c r="G317" s="22" t="s">
        <v>59</v>
      </c>
      <c r="H317" s="22" t="s">
        <v>59</v>
      </c>
      <c r="I317" s="22" t="s">
        <v>60</v>
      </c>
      <c r="J317" s="22" t="s">
        <v>1225</v>
      </c>
      <c r="K317" s="22" t="s">
        <v>525</v>
      </c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6">
        <v>71.0</v>
      </c>
      <c r="B318" s="36" t="s">
        <v>382</v>
      </c>
      <c r="C318" s="37" t="s">
        <v>367</v>
      </c>
      <c r="D318" s="36" t="s">
        <v>1226</v>
      </c>
      <c r="E318" s="22" t="s">
        <v>57</v>
      </c>
      <c r="F318" s="22" t="s">
        <v>1227</v>
      </c>
      <c r="G318" s="22" t="s">
        <v>59</v>
      </c>
      <c r="H318" s="22" t="s">
        <v>59</v>
      </c>
      <c r="I318" s="22" t="s">
        <v>60</v>
      </c>
      <c r="J318" s="22" t="s">
        <v>412</v>
      </c>
      <c r="K318" s="22" t="s">
        <v>525</v>
      </c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6">
        <v>71.0</v>
      </c>
      <c r="B319" s="36" t="s">
        <v>382</v>
      </c>
      <c r="C319" s="37" t="s">
        <v>367</v>
      </c>
      <c r="D319" s="36" t="s">
        <v>809</v>
      </c>
      <c r="E319" s="22" t="s">
        <v>57</v>
      </c>
      <c r="F319" s="22" t="s">
        <v>1228</v>
      </c>
      <c r="G319" s="22" t="s">
        <v>59</v>
      </c>
      <c r="H319" s="22" t="s">
        <v>59</v>
      </c>
      <c r="I319" s="22" t="s">
        <v>60</v>
      </c>
      <c r="J319" s="22" t="s">
        <v>1225</v>
      </c>
      <c r="K319" s="22" t="s">
        <v>537</v>
      </c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6">
        <v>71.0</v>
      </c>
      <c r="B320" s="36" t="s">
        <v>382</v>
      </c>
      <c r="C320" s="37" t="s">
        <v>367</v>
      </c>
      <c r="D320" s="36" t="s">
        <v>734</v>
      </c>
      <c r="E320" s="22" t="s">
        <v>76</v>
      </c>
      <c r="F320" s="22" t="s">
        <v>1229</v>
      </c>
      <c r="G320" s="22" t="s">
        <v>59</v>
      </c>
      <c r="H320" s="22" t="s">
        <v>59</v>
      </c>
      <c r="I320" s="22" t="s">
        <v>60</v>
      </c>
      <c r="J320" s="22" t="s">
        <v>412</v>
      </c>
      <c r="K320" s="22" t="s">
        <v>537</v>
      </c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6">
        <v>72.0</v>
      </c>
      <c r="B321" s="36" t="s">
        <v>387</v>
      </c>
      <c r="C321" s="37" t="s">
        <v>367</v>
      </c>
      <c r="D321" s="36" t="s">
        <v>1230</v>
      </c>
      <c r="E321" s="22" t="s">
        <v>57</v>
      </c>
      <c r="F321" s="22" t="s">
        <v>1231</v>
      </c>
      <c r="G321" s="22" t="s">
        <v>59</v>
      </c>
      <c r="H321" s="22" t="s">
        <v>59</v>
      </c>
      <c r="I321" s="22" t="s">
        <v>60</v>
      </c>
      <c r="J321" s="22" t="s">
        <v>418</v>
      </c>
      <c r="K321" s="22" t="s">
        <v>537</v>
      </c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6">
        <v>72.0</v>
      </c>
      <c r="B322" s="36" t="s">
        <v>387</v>
      </c>
      <c r="C322" s="37" t="s">
        <v>367</v>
      </c>
      <c r="D322" s="36" t="s">
        <v>1233</v>
      </c>
      <c r="E322" s="22" t="s">
        <v>57</v>
      </c>
      <c r="F322" s="22" t="s">
        <v>1234</v>
      </c>
      <c r="G322" s="22" t="s">
        <v>59</v>
      </c>
      <c r="H322" s="22" t="s">
        <v>59</v>
      </c>
      <c r="I322" s="22" t="s">
        <v>60</v>
      </c>
      <c r="J322" s="22" t="s">
        <v>418</v>
      </c>
      <c r="K322" s="22" t="s">
        <v>525</v>
      </c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6">
        <v>72.0</v>
      </c>
      <c r="B323" s="36" t="s">
        <v>387</v>
      </c>
      <c r="C323" s="37" t="s">
        <v>367</v>
      </c>
      <c r="D323" s="36" t="s">
        <v>1235</v>
      </c>
      <c r="E323" s="22" t="s">
        <v>57</v>
      </c>
      <c r="F323" s="22" t="s">
        <v>1237</v>
      </c>
      <c r="G323" s="22" t="s">
        <v>59</v>
      </c>
      <c r="H323" s="22" t="s">
        <v>59</v>
      </c>
      <c r="I323" s="22" t="s">
        <v>60</v>
      </c>
      <c r="J323" s="22" t="s">
        <v>418</v>
      </c>
      <c r="K323" s="22" t="s">
        <v>525</v>
      </c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6">
        <v>72.0</v>
      </c>
      <c r="B324" s="36" t="s">
        <v>387</v>
      </c>
      <c r="C324" s="37" t="s">
        <v>367</v>
      </c>
      <c r="D324" s="36" t="s">
        <v>1238</v>
      </c>
      <c r="E324" s="22" t="s">
        <v>57</v>
      </c>
      <c r="F324" s="22" t="s">
        <v>1239</v>
      </c>
      <c r="G324" s="22" t="s">
        <v>59</v>
      </c>
      <c r="H324" s="22" t="s">
        <v>59</v>
      </c>
      <c r="I324" s="22" t="s">
        <v>60</v>
      </c>
      <c r="J324" s="22" t="s">
        <v>418</v>
      </c>
      <c r="K324" s="22" t="s">
        <v>525</v>
      </c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6">
        <v>72.0</v>
      </c>
      <c r="B325" s="36" t="s">
        <v>387</v>
      </c>
      <c r="C325" s="37" t="s">
        <v>367</v>
      </c>
      <c r="D325" s="36" t="s">
        <v>728</v>
      </c>
      <c r="E325" s="22" t="s">
        <v>57</v>
      </c>
      <c r="F325" s="22" t="s">
        <v>1240</v>
      </c>
      <c r="G325" s="22" t="s">
        <v>59</v>
      </c>
      <c r="H325" s="22" t="s">
        <v>59</v>
      </c>
      <c r="I325" s="22" t="s">
        <v>60</v>
      </c>
      <c r="J325" s="22" t="s">
        <v>418</v>
      </c>
      <c r="K325" s="22" t="s">
        <v>537</v>
      </c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6">
        <v>73.0</v>
      </c>
      <c r="B326" s="36" t="s">
        <v>391</v>
      </c>
      <c r="C326" s="37" t="s">
        <v>367</v>
      </c>
      <c r="D326" s="36" t="s">
        <v>731</v>
      </c>
      <c r="E326" s="22" t="s">
        <v>57</v>
      </c>
      <c r="F326" s="22" t="s">
        <v>1241</v>
      </c>
      <c r="G326" s="22" t="s">
        <v>59</v>
      </c>
      <c r="H326" s="22" t="s">
        <v>59</v>
      </c>
      <c r="I326" s="22" t="s">
        <v>60</v>
      </c>
      <c r="J326" s="22" t="s">
        <v>423</v>
      </c>
      <c r="K326" s="22" t="s">
        <v>537</v>
      </c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6">
        <v>73.0</v>
      </c>
      <c r="B327" s="36" t="s">
        <v>391</v>
      </c>
      <c r="C327" s="37" t="s">
        <v>367</v>
      </c>
      <c r="D327" s="36" t="s">
        <v>727</v>
      </c>
      <c r="E327" s="22" t="s">
        <v>57</v>
      </c>
      <c r="F327" s="22" t="s">
        <v>1242</v>
      </c>
      <c r="G327" s="22" t="s">
        <v>59</v>
      </c>
      <c r="H327" s="22" t="s">
        <v>59</v>
      </c>
      <c r="I327" s="22" t="s">
        <v>60</v>
      </c>
      <c r="J327" s="22" t="s">
        <v>1243</v>
      </c>
      <c r="K327" s="22" t="s">
        <v>537</v>
      </c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6">
        <v>73.0</v>
      </c>
      <c r="B328" s="36" t="s">
        <v>391</v>
      </c>
      <c r="C328" s="37" t="s">
        <v>367</v>
      </c>
      <c r="D328" s="36" t="s">
        <v>1244</v>
      </c>
      <c r="E328" s="22" t="s">
        <v>76</v>
      </c>
      <c r="F328" s="22" t="s">
        <v>1246</v>
      </c>
      <c r="G328" s="22" t="s">
        <v>59</v>
      </c>
      <c r="H328" s="22" t="s">
        <v>59</v>
      </c>
      <c r="I328" s="22" t="s">
        <v>60</v>
      </c>
      <c r="J328" s="22" t="s">
        <v>423</v>
      </c>
      <c r="K328" s="22" t="s">
        <v>525</v>
      </c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6">
        <v>73.0</v>
      </c>
      <c r="B329" s="36" t="s">
        <v>391</v>
      </c>
      <c r="C329" s="37" t="s">
        <v>367</v>
      </c>
      <c r="D329" s="36" t="s">
        <v>820</v>
      </c>
      <c r="E329" s="22" t="s">
        <v>76</v>
      </c>
      <c r="F329" s="22" t="s">
        <v>1247</v>
      </c>
      <c r="G329" s="22" t="s">
        <v>59</v>
      </c>
      <c r="H329" s="22" t="s">
        <v>59</v>
      </c>
      <c r="I329" s="22" t="s">
        <v>60</v>
      </c>
      <c r="J329" s="22" t="s">
        <v>1243</v>
      </c>
      <c r="K329" s="22" t="s">
        <v>531</v>
      </c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6">
        <v>74.0</v>
      </c>
      <c r="B330" s="36" t="s">
        <v>393</v>
      </c>
      <c r="C330" s="37" t="s">
        <v>367</v>
      </c>
      <c r="D330" s="36" t="s">
        <v>1248</v>
      </c>
      <c r="E330" s="22" t="s">
        <v>57</v>
      </c>
      <c r="F330" s="22" t="s">
        <v>1249</v>
      </c>
      <c r="G330" s="22" t="s">
        <v>59</v>
      </c>
      <c r="H330" s="22" t="s">
        <v>59</v>
      </c>
      <c r="I330" s="22" t="s">
        <v>60</v>
      </c>
      <c r="J330" s="22" t="s">
        <v>430</v>
      </c>
      <c r="K330" s="22" t="s">
        <v>525</v>
      </c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6">
        <v>74.0</v>
      </c>
      <c r="B331" s="36" t="s">
        <v>393</v>
      </c>
      <c r="C331" s="37" t="s">
        <v>367</v>
      </c>
      <c r="D331" s="36" t="s">
        <v>1207</v>
      </c>
      <c r="E331" s="22" t="s">
        <v>57</v>
      </c>
      <c r="F331" s="22" t="s">
        <v>1250</v>
      </c>
      <c r="G331" s="22" t="s">
        <v>59</v>
      </c>
      <c r="H331" s="22" t="s">
        <v>59</v>
      </c>
      <c r="I331" s="22" t="s">
        <v>60</v>
      </c>
      <c r="J331" s="22" t="s">
        <v>430</v>
      </c>
      <c r="K331" s="22" t="s">
        <v>537</v>
      </c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6">
        <v>74.0</v>
      </c>
      <c r="B332" s="36" t="s">
        <v>393</v>
      </c>
      <c r="C332" s="37" t="s">
        <v>367</v>
      </c>
      <c r="D332" s="36" t="s">
        <v>820</v>
      </c>
      <c r="E332" s="22" t="s">
        <v>76</v>
      </c>
      <c r="F332" s="22" t="s">
        <v>1251</v>
      </c>
      <c r="G332" s="22" t="s">
        <v>59</v>
      </c>
      <c r="H332" s="22" t="s">
        <v>59</v>
      </c>
      <c r="I332" s="22" t="s">
        <v>60</v>
      </c>
      <c r="J332" s="22" t="s">
        <v>430</v>
      </c>
      <c r="K332" s="22" t="s">
        <v>531</v>
      </c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6">
        <v>74.0</v>
      </c>
      <c r="B333" s="36" t="s">
        <v>393</v>
      </c>
      <c r="C333" s="37" t="s">
        <v>367</v>
      </c>
      <c r="D333" s="36" t="s">
        <v>1230</v>
      </c>
      <c r="E333" s="22" t="s">
        <v>76</v>
      </c>
      <c r="F333" s="22" t="s">
        <v>1253</v>
      </c>
      <c r="G333" s="22" t="s">
        <v>59</v>
      </c>
      <c r="H333" s="22" t="s">
        <v>59</v>
      </c>
      <c r="I333" s="22" t="s">
        <v>60</v>
      </c>
      <c r="J333" s="22" t="s">
        <v>430</v>
      </c>
      <c r="K333" s="22" t="s">
        <v>537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6">
        <v>75.0</v>
      </c>
      <c r="B334" s="36" t="s">
        <v>395</v>
      </c>
      <c r="C334" s="37" t="s">
        <v>396</v>
      </c>
      <c r="D334" s="36" t="s">
        <v>1254</v>
      </c>
      <c r="E334" s="22" t="s">
        <v>57</v>
      </c>
      <c r="F334" s="22" t="s">
        <v>1256</v>
      </c>
      <c r="G334" s="22" t="s">
        <v>59</v>
      </c>
      <c r="H334" s="22" t="s">
        <v>59</v>
      </c>
      <c r="I334" s="22" t="s">
        <v>60</v>
      </c>
      <c r="J334" s="22" t="s">
        <v>435</v>
      </c>
      <c r="K334" s="22" t="s">
        <v>525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6">
        <v>75.0</v>
      </c>
      <c r="B335" s="36" t="s">
        <v>395</v>
      </c>
      <c r="C335" s="37" t="s">
        <v>396</v>
      </c>
      <c r="D335" s="36" t="s">
        <v>221</v>
      </c>
      <c r="E335" s="22" t="s">
        <v>57</v>
      </c>
      <c r="F335" s="22" t="s">
        <v>1257</v>
      </c>
      <c r="G335" s="22" t="s">
        <v>59</v>
      </c>
      <c r="H335" s="22" t="s">
        <v>59</v>
      </c>
      <c r="I335" s="22" t="s">
        <v>60</v>
      </c>
      <c r="J335" s="22" t="s">
        <v>1258</v>
      </c>
      <c r="K335" s="22" t="s">
        <v>525</v>
      </c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6">
        <v>75.0</v>
      </c>
      <c r="B336" s="36" t="s">
        <v>395</v>
      </c>
      <c r="C336" s="37" t="s">
        <v>396</v>
      </c>
      <c r="D336" s="36" t="s">
        <v>1259</v>
      </c>
      <c r="E336" s="22" t="s">
        <v>57</v>
      </c>
      <c r="F336" s="22" t="s">
        <v>1260</v>
      </c>
      <c r="G336" s="22" t="s">
        <v>59</v>
      </c>
      <c r="H336" s="22" t="s">
        <v>59</v>
      </c>
      <c r="I336" s="22" t="s">
        <v>60</v>
      </c>
      <c r="J336" s="22" t="s">
        <v>1261</v>
      </c>
      <c r="K336" s="22" t="s">
        <v>525</v>
      </c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6">
        <v>75.0</v>
      </c>
      <c r="B337" s="36" t="s">
        <v>395</v>
      </c>
      <c r="C337" s="37" t="s">
        <v>396</v>
      </c>
      <c r="D337" s="36" t="s">
        <v>1262</v>
      </c>
      <c r="E337" s="22" t="s">
        <v>57</v>
      </c>
      <c r="F337" s="22" t="s">
        <v>1263</v>
      </c>
      <c r="G337" s="22" t="s">
        <v>59</v>
      </c>
      <c r="H337" s="22" t="s">
        <v>59</v>
      </c>
      <c r="I337" s="22" t="s">
        <v>60</v>
      </c>
      <c r="J337" s="22" t="s">
        <v>435</v>
      </c>
      <c r="K337" s="22" t="s">
        <v>525</v>
      </c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6">
        <v>75.0</v>
      </c>
      <c r="B338" s="36" t="s">
        <v>395</v>
      </c>
      <c r="C338" s="37" t="s">
        <v>396</v>
      </c>
      <c r="D338" s="36" t="s">
        <v>1264</v>
      </c>
      <c r="E338" s="22" t="s">
        <v>57</v>
      </c>
      <c r="F338" s="22" t="s">
        <v>1265</v>
      </c>
      <c r="G338" s="22" t="s">
        <v>59</v>
      </c>
      <c r="H338" s="22" t="s">
        <v>59</v>
      </c>
      <c r="I338" s="22" t="s">
        <v>60</v>
      </c>
      <c r="J338" s="22" t="s">
        <v>1258</v>
      </c>
      <c r="K338" s="22" t="s">
        <v>525</v>
      </c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25"/>
      <c r="B339" s="38"/>
      <c r="C339" s="38"/>
      <c r="D339" s="38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25"/>
      <c r="B340" s="38"/>
      <c r="C340" s="38"/>
      <c r="D340" s="38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25"/>
      <c r="B341" s="38"/>
      <c r="C341" s="38"/>
      <c r="D341" s="38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25"/>
      <c r="B342" s="38"/>
      <c r="C342" s="38"/>
      <c r="D342" s="38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25"/>
      <c r="B343" s="38"/>
      <c r="C343" s="38"/>
      <c r="D343" s="38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25"/>
      <c r="B344" s="38"/>
      <c r="C344" s="38"/>
      <c r="D344" s="38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25"/>
      <c r="B345" s="38"/>
      <c r="C345" s="38"/>
      <c r="D345" s="38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25"/>
      <c r="B346" s="38"/>
      <c r="C346" s="38"/>
      <c r="D346" s="38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25"/>
      <c r="B347" s="38"/>
      <c r="C347" s="38"/>
      <c r="D347" s="38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25"/>
      <c r="B348" s="38"/>
      <c r="C348" s="38"/>
      <c r="D348" s="38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25"/>
      <c r="B349" s="38"/>
      <c r="C349" s="38"/>
      <c r="D349" s="38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25"/>
      <c r="B350" s="38"/>
      <c r="C350" s="38"/>
      <c r="D350" s="38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25"/>
      <c r="B351" s="38"/>
      <c r="C351" s="38"/>
      <c r="D351" s="38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25"/>
      <c r="B352" s="38"/>
      <c r="C352" s="38"/>
      <c r="D352" s="38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25"/>
      <c r="B353" s="38"/>
      <c r="C353" s="38"/>
      <c r="D353" s="38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25"/>
      <c r="B354" s="38"/>
      <c r="C354" s="38"/>
      <c r="D354" s="38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25"/>
      <c r="B355" s="38"/>
      <c r="C355" s="38"/>
      <c r="D355" s="38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25"/>
      <c r="B356" s="38"/>
      <c r="C356" s="38"/>
      <c r="D356" s="38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25"/>
      <c r="B357" s="38"/>
      <c r="C357" s="38"/>
      <c r="D357" s="38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25"/>
      <c r="B358" s="38"/>
      <c r="C358" s="38"/>
      <c r="D358" s="38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25"/>
      <c r="B359" s="38"/>
      <c r="C359" s="38"/>
      <c r="D359" s="38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25"/>
      <c r="B360" s="38"/>
      <c r="C360" s="38"/>
      <c r="D360" s="38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25"/>
      <c r="B361" s="38"/>
      <c r="C361" s="38"/>
      <c r="D361" s="38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25"/>
      <c r="B362" s="38"/>
      <c r="C362" s="38"/>
      <c r="D362" s="38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25"/>
      <c r="B363" s="38"/>
      <c r="C363" s="38"/>
      <c r="D363" s="38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25"/>
      <c r="B364" s="38"/>
      <c r="C364" s="38"/>
      <c r="D364" s="38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25"/>
      <c r="B365" s="38"/>
      <c r="C365" s="38"/>
      <c r="D365" s="38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25"/>
      <c r="B366" s="38"/>
      <c r="C366" s="38"/>
      <c r="D366" s="38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25"/>
      <c r="B367" s="38"/>
      <c r="C367" s="38"/>
      <c r="D367" s="38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25"/>
      <c r="B368" s="38"/>
      <c r="C368" s="38"/>
      <c r="D368" s="38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25"/>
      <c r="B369" s="38"/>
      <c r="C369" s="38"/>
      <c r="D369" s="38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25"/>
      <c r="B370" s="38"/>
      <c r="C370" s="38"/>
      <c r="D370" s="38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25"/>
      <c r="B371" s="38"/>
      <c r="C371" s="38"/>
      <c r="D371" s="38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25"/>
      <c r="B372" s="38"/>
      <c r="C372" s="38"/>
      <c r="D372" s="38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25"/>
      <c r="B373" s="38"/>
      <c r="C373" s="38"/>
      <c r="D373" s="38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25"/>
      <c r="B374" s="38"/>
      <c r="C374" s="38"/>
      <c r="D374" s="38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25"/>
      <c r="B375" s="38"/>
      <c r="C375" s="38"/>
      <c r="D375" s="38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25"/>
      <c r="B376" s="38"/>
      <c r="C376" s="38"/>
      <c r="D376" s="38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25"/>
      <c r="B377" s="38"/>
      <c r="C377" s="38"/>
      <c r="D377" s="38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25"/>
      <c r="B378" s="38"/>
      <c r="C378" s="38"/>
      <c r="D378" s="38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25"/>
      <c r="B379" s="38"/>
      <c r="C379" s="38"/>
      <c r="D379" s="38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25"/>
      <c r="B380" s="38"/>
      <c r="C380" s="38"/>
      <c r="D380" s="38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25"/>
      <c r="B381" s="38"/>
      <c r="C381" s="38"/>
      <c r="D381" s="38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25"/>
      <c r="B382" s="38"/>
      <c r="C382" s="38"/>
      <c r="D382" s="38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25"/>
      <c r="B383" s="38"/>
      <c r="C383" s="38"/>
      <c r="D383" s="38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25"/>
      <c r="B384" s="38"/>
      <c r="C384" s="38"/>
      <c r="D384" s="38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25"/>
      <c r="B385" s="38"/>
      <c r="C385" s="38"/>
      <c r="D385" s="38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25"/>
      <c r="B386" s="38"/>
      <c r="C386" s="38"/>
      <c r="D386" s="38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25"/>
      <c r="B387" s="38"/>
      <c r="C387" s="38"/>
      <c r="D387" s="38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25"/>
      <c r="B388" s="38"/>
      <c r="C388" s="38"/>
      <c r="D388" s="38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25"/>
      <c r="B389" s="38"/>
      <c r="C389" s="38"/>
      <c r="D389" s="38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25"/>
      <c r="B390" s="38"/>
      <c r="C390" s="38"/>
      <c r="D390" s="38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25"/>
      <c r="B391" s="38"/>
      <c r="C391" s="38"/>
      <c r="D391" s="38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25"/>
      <c r="B392" s="38"/>
      <c r="C392" s="38"/>
      <c r="D392" s="38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25"/>
      <c r="B393" s="38"/>
      <c r="C393" s="38"/>
      <c r="D393" s="38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25"/>
      <c r="B394" s="38"/>
      <c r="C394" s="38"/>
      <c r="D394" s="38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25"/>
      <c r="B395" s="38"/>
      <c r="C395" s="38"/>
      <c r="D395" s="38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25"/>
      <c r="B396" s="38"/>
      <c r="C396" s="38"/>
      <c r="D396" s="38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25"/>
      <c r="B397" s="38"/>
      <c r="C397" s="38"/>
      <c r="D397" s="38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25"/>
      <c r="B398" s="38"/>
      <c r="C398" s="38"/>
      <c r="D398" s="38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25"/>
      <c r="B399" s="38"/>
      <c r="C399" s="38"/>
      <c r="D399" s="38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25"/>
      <c r="B400" s="38"/>
      <c r="C400" s="38"/>
      <c r="D400" s="38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25"/>
      <c r="B401" s="38"/>
      <c r="C401" s="38"/>
      <c r="D401" s="38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25"/>
      <c r="B402" s="38"/>
      <c r="C402" s="38"/>
      <c r="D402" s="38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25"/>
      <c r="B403" s="38"/>
      <c r="C403" s="38"/>
      <c r="D403" s="38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25"/>
      <c r="B404" s="38"/>
      <c r="C404" s="38"/>
      <c r="D404" s="38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25"/>
      <c r="B405" s="38"/>
      <c r="C405" s="38"/>
      <c r="D405" s="38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25"/>
      <c r="B406" s="38"/>
      <c r="C406" s="38"/>
      <c r="D406" s="38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25"/>
      <c r="B407" s="38"/>
      <c r="C407" s="38"/>
      <c r="D407" s="38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25"/>
      <c r="B408" s="38"/>
      <c r="C408" s="38"/>
      <c r="D408" s="38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25"/>
      <c r="B409" s="38"/>
      <c r="C409" s="38"/>
      <c r="D409" s="38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25"/>
      <c r="B410" s="38"/>
      <c r="C410" s="38"/>
      <c r="D410" s="38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25"/>
      <c r="B411" s="38"/>
      <c r="C411" s="38"/>
      <c r="D411" s="38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25"/>
      <c r="B412" s="38"/>
      <c r="C412" s="38"/>
      <c r="D412" s="38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25"/>
      <c r="B413" s="38"/>
      <c r="C413" s="38"/>
      <c r="D413" s="38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25"/>
      <c r="B414" s="38"/>
      <c r="C414" s="38"/>
      <c r="D414" s="38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25"/>
      <c r="B415" s="38"/>
      <c r="C415" s="38"/>
      <c r="D415" s="38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25"/>
      <c r="B416" s="38"/>
      <c r="C416" s="38"/>
      <c r="D416" s="38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25"/>
      <c r="B417" s="38"/>
      <c r="C417" s="38"/>
      <c r="D417" s="38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25"/>
      <c r="B418" s="38"/>
      <c r="C418" s="38"/>
      <c r="D418" s="38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25"/>
      <c r="B419" s="38"/>
      <c r="C419" s="38"/>
      <c r="D419" s="38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25"/>
      <c r="B420" s="38"/>
      <c r="C420" s="38"/>
      <c r="D420" s="38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25"/>
      <c r="B421" s="38"/>
      <c r="C421" s="38"/>
      <c r="D421" s="38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25"/>
      <c r="B422" s="38"/>
      <c r="C422" s="38"/>
      <c r="D422" s="38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25"/>
      <c r="B423" s="38"/>
      <c r="C423" s="38"/>
      <c r="D423" s="38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25"/>
      <c r="B424" s="38"/>
      <c r="C424" s="38"/>
      <c r="D424" s="38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25"/>
      <c r="B425" s="38"/>
      <c r="C425" s="38"/>
      <c r="D425" s="38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25"/>
      <c r="B426" s="38"/>
      <c r="C426" s="38"/>
      <c r="D426" s="38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25"/>
      <c r="B427" s="38"/>
      <c r="C427" s="38"/>
      <c r="D427" s="38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25"/>
      <c r="B428" s="38"/>
      <c r="C428" s="38"/>
      <c r="D428" s="38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25"/>
      <c r="B429" s="38"/>
      <c r="C429" s="38"/>
      <c r="D429" s="38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25"/>
      <c r="B430" s="38"/>
      <c r="C430" s="38"/>
      <c r="D430" s="38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25"/>
      <c r="B431" s="38"/>
      <c r="C431" s="38"/>
      <c r="D431" s="38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25"/>
      <c r="B432" s="38"/>
      <c r="C432" s="38"/>
      <c r="D432" s="38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25"/>
      <c r="B433" s="38"/>
      <c r="C433" s="38"/>
      <c r="D433" s="38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25"/>
      <c r="B434" s="38"/>
      <c r="C434" s="38"/>
      <c r="D434" s="38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25"/>
      <c r="B435" s="38"/>
      <c r="C435" s="38"/>
      <c r="D435" s="38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25"/>
      <c r="B436" s="38"/>
      <c r="C436" s="38"/>
      <c r="D436" s="38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25"/>
      <c r="B437" s="38"/>
      <c r="C437" s="38"/>
      <c r="D437" s="38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25"/>
      <c r="B438" s="38"/>
      <c r="C438" s="38"/>
      <c r="D438" s="38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25"/>
      <c r="B439" s="38"/>
      <c r="C439" s="38"/>
      <c r="D439" s="38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25"/>
      <c r="B440" s="38"/>
      <c r="C440" s="38"/>
      <c r="D440" s="38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25"/>
      <c r="B441" s="38"/>
      <c r="C441" s="38"/>
      <c r="D441" s="38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25"/>
      <c r="B442" s="38"/>
      <c r="C442" s="38"/>
      <c r="D442" s="38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25"/>
      <c r="B443" s="38"/>
      <c r="C443" s="38"/>
      <c r="D443" s="38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25"/>
      <c r="B444" s="38"/>
      <c r="C444" s="38"/>
      <c r="D444" s="38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25"/>
      <c r="B445" s="38"/>
      <c r="C445" s="38"/>
      <c r="D445" s="38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25"/>
      <c r="B446" s="38"/>
      <c r="C446" s="38"/>
      <c r="D446" s="38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25"/>
      <c r="B447" s="38"/>
      <c r="C447" s="38"/>
      <c r="D447" s="38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25"/>
      <c r="B448" s="38"/>
      <c r="C448" s="38"/>
      <c r="D448" s="38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25"/>
      <c r="B449" s="38"/>
      <c r="C449" s="38"/>
      <c r="D449" s="38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25"/>
      <c r="B450" s="38"/>
      <c r="C450" s="38"/>
      <c r="D450" s="38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25"/>
      <c r="B451" s="38"/>
      <c r="C451" s="38"/>
      <c r="D451" s="38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25"/>
      <c r="B452" s="38"/>
      <c r="C452" s="38"/>
      <c r="D452" s="38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25"/>
      <c r="B453" s="38"/>
      <c r="C453" s="38"/>
      <c r="D453" s="38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25"/>
      <c r="B454" s="38"/>
      <c r="C454" s="38"/>
      <c r="D454" s="38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25"/>
      <c r="B455" s="38"/>
      <c r="C455" s="38"/>
      <c r="D455" s="38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25"/>
      <c r="B456" s="38"/>
      <c r="C456" s="38"/>
      <c r="D456" s="38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25"/>
      <c r="B457" s="38"/>
      <c r="C457" s="38"/>
      <c r="D457" s="38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25"/>
      <c r="B458" s="38"/>
      <c r="C458" s="38"/>
      <c r="D458" s="38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25"/>
      <c r="B459" s="38"/>
      <c r="C459" s="38"/>
      <c r="D459" s="38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25"/>
      <c r="B460" s="38"/>
      <c r="C460" s="38"/>
      <c r="D460" s="38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25"/>
      <c r="B461" s="38"/>
      <c r="C461" s="38"/>
      <c r="D461" s="38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25"/>
      <c r="B462" s="38"/>
      <c r="C462" s="38"/>
      <c r="D462" s="38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25"/>
      <c r="B463" s="38"/>
      <c r="C463" s="38"/>
      <c r="D463" s="38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25"/>
      <c r="B464" s="38"/>
      <c r="C464" s="38"/>
      <c r="D464" s="38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25"/>
      <c r="B465" s="38"/>
      <c r="C465" s="38"/>
      <c r="D465" s="38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25"/>
      <c r="B466" s="38"/>
      <c r="C466" s="38"/>
      <c r="D466" s="38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25"/>
      <c r="B467" s="38"/>
      <c r="C467" s="38"/>
      <c r="D467" s="38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25"/>
      <c r="B468" s="38"/>
      <c r="C468" s="38"/>
      <c r="D468" s="38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25"/>
      <c r="B469" s="38"/>
      <c r="C469" s="38"/>
      <c r="D469" s="38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25"/>
      <c r="B470" s="38"/>
      <c r="C470" s="38"/>
      <c r="D470" s="38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25"/>
      <c r="B471" s="38"/>
      <c r="C471" s="38"/>
      <c r="D471" s="38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25"/>
      <c r="B472" s="38"/>
      <c r="C472" s="38"/>
      <c r="D472" s="38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25"/>
      <c r="B473" s="38"/>
      <c r="C473" s="38"/>
      <c r="D473" s="38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25"/>
      <c r="B474" s="38"/>
      <c r="C474" s="38"/>
      <c r="D474" s="38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25"/>
      <c r="B475" s="38"/>
      <c r="C475" s="38"/>
      <c r="D475" s="38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25"/>
      <c r="B476" s="38"/>
      <c r="C476" s="38"/>
      <c r="D476" s="38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25"/>
      <c r="B477" s="38"/>
      <c r="C477" s="38"/>
      <c r="D477" s="38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25"/>
      <c r="B478" s="38"/>
      <c r="C478" s="38"/>
      <c r="D478" s="38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25"/>
      <c r="B479" s="38"/>
      <c r="C479" s="38"/>
      <c r="D479" s="38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25"/>
      <c r="B480" s="38"/>
      <c r="C480" s="38"/>
      <c r="D480" s="38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25"/>
      <c r="B481" s="38"/>
      <c r="C481" s="38"/>
      <c r="D481" s="38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25"/>
      <c r="B482" s="38"/>
      <c r="C482" s="38"/>
      <c r="D482" s="38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25"/>
      <c r="B483" s="38"/>
      <c r="C483" s="38"/>
      <c r="D483" s="38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25"/>
      <c r="B484" s="38"/>
      <c r="C484" s="38"/>
      <c r="D484" s="38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25"/>
      <c r="B485" s="38"/>
      <c r="C485" s="38"/>
      <c r="D485" s="38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25"/>
      <c r="B486" s="38"/>
      <c r="C486" s="38"/>
      <c r="D486" s="38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25"/>
      <c r="B487" s="38"/>
      <c r="C487" s="38"/>
      <c r="D487" s="38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25"/>
      <c r="B488" s="38"/>
      <c r="C488" s="38"/>
      <c r="D488" s="38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25"/>
      <c r="B489" s="38"/>
      <c r="C489" s="38"/>
      <c r="D489" s="38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25"/>
      <c r="B490" s="38"/>
      <c r="C490" s="38"/>
      <c r="D490" s="38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25"/>
      <c r="B491" s="38"/>
      <c r="C491" s="38"/>
      <c r="D491" s="38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25"/>
      <c r="B492" s="38"/>
      <c r="C492" s="38"/>
      <c r="D492" s="38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25"/>
      <c r="B493" s="38"/>
      <c r="C493" s="38"/>
      <c r="D493" s="38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25"/>
      <c r="B494" s="38"/>
      <c r="C494" s="38"/>
      <c r="D494" s="38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25"/>
      <c r="B495" s="38"/>
      <c r="C495" s="38"/>
      <c r="D495" s="38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25"/>
      <c r="B496" s="38"/>
      <c r="C496" s="38"/>
      <c r="D496" s="38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25"/>
      <c r="B497" s="38"/>
      <c r="C497" s="38"/>
      <c r="D497" s="38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25"/>
      <c r="B498" s="38"/>
      <c r="C498" s="38"/>
      <c r="D498" s="38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25"/>
      <c r="B499" s="38"/>
      <c r="C499" s="38"/>
      <c r="D499" s="38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25"/>
      <c r="B500" s="38"/>
      <c r="C500" s="38"/>
      <c r="D500" s="38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25"/>
      <c r="B501" s="38"/>
      <c r="C501" s="38"/>
      <c r="D501" s="38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25"/>
      <c r="B502" s="38"/>
      <c r="C502" s="38"/>
      <c r="D502" s="38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25"/>
      <c r="B503" s="38"/>
      <c r="C503" s="38"/>
      <c r="D503" s="38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25"/>
      <c r="B504" s="38"/>
      <c r="C504" s="38"/>
      <c r="D504" s="38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25"/>
      <c r="B505" s="38"/>
      <c r="C505" s="38"/>
      <c r="D505" s="38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25"/>
      <c r="B506" s="38"/>
      <c r="C506" s="38"/>
      <c r="D506" s="38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25"/>
      <c r="B507" s="38"/>
      <c r="C507" s="38"/>
      <c r="D507" s="38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25"/>
      <c r="B508" s="38"/>
      <c r="C508" s="38"/>
      <c r="D508" s="38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25"/>
      <c r="B509" s="38"/>
      <c r="C509" s="38"/>
      <c r="D509" s="38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25"/>
      <c r="B510" s="38"/>
      <c r="C510" s="38"/>
      <c r="D510" s="38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25"/>
      <c r="B511" s="38"/>
      <c r="C511" s="38"/>
      <c r="D511" s="38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25"/>
      <c r="B512" s="38"/>
      <c r="C512" s="38"/>
      <c r="D512" s="38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25"/>
      <c r="B513" s="38"/>
      <c r="C513" s="38"/>
      <c r="D513" s="38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25"/>
      <c r="B514" s="38"/>
      <c r="C514" s="38"/>
      <c r="D514" s="38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25"/>
      <c r="B515" s="38"/>
      <c r="C515" s="38"/>
      <c r="D515" s="38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25"/>
      <c r="B516" s="38"/>
      <c r="C516" s="38"/>
      <c r="D516" s="38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25"/>
      <c r="B517" s="38"/>
      <c r="C517" s="38"/>
      <c r="D517" s="38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25"/>
      <c r="B518" s="38"/>
      <c r="C518" s="38"/>
      <c r="D518" s="38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25"/>
      <c r="B519" s="38"/>
      <c r="C519" s="38"/>
      <c r="D519" s="38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25"/>
      <c r="B520" s="38"/>
      <c r="C520" s="38"/>
      <c r="D520" s="38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25"/>
      <c r="B521" s="38"/>
      <c r="C521" s="38"/>
      <c r="D521" s="38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25"/>
      <c r="B522" s="38"/>
      <c r="C522" s="38"/>
      <c r="D522" s="38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25"/>
      <c r="B523" s="38"/>
      <c r="C523" s="38"/>
      <c r="D523" s="38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25"/>
      <c r="B524" s="38"/>
      <c r="C524" s="38"/>
      <c r="D524" s="38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25"/>
      <c r="B525" s="38"/>
      <c r="C525" s="38"/>
      <c r="D525" s="38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25"/>
      <c r="B526" s="38"/>
      <c r="C526" s="38"/>
      <c r="D526" s="38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25"/>
      <c r="B527" s="38"/>
      <c r="C527" s="38"/>
      <c r="D527" s="38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25"/>
      <c r="B528" s="38"/>
      <c r="C528" s="38"/>
      <c r="D528" s="38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25"/>
      <c r="B529" s="38"/>
      <c r="C529" s="38"/>
      <c r="D529" s="38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25"/>
      <c r="B530" s="38"/>
      <c r="C530" s="38"/>
      <c r="D530" s="38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25"/>
      <c r="B531" s="38"/>
      <c r="C531" s="38"/>
      <c r="D531" s="38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25"/>
      <c r="B532" s="38"/>
      <c r="C532" s="38"/>
      <c r="D532" s="38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25"/>
      <c r="B533" s="38"/>
      <c r="C533" s="38"/>
      <c r="D533" s="38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25"/>
      <c r="B534" s="38"/>
      <c r="C534" s="38"/>
      <c r="D534" s="38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25"/>
      <c r="B535" s="38"/>
      <c r="C535" s="38"/>
      <c r="D535" s="38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25"/>
      <c r="B536" s="38"/>
      <c r="C536" s="38"/>
      <c r="D536" s="38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25"/>
      <c r="B537" s="38"/>
      <c r="C537" s="38"/>
      <c r="D537" s="38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25"/>
      <c r="B538" s="38"/>
      <c r="C538" s="38"/>
      <c r="D538" s="38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25"/>
      <c r="B539" s="38"/>
      <c r="C539" s="38"/>
      <c r="D539" s="38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25"/>
      <c r="B540" s="38"/>
      <c r="C540" s="38"/>
      <c r="D540" s="38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25"/>
      <c r="B541" s="38"/>
      <c r="C541" s="38"/>
      <c r="D541" s="38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25"/>
      <c r="B542" s="38"/>
      <c r="C542" s="38"/>
      <c r="D542" s="38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25"/>
      <c r="B543" s="38"/>
      <c r="C543" s="38"/>
      <c r="D543" s="38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25"/>
      <c r="B544" s="38"/>
      <c r="C544" s="38"/>
      <c r="D544" s="38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25"/>
      <c r="B545" s="38"/>
      <c r="C545" s="38"/>
      <c r="D545" s="38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25"/>
      <c r="B546" s="38"/>
      <c r="C546" s="38"/>
      <c r="D546" s="38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25"/>
      <c r="B547" s="38"/>
      <c r="C547" s="38"/>
      <c r="D547" s="38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25"/>
      <c r="B548" s="38"/>
      <c r="C548" s="38"/>
      <c r="D548" s="38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25"/>
      <c r="B549" s="38"/>
      <c r="C549" s="38"/>
      <c r="D549" s="38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25"/>
      <c r="B550" s="38"/>
      <c r="C550" s="38"/>
      <c r="D550" s="38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25"/>
      <c r="B551" s="38"/>
      <c r="C551" s="38"/>
      <c r="D551" s="38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25"/>
      <c r="B552" s="38"/>
      <c r="C552" s="38"/>
      <c r="D552" s="38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25"/>
      <c r="B553" s="38"/>
      <c r="C553" s="38"/>
      <c r="D553" s="38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25"/>
      <c r="B554" s="38"/>
      <c r="C554" s="38"/>
      <c r="D554" s="38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25"/>
      <c r="B555" s="38"/>
      <c r="C555" s="38"/>
      <c r="D555" s="38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25"/>
      <c r="B556" s="38"/>
      <c r="C556" s="38"/>
      <c r="D556" s="38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25"/>
      <c r="B557" s="38"/>
      <c r="C557" s="38"/>
      <c r="D557" s="38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25"/>
      <c r="B558" s="38"/>
      <c r="C558" s="38"/>
      <c r="D558" s="38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25"/>
      <c r="B559" s="38"/>
      <c r="C559" s="38"/>
      <c r="D559" s="38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25"/>
      <c r="B560" s="38"/>
      <c r="C560" s="38"/>
      <c r="D560" s="38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25"/>
      <c r="B561" s="38"/>
      <c r="C561" s="38"/>
      <c r="D561" s="38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25"/>
      <c r="B562" s="38"/>
      <c r="C562" s="38"/>
      <c r="D562" s="38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25"/>
      <c r="B563" s="38"/>
      <c r="C563" s="38"/>
      <c r="D563" s="38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25"/>
      <c r="B564" s="38"/>
      <c r="C564" s="38"/>
      <c r="D564" s="38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25"/>
      <c r="B565" s="38"/>
      <c r="C565" s="38"/>
      <c r="D565" s="38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25"/>
      <c r="B566" s="38"/>
      <c r="C566" s="38"/>
      <c r="D566" s="38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25"/>
      <c r="B567" s="38"/>
      <c r="C567" s="38"/>
      <c r="D567" s="38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25"/>
      <c r="B568" s="38"/>
      <c r="C568" s="38"/>
      <c r="D568" s="38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25"/>
      <c r="B569" s="38"/>
      <c r="C569" s="38"/>
      <c r="D569" s="38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25"/>
      <c r="B570" s="38"/>
      <c r="C570" s="38"/>
      <c r="D570" s="38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25"/>
      <c r="B571" s="38"/>
      <c r="C571" s="38"/>
      <c r="D571" s="38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25"/>
      <c r="B572" s="38"/>
      <c r="C572" s="38"/>
      <c r="D572" s="38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25"/>
      <c r="B573" s="38"/>
      <c r="C573" s="38"/>
      <c r="D573" s="38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25"/>
      <c r="B574" s="38"/>
      <c r="C574" s="38"/>
      <c r="D574" s="38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25"/>
      <c r="B575" s="38"/>
      <c r="C575" s="38"/>
      <c r="D575" s="38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25"/>
      <c r="B576" s="38"/>
      <c r="C576" s="38"/>
      <c r="D576" s="38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25"/>
      <c r="B577" s="38"/>
      <c r="C577" s="38"/>
      <c r="D577" s="38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25"/>
      <c r="B578" s="38"/>
      <c r="C578" s="38"/>
      <c r="D578" s="38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25"/>
      <c r="B579" s="38"/>
      <c r="C579" s="38"/>
      <c r="D579" s="38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25"/>
      <c r="B580" s="38"/>
      <c r="C580" s="38"/>
      <c r="D580" s="38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25"/>
      <c r="B581" s="38"/>
      <c r="C581" s="38"/>
      <c r="D581" s="38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25"/>
      <c r="B582" s="38"/>
      <c r="C582" s="38"/>
      <c r="D582" s="38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25"/>
      <c r="B583" s="38"/>
      <c r="C583" s="38"/>
      <c r="D583" s="38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25"/>
      <c r="B584" s="38"/>
      <c r="C584" s="38"/>
      <c r="D584" s="38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25"/>
      <c r="B585" s="38"/>
      <c r="C585" s="38"/>
      <c r="D585" s="38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25"/>
      <c r="B586" s="38"/>
      <c r="C586" s="38"/>
      <c r="D586" s="38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25"/>
      <c r="B587" s="38"/>
      <c r="C587" s="38"/>
      <c r="D587" s="38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25"/>
      <c r="B588" s="38"/>
      <c r="C588" s="38"/>
      <c r="D588" s="38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25"/>
      <c r="B589" s="38"/>
      <c r="C589" s="38"/>
      <c r="D589" s="38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25"/>
      <c r="B590" s="38"/>
      <c r="C590" s="38"/>
      <c r="D590" s="38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25"/>
      <c r="B591" s="38"/>
      <c r="C591" s="38"/>
      <c r="D591" s="38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25"/>
      <c r="B592" s="38"/>
      <c r="C592" s="38"/>
      <c r="D592" s="38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25"/>
      <c r="B593" s="38"/>
      <c r="C593" s="38"/>
      <c r="D593" s="38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25"/>
      <c r="B594" s="38"/>
      <c r="C594" s="38"/>
      <c r="D594" s="38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25"/>
      <c r="B595" s="38"/>
      <c r="C595" s="38"/>
      <c r="D595" s="38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25"/>
      <c r="B596" s="38"/>
      <c r="C596" s="38"/>
      <c r="D596" s="38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25"/>
      <c r="B597" s="38"/>
      <c r="C597" s="38"/>
      <c r="D597" s="38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25"/>
      <c r="B598" s="38"/>
      <c r="C598" s="38"/>
      <c r="D598" s="38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25"/>
      <c r="B599" s="38"/>
      <c r="C599" s="38"/>
      <c r="D599" s="38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25"/>
      <c r="B600" s="38"/>
      <c r="C600" s="38"/>
      <c r="D600" s="38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25"/>
      <c r="B601" s="38"/>
      <c r="C601" s="38"/>
      <c r="D601" s="38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25"/>
      <c r="B602" s="38"/>
      <c r="C602" s="38"/>
      <c r="D602" s="38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25"/>
      <c r="B603" s="38"/>
      <c r="C603" s="38"/>
      <c r="D603" s="38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25"/>
      <c r="B604" s="38"/>
      <c r="C604" s="38"/>
      <c r="D604" s="38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25"/>
      <c r="B605" s="38"/>
      <c r="C605" s="38"/>
      <c r="D605" s="38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25"/>
      <c r="B606" s="38"/>
      <c r="C606" s="38"/>
      <c r="D606" s="38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25"/>
      <c r="B607" s="38"/>
      <c r="C607" s="38"/>
      <c r="D607" s="38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25"/>
      <c r="B608" s="38"/>
      <c r="C608" s="38"/>
      <c r="D608" s="38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25"/>
      <c r="B609" s="38"/>
      <c r="C609" s="38"/>
      <c r="D609" s="38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25"/>
      <c r="B610" s="38"/>
      <c r="C610" s="38"/>
      <c r="D610" s="38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25"/>
      <c r="B611" s="38"/>
      <c r="C611" s="38"/>
      <c r="D611" s="38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25"/>
      <c r="B612" s="38"/>
      <c r="C612" s="38"/>
      <c r="D612" s="38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25"/>
      <c r="B613" s="38"/>
      <c r="C613" s="38"/>
      <c r="D613" s="38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25"/>
      <c r="B614" s="38"/>
      <c r="C614" s="38"/>
      <c r="D614" s="38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25"/>
      <c r="B615" s="38"/>
      <c r="C615" s="38"/>
      <c r="D615" s="38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25"/>
      <c r="B616" s="38"/>
      <c r="C616" s="38"/>
      <c r="D616" s="38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25"/>
      <c r="B617" s="38"/>
      <c r="C617" s="38"/>
      <c r="D617" s="38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25"/>
      <c r="B618" s="38"/>
      <c r="C618" s="38"/>
      <c r="D618" s="38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25"/>
      <c r="B619" s="38"/>
      <c r="C619" s="38"/>
      <c r="D619" s="38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25"/>
      <c r="B620" s="38"/>
      <c r="C620" s="38"/>
      <c r="D620" s="38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25"/>
      <c r="B621" s="38"/>
      <c r="C621" s="38"/>
      <c r="D621" s="38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25"/>
      <c r="B622" s="38"/>
      <c r="C622" s="38"/>
      <c r="D622" s="38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25"/>
      <c r="B623" s="38"/>
      <c r="C623" s="38"/>
      <c r="D623" s="38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25"/>
      <c r="B624" s="38"/>
      <c r="C624" s="38"/>
      <c r="D624" s="38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25"/>
      <c r="B625" s="38"/>
      <c r="C625" s="38"/>
      <c r="D625" s="38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25"/>
      <c r="B626" s="38"/>
      <c r="C626" s="38"/>
      <c r="D626" s="38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25"/>
      <c r="B627" s="38"/>
      <c r="C627" s="38"/>
      <c r="D627" s="38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25"/>
      <c r="B628" s="38"/>
      <c r="C628" s="38"/>
      <c r="D628" s="38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25"/>
      <c r="B629" s="38"/>
      <c r="C629" s="38"/>
      <c r="D629" s="38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25"/>
      <c r="B630" s="38"/>
      <c r="C630" s="38"/>
      <c r="D630" s="38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25"/>
      <c r="B631" s="38"/>
      <c r="C631" s="38"/>
      <c r="D631" s="38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25"/>
      <c r="B632" s="38"/>
      <c r="C632" s="38"/>
      <c r="D632" s="38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25"/>
      <c r="B633" s="38"/>
      <c r="C633" s="38"/>
      <c r="D633" s="38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25"/>
      <c r="B634" s="38"/>
      <c r="C634" s="38"/>
      <c r="D634" s="38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25"/>
      <c r="B635" s="38"/>
      <c r="C635" s="38"/>
      <c r="D635" s="38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25"/>
      <c r="B636" s="38"/>
      <c r="C636" s="38"/>
      <c r="D636" s="38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25"/>
      <c r="B637" s="38"/>
      <c r="C637" s="38"/>
      <c r="D637" s="38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25"/>
      <c r="B638" s="38"/>
      <c r="C638" s="38"/>
      <c r="D638" s="38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25"/>
      <c r="B639" s="38"/>
      <c r="C639" s="38"/>
      <c r="D639" s="38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25"/>
      <c r="B640" s="38"/>
      <c r="C640" s="38"/>
      <c r="D640" s="38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25"/>
      <c r="B641" s="38"/>
      <c r="C641" s="38"/>
      <c r="D641" s="38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25"/>
      <c r="B642" s="38"/>
      <c r="C642" s="38"/>
      <c r="D642" s="38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25"/>
      <c r="B643" s="38"/>
      <c r="C643" s="38"/>
      <c r="D643" s="38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25"/>
      <c r="B644" s="38"/>
      <c r="C644" s="38"/>
      <c r="D644" s="38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25"/>
      <c r="B645" s="38"/>
      <c r="C645" s="38"/>
      <c r="D645" s="38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25"/>
      <c r="B646" s="38"/>
      <c r="C646" s="38"/>
      <c r="D646" s="38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25"/>
      <c r="B647" s="38"/>
      <c r="C647" s="38"/>
      <c r="D647" s="38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25"/>
      <c r="B648" s="38"/>
      <c r="C648" s="38"/>
      <c r="D648" s="38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25"/>
      <c r="B649" s="38"/>
      <c r="C649" s="38"/>
      <c r="D649" s="38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25"/>
      <c r="B650" s="38"/>
      <c r="C650" s="38"/>
      <c r="D650" s="38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25"/>
      <c r="B651" s="38"/>
      <c r="C651" s="38"/>
      <c r="D651" s="38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25"/>
      <c r="B652" s="38"/>
      <c r="C652" s="38"/>
      <c r="D652" s="38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25"/>
      <c r="B653" s="38"/>
      <c r="C653" s="38"/>
      <c r="D653" s="38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25"/>
      <c r="B654" s="38"/>
      <c r="C654" s="38"/>
      <c r="D654" s="38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25"/>
      <c r="B655" s="38"/>
      <c r="C655" s="38"/>
      <c r="D655" s="38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25"/>
      <c r="B656" s="38"/>
      <c r="C656" s="38"/>
      <c r="D656" s="38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25"/>
      <c r="B657" s="38"/>
      <c r="C657" s="38"/>
      <c r="D657" s="38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25"/>
      <c r="B658" s="38"/>
      <c r="C658" s="38"/>
      <c r="D658" s="38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25"/>
      <c r="B659" s="38"/>
      <c r="C659" s="38"/>
      <c r="D659" s="38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25"/>
      <c r="B660" s="38"/>
      <c r="C660" s="38"/>
      <c r="D660" s="38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25"/>
      <c r="B661" s="38"/>
      <c r="C661" s="38"/>
      <c r="D661" s="38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25"/>
      <c r="B662" s="38"/>
      <c r="C662" s="38"/>
      <c r="D662" s="38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25"/>
      <c r="B663" s="38"/>
      <c r="C663" s="38"/>
      <c r="D663" s="38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25"/>
      <c r="B664" s="38"/>
      <c r="C664" s="38"/>
      <c r="D664" s="38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25"/>
      <c r="B665" s="38"/>
      <c r="C665" s="38"/>
      <c r="D665" s="38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25"/>
      <c r="B666" s="38"/>
      <c r="C666" s="38"/>
      <c r="D666" s="38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25"/>
      <c r="B667" s="38"/>
      <c r="C667" s="38"/>
      <c r="D667" s="38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25"/>
      <c r="B668" s="38"/>
      <c r="C668" s="38"/>
      <c r="D668" s="38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25"/>
      <c r="B669" s="38"/>
      <c r="C669" s="38"/>
      <c r="D669" s="38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25"/>
      <c r="B670" s="38"/>
      <c r="C670" s="38"/>
      <c r="D670" s="38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25"/>
      <c r="B671" s="38"/>
      <c r="C671" s="38"/>
      <c r="D671" s="38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25"/>
      <c r="B672" s="38"/>
      <c r="C672" s="38"/>
      <c r="D672" s="38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25"/>
      <c r="B673" s="38"/>
      <c r="C673" s="38"/>
      <c r="D673" s="38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25"/>
      <c r="B674" s="38"/>
      <c r="C674" s="38"/>
      <c r="D674" s="38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25"/>
      <c r="B675" s="38"/>
      <c r="C675" s="38"/>
      <c r="D675" s="38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25"/>
      <c r="B676" s="38"/>
      <c r="C676" s="38"/>
      <c r="D676" s="38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25"/>
      <c r="B677" s="38"/>
      <c r="C677" s="38"/>
      <c r="D677" s="38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25"/>
      <c r="B678" s="38"/>
      <c r="C678" s="38"/>
      <c r="D678" s="38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25"/>
      <c r="B679" s="38"/>
      <c r="C679" s="38"/>
      <c r="D679" s="38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25"/>
      <c r="B680" s="38"/>
      <c r="C680" s="38"/>
      <c r="D680" s="38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25"/>
      <c r="B681" s="38"/>
      <c r="C681" s="38"/>
      <c r="D681" s="38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25"/>
      <c r="B682" s="38"/>
      <c r="C682" s="38"/>
      <c r="D682" s="38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25"/>
      <c r="B683" s="38"/>
      <c r="C683" s="38"/>
      <c r="D683" s="38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25"/>
      <c r="B684" s="38"/>
      <c r="C684" s="38"/>
      <c r="D684" s="38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25"/>
      <c r="B685" s="38"/>
      <c r="C685" s="38"/>
      <c r="D685" s="38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25"/>
      <c r="B686" s="38"/>
      <c r="C686" s="38"/>
      <c r="D686" s="38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25"/>
      <c r="B687" s="38"/>
      <c r="C687" s="38"/>
      <c r="D687" s="38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25"/>
      <c r="B688" s="38"/>
      <c r="C688" s="38"/>
      <c r="D688" s="38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25"/>
      <c r="B689" s="38"/>
      <c r="C689" s="38"/>
      <c r="D689" s="38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25"/>
      <c r="B690" s="38"/>
      <c r="C690" s="38"/>
      <c r="D690" s="38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25"/>
      <c r="B691" s="38"/>
      <c r="C691" s="38"/>
      <c r="D691" s="38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25"/>
      <c r="B692" s="38"/>
      <c r="C692" s="38"/>
      <c r="D692" s="38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25"/>
      <c r="B693" s="38"/>
      <c r="C693" s="38"/>
      <c r="D693" s="38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25"/>
      <c r="B694" s="38"/>
      <c r="C694" s="38"/>
      <c r="D694" s="38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25"/>
      <c r="B695" s="38"/>
      <c r="C695" s="38"/>
      <c r="D695" s="38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25"/>
      <c r="B696" s="38"/>
      <c r="C696" s="38"/>
      <c r="D696" s="38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25"/>
      <c r="B697" s="38"/>
      <c r="C697" s="38"/>
      <c r="D697" s="38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25"/>
      <c r="B698" s="38"/>
      <c r="C698" s="38"/>
      <c r="D698" s="38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25"/>
      <c r="B699" s="38"/>
      <c r="C699" s="38"/>
      <c r="D699" s="38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25"/>
      <c r="B700" s="38"/>
      <c r="C700" s="38"/>
      <c r="D700" s="38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25"/>
      <c r="B701" s="38"/>
      <c r="C701" s="38"/>
      <c r="D701" s="38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25"/>
      <c r="B702" s="38"/>
      <c r="C702" s="38"/>
      <c r="D702" s="38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25"/>
      <c r="B703" s="38"/>
      <c r="C703" s="38"/>
      <c r="D703" s="38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25"/>
      <c r="B704" s="38"/>
      <c r="C704" s="38"/>
      <c r="D704" s="38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25"/>
      <c r="B705" s="38"/>
      <c r="C705" s="38"/>
      <c r="D705" s="38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25"/>
      <c r="B706" s="38"/>
      <c r="C706" s="38"/>
      <c r="D706" s="38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25"/>
      <c r="B707" s="38"/>
      <c r="C707" s="38"/>
      <c r="D707" s="38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25"/>
      <c r="B708" s="38"/>
      <c r="C708" s="38"/>
      <c r="D708" s="38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25"/>
      <c r="B709" s="38"/>
      <c r="C709" s="38"/>
      <c r="D709" s="38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25"/>
      <c r="B710" s="38"/>
      <c r="C710" s="38"/>
      <c r="D710" s="38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25"/>
      <c r="B711" s="38"/>
      <c r="C711" s="38"/>
      <c r="D711" s="38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25"/>
      <c r="B712" s="38"/>
      <c r="C712" s="38"/>
      <c r="D712" s="38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25"/>
      <c r="B713" s="38"/>
      <c r="C713" s="38"/>
      <c r="D713" s="38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25"/>
      <c r="B714" s="38"/>
      <c r="C714" s="38"/>
      <c r="D714" s="38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25"/>
      <c r="B715" s="38"/>
      <c r="C715" s="38"/>
      <c r="D715" s="38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25"/>
      <c r="B716" s="38"/>
      <c r="C716" s="38"/>
      <c r="D716" s="38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25"/>
      <c r="B717" s="38"/>
      <c r="C717" s="38"/>
      <c r="D717" s="38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25"/>
      <c r="B718" s="38"/>
      <c r="C718" s="38"/>
      <c r="D718" s="38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25"/>
      <c r="B719" s="38"/>
      <c r="C719" s="38"/>
      <c r="D719" s="38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25"/>
      <c r="B720" s="38"/>
      <c r="C720" s="38"/>
      <c r="D720" s="38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25"/>
      <c r="B721" s="38"/>
      <c r="C721" s="38"/>
      <c r="D721" s="38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25"/>
      <c r="B722" s="38"/>
      <c r="C722" s="38"/>
      <c r="D722" s="38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25"/>
      <c r="B723" s="38"/>
      <c r="C723" s="38"/>
      <c r="D723" s="38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25"/>
      <c r="B724" s="38"/>
      <c r="C724" s="38"/>
      <c r="D724" s="38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25"/>
      <c r="B725" s="38"/>
      <c r="C725" s="38"/>
      <c r="D725" s="38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25"/>
      <c r="B726" s="38"/>
      <c r="C726" s="38"/>
      <c r="D726" s="38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25"/>
      <c r="B727" s="38"/>
      <c r="C727" s="38"/>
      <c r="D727" s="38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25"/>
      <c r="B728" s="38"/>
      <c r="C728" s="38"/>
      <c r="D728" s="38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25"/>
      <c r="B729" s="38"/>
      <c r="C729" s="38"/>
      <c r="D729" s="38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25"/>
      <c r="B730" s="38"/>
      <c r="C730" s="38"/>
      <c r="D730" s="38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25"/>
      <c r="B731" s="38"/>
      <c r="C731" s="38"/>
      <c r="D731" s="38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25"/>
      <c r="B732" s="38"/>
      <c r="C732" s="38"/>
      <c r="D732" s="38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25"/>
      <c r="B733" s="38"/>
      <c r="C733" s="38"/>
      <c r="D733" s="38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25"/>
      <c r="B734" s="38"/>
      <c r="C734" s="38"/>
      <c r="D734" s="38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25"/>
      <c r="B735" s="38"/>
      <c r="C735" s="38"/>
      <c r="D735" s="38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25"/>
      <c r="B736" s="38"/>
      <c r="C736" s="38"/>
      <c r="D736" s="38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25"/>
      <c r="B737" s="38"/>
      <c r="C737" s="38"/>
      <c r="D737" s="38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25"/>
      <c r="B738" s="38"/>
      <c r="C738" s="38"/>
      <c r="D738" s="38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25"/>
      <c r="B739" s="38"/>
      <c r="C739" s="38"/>
      <c r="D739" s="38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25"/>
      <c r="B740" s="38"/>
      <c r="C740" s="38"/>
      <c r="D740" s="38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25"/>
      <c r="B741" s="38"/>
      <c r="C741" s="38"/>
      <c r="D741" s="38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25"/>
      <c r="B742" s="38"/>
      <c r="C742" s="38"/>
      <c r="D742" s="38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25"/>
      <c r="B743" s="38"/>
      <c r="C743" s="38"/>
      <c r="D743" s="38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25"/>
      <c r="B744" s="38"/>
      <c r="C744" s="38"/>
      <c r="D744" s="38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25"/>
      <c r="B745" s="38"/>
      <c r="C745" s="38"/>
      <c r="D745" s="38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25"/>
      <c r="B746" s="38"/>
      <c r="C746" s="38"/>
      <c r="D746" s="38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25"/>
      <c r="B747" s="38"/>
      <c r="C747" s="38"/>
      <c r="D747" s="38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25"/>
      <c r="B748" s="38"/>
      <c r="C748" s="38"/>
      <c r="D748" s="38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25"/>
      <c r="B749" s="38"/>
      <c r="C749" s="38"/>
      <c r="D749" s="38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25"/>
      <c r="B750" s="38"/>
      <c r="C750" s="38"/>
      <c r="D750" s="38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25"/>
      <c r="B751" s="38"/>
      <c r="C751" s="38"/>
      <c r="D751" s="38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25"/>
      <c r="B752" s="38"/>
      <c r="C752" s="38"/>
      <c r="D752" s="38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25"/>
      <c r="B753" s="38"/>
      <c r="C753" s="38"/>
      <c r="D753" s="38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25"/>
      <c r="B754" s="38"/>
      <c r="C754" s="38"/>
      <c r="D754" s="38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25"/>
      <c r="B755" s="38"/>
      <c r="C755" s="38"/>
      <c r="D755" s="38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25"/>
      <c r="B756" s="38"/>
      <c r="C756" s="38"/>
      <c r="D756" s="38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25"/>
      <c r="B757" s="38"/>
      <c r="C757" s="38"/>
      <c r="D757" s="38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25"/>
      <c r="B758" s="38"/>
      <c r="C758" s="38"/>
      <c r="D758" s="38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25"/>
      <c r="B759" s="38"/>
      <c r="C759" s="38"/>
      <c r="D759" s="38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25"/>
      <c r="B760" s="38"/>
      <c r="C760" s="38"/>
      <c r="D760" s="38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25"/>
      <c r="B761" s="38"/>
      <c r="C761" s="38"/>
      <c r="D761" s="38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25"/>
      <c r="B762" s="38"/>
      <c r="C762" s="38"/>
      <c r="D762" s="38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25"/>
      <c r="B763" s="38"/>
      <c r="C763" s="38"/>
      <c r="D763" s="38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25"/>
      <c r="B764" s="38"/>
      <c r="C764" s="38"/>
      <c r="D764" s="38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25"/>
      <c r="B765" s="38"/>
      <c r="C765" s="38"/>
      <c r="D765" s="38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25"/>
      <c r="B766" s="38"/>
      <c r="C766" s="38"/>
      <c r="D766" s="38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25"/>
      <c r="B767" s="38"/>
      <c r="C767" s="38"/>
      <c r="D767" s="38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25"/>
      <c r="B768" s="38"/>
      <c r="C768" s="38"/>
      <c r="D768" s="38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25"/>
      <c r="B769" s="38"/>
      <c r="C769" s="38"/>
      <c r="D769" s="38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25"/>
      <c r="B770" s="38"/>
      <c r="C770" s="38"/>
      <c r="D770" s="38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25"/>
      <c r="B771" s="38"/>
      <c r="C771" s="38"/>
      <c r="D771" s="38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25"/>
      <c r="B772" s="38"/>
      <c r="C772" s="38"/>
      <c r="D772" s="38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25"/>
      <c r="B773" s="38"/>
      <c r="C773" s="38"/>
      <c r="D773" s="38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25"/>
      <c r="B774" s="38"/>
      <c r="C774" s="38"/>
      <c r="D774" s="38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25"/>
      <c r="B775" s="38"/>
      <c r="C775" s="38"/>
      <c r="D775" s="38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25"/>
      <c r="B776" s="38"/>
      <c r="C776" s="38"/>
      <c r="D776" s="38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25"/>
      <c r="B777" s="38"/>
      <c r="C777" s="38"/>
      <c r="D777" s="38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25"/>
      <c r="B778" s="38"/>
      <c r="C778" s="38"/>
      <c r="D778" s="38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25"/>
      <c r="B779" s="38"/>
      <c r="C779" s="38"/>
      <c r="D779" s="38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25"/>
      <c r="B780" s="38"/>
      <c r="C780" s="38"/>
      <c r="D780" s="38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25"/>
      <c r="B781" s="38"/>
      <c r="C781" s="38"/>
      <c r="D781" s="38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25"/>
      <c r="B782" s="38"/>
      <c r="C782" s="38"/>
      <c r="D782" s="38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25"/>
      <c r="B783" s="38"/>
      <c r="C783" s="38"/>
      <c r="D783" s="38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25"/>
      <c r="B784" s="38"/>
      <c r="C784" s="38"/>
      <c r="D784" s="38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25"/>
      <c r="B785" s="38"/>
      <c r="C785" s="38"/>
      <c r="D785" s="38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25"/>
      <c r="B786" s="38"/>
      <c r="C786" s="38"/>
      <c r="D786" s="38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25"/>
      <c r="B787" s="38"/>
      <c r="C787" s="38"/>
      <c r="D787" s="38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25"/>
      <c r="B788" s="38"/>
      <c r="C788" s="38"/>
      <c r="D788" s="38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25"/>
      <c r="B789" s="38"/>
      <c r="C789" s="38"/>
      <c r="D789" s="38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25"/>
      <c r="B790" s="38"/>
      <c r="C790" s="38"/>
      <c r="D790" s="38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25"/>
      <c r="B791" s="38"/>
      <c r="C791" s="38"/>
      <c r="D791" s="38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25"/>
      <c r="B792" s="38"/>
      <c r="C792" s="38"/>
      <c r="D792" s="38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25"/>
      <c r="B793" s="38"/>
      <c r="C793" s="38"/>
      <c r="D793" s="38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25"/>
      <c r="B794" s="38"/>
      <c r="C794" s="38"/>
      <c r="D794" s="38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25"/>
      <c r="B795" s="38"/>
      <c r="C795" s="38"/>
      <c r="D795" s="38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25"/>
      <c r="B796" s="38"/>
      <c r="C796" s="38"/>
      <c r="D796" s="38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25"/>
      <c r="B797" s="38"/>
      <c r="C797" s="38"/>
      <c r="D797" s="38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25"/>
      <c r="B798" s="38"/>
      <c r="C798" s="38"/>
      <c r="D798" s="38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25"/>
      <c r="B799" s="38"/>
      <c r="C799" s="38"/>
      <c r="D799" s="38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25"/>
      <c r="B800" s="38"/>
      <c r="C800" s="38"/>
      <c r="D800" s="38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25"/>
      <c r="B801" s="38"/>
      <c r="C801" s="38"/>
      <c r="D801" s="38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25"/>
      <c r="B802" s="38"/>
      <c r="C802" s="38"/>
      <c r="D802" s="38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25"/>
      <c r="B803" s="38"/>
      <c r="C803" s="38"/>
      <c r="D803" s="38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25"/>
      <c r="B804" s="38"/>
      <c r="C804" s="38"/>
      <c r="D804" s="38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25"/>
      <c r="B805" s="38"/>
      <c r="C805" s="38"/>
      <c r="D805" s="38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25"/>
      <c r="B806" s="38"/>
      <c r="C806" s="38"/>
      <c r="D806" s="38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25"/>
      <c r="B807" s="38"/>
      <c r="C807" s="38"/>
      <c r="D807" s="38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25"/>
      <c r="B808" s="38"/>
      <c r="C808" s="38"/>
      <c r="D808" s="38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25"/>
      <c r="B809" s="38"/>
      <c r="C809" s="38"/>
      <c r="D809" s="38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25"/>
      <c r="B810" s="38"/>
      <c r="C810" s="38"/>
      <c r="D810" s="38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25"/>
      <c r="B811" s="38"/>
      <c r="C811" s="38"/>
      <c r="D811" s="38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25"/>
      <c r="B812" s="38"/>
      <c r="C812" s="38"/>
      <c r="D812" s="38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25"/>
      <c r="B813" s="38"/>
      <c r="C813" s="38"/>
      <c r="D813" s="38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25"/>
      <c r="B814" s="38"/>
      <c r="C814" s="38"/>
      <c r="D814" s="38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25"/>
      <c r="B815" s="38"/>
      <c r="C815" s="38"/>
      <c r="D815" s="38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25"/>
      <c r="B816" s="38"/>
      <c r="C816" s="38"/>
      <c r="D816" s="38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25"/>
      <c r="B817" s="38"/>
      <c r="C817" s="38"/>
      <c r="D817" s="38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25"/>
      <c r="B818" s="38"/>
      <c r="C818" s="38"/>
      <c r="D818" s="38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25"/>
      <c r="B819" s="38"/>
      <c r="C819" s="38"/>
      <c r="D819" s="38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25"/>
      <c r="B820" s="38"/>
      <c r="C820" s="38"/>
      <c r="D820" s="38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25"/>
      <c r="B821" s="38"/>
      <c r="C821" s="38"/>
      <c r="D821" s="38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25"/>
      <c r="B822" s="38"/>
      <c r="C822" s="38"/>
      <c r="D822" s="38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25"/>
      <c r="B823" s="38"/>
      <c r="C823" s="38"/>
      <c r="D823" s="38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25"/>
      <c r="B824" s="38"/>
      <c r="C824" s="38"/>
      <c r="D824" s="38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25"/>
      <c r="B825" s="38"/>
      <c r="C825" s="38"/>
      <c r="D825" s="38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25"/>
      <c r="B826" s="38"/>
      <c r="C826" s="38"/>
      <c r="D826" s="38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25"/>
      <c r="B827" s="38"/>
      <c r="C827" s="38"/>
      <c r="D827" s="38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25"/>
      <c r="B828" s="38"/>
      <c r="C828" s="38"/>
      <c r="D828" s="38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25"/>
      <c r="B829" s="38"/>
      <c r="C829" s="38"/>
      <c r="D829" s="38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25"/>
      <c r="B830" s="38"/>
      <c r="C830" s="38"/>
      <c r="D830" s="38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25"/>
      <c r="B831" s="38"/>
      <c r="C831" s="38"/>
      <c r="D831" s="38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25"/>
      <c r="B832" s="38"/>
      <c r="C832" s="38"/>
      <c r="D832" s="38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25"/>
      <c r="B833" s="38"/>
      <c r="C833" s="38"/>
      <c r="D833" s="38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25"/>
      <c r="B834" s="38"/>
      <c r="C834" s="38"/>
      <c r="D834" s="38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25"/>
      <c r="B835" s="38"/>
      <c r="C835" s="38"/>
      <c r="D835" s="38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25"/>
      <c r="B836" s="38"/>
      <c r="C836" s="38"/>
      <c r="D836" s="38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25"/>
      <c r="B837" s="38"/>
      <c r="C837" s="38"/>
      <c r="D837" s="38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25"/>
      <c r="B838" s="38"/>
      <c r="C838" s="38"/>
      <c r="D838" s="38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25"/>
      <c r="B839" s="38"/>
      <c r="C839" s="38"/>
      <c r="D839" s="38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25"/>
      <c r="B840" s="38"/>
      <c r="C840" s="38"/>
      <c r="D840" s="38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25"/>
      <c r="B841" s="38"/>
      <c r="C841" s="38"/>
      <c r="D841" s="38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25"/>
      <c r="B842" s="38"/>
      <c r="C842" s="38"/>
      <c r="D842" s="38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25"/>
      <c r="B843" s="38"/>
      <c r="C843" s="38"/>
      <c r="D843" s="38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25"/>
      <c r="B844" s="38"/>
      <c r="C844" s="38"/>
      <c r="D844" s="38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25"/>
      <c r="B845" s="38"/>
      <c r="C845" s="38"/>
      <c r="D845" s="38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25"/>
      <c r="B846" s="38"/>
      <c r="C846" s="38"/>
      <c r="D846" s="38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25"/>
      <c r="B847" s="38"/>
      <c r="C847" s="38"/>
      <c r="D847" s="38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25"/>
      <c r="B848" s="38"/>
      <c r="C848" s="38"/>
      <c r="D848" s="38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25"/>
      <c r="B849" s="38"/>
      <c r="C849" s="38"/>
      <c r="D849" s="38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25"/>
      <c r="B850" s="38"/>
      <c r="C850" s="38"/>
      <c r="D850" s="38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25"/>
      <c r="B851" s="38"/>
      <c r="C851" s="38"/>
      <c r="D851" s="38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25"/>
      <c r="B852" s="38"/>
      <c r="C852" s="38"/>
      <c r="D852" s="38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25"/>
      <c r="B853" s="38"/>
      <c r="C853" s="38"/>
      <c r="D853" s="38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25"/>
      <c r="B854" s="38"/>
      <c r="C854" s="38"/>
      <c r="D854" s="38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25"/>
      <c r="B855" s="38"/>
      <c r="C855" s="38"/>
      <c r="D855" s="38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25"/>
      <c r="B856" s="38"/>
      <c r="C856" s="38"/>
      <c r="D856" s="38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25"/>
      <c r="B857" s="38"/>
      <c r="C857" s="38"/>
      <c r="D857" s="38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25"/>
      <c r="B858" s="38"/>
      <c r="C858" s="38"/>
      <c r="D858" s="38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25"/>
      <c r="B859" s="38"/>
      <c r="C859" s="38"/>
      <c r="D859" s="38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25"/>
      <c r="B860" s="38"/>
      <c r="C860" s="38"/>
      <c r="D860" s="38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25"/>
      <c r="B861" s="38"/>
      <c r="C861" s="38"/>
      <c r="D861" s="38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25"/>
      <c r="B862" s="38"/>
      <c r="C862" s="38"/>
      <c r="D862" s="38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25"/>
      <c r="B863" s="38"/>
      <c r="C863" s="38"/>
      <c r="D863" s="38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25"/>
      <c r="B864" s="38"/>
      <c r="C864" s="38"/>
      <c r="D864" s="38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25"/>
      <c r="B865" s="38"/>
      <c r="C865" s="38"/>
      <c r="D865" s="38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25"/>
      <c r="B866" s="38"/>
      <c r="C866" s="38"/>
      <c r="D866" s="38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25"/>
      <c r="B867" s="38"/>
      <c r="C867" s="38"/>
      <c r="D867" s="38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25"/>
      <c r="B868" s="38"/>
      <c r="C868" s="38"/>
      <c r="D868" s="38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25"/>
      <c r="B869" s="38"/>
      <c r="C869" s="38"/>
      <c r="D869" s="38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25"/>
      <c r="B870" s="38"/>
      <c r="C870" s="38"/>
      <c r="D870" s="38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25"/>
      <c r="B871" s="38"/>
      <c r="C871" s="38"/>
      <c r="D871" s="38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25"/>
      <c r="B872" s="38"/>
      <c r="C872" s="38"/>
      <c r="D872" s="38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25"/>
      <c r="B873" s="38"/>
      <c r="C873" s="38"/>
      <c r="D873" s="38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25"/>
      <c r="B874" s="38"/>
      <c r="C874" s="38"/>
      <c r="D874" s="38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25"/>
      <c r="B875" s="38"/>
      <c r="C875" s="38"/>
      <c r="D875" s="38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25"/>
      <c r="B876" s="38"/>
      <c r="C876" s="38"/>
      <c r="D876" s="38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25"/>
      <c r="B877" s="38"/>
      <c r="C877" s="38"/>
      <c r="D877" s="38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25"/>
      <c r="B878" s="38"/>
      <c r="C878" s="38"/>
      <c r="D878" s="38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25"/>
      <c r="B879" s="38"/>
      <c r="C879" s="38"/>
      <c r="D879" s="38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25"/>
      <c r="B880" s="38"/>
      <c r="C880" s="38"/>
      <c r="D880" s="38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25"/>
      <c r="B881" s="38"/>
      <c r="C881" s="38"/>
      <c r="D881" s="38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25"/>
      <c r="B882" s="38"/>
      <c r="C882" s="38"/>
      <c r="D882" s="38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25"/>
      <c r="B883" s="38"/>
      <c r="C883" s="38"/>
      <c r="D883" s="38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25"/>
      <c r="B884" s="38"/>
      <c r="C884" s="38"/>
      <c r="D884" s="38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25"/>
      <c r="B885" s="38"/>
      <c r="C885" s="38"/>
      <c r="D885" s="38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25"/>
      <c r="B886" s="38"/>
      <c r="C886" s="38"/>
      <c r="D886" s="38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25"/>
      <c r="B887" s="38"/>
      <c r="C887" s="38"/>
      <c r="D887" s="38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25"/>
      <c r="B888" s="38"/>
      <c r="C888" s="38"/>
      <c r="D888" s="38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25"/>
      <c r="B889" s="38"/>
      <c r="C889" s="38"/>
      <c r="D889" s="38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25"/>
      <c r="B890" s="38"/>
      <c r="C890" s="38"/>
      <c r="D890" s="38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25"/>
      <c r="B891" s="38"/>
      <c r="C891" s="38"/>
      <c r="D891" s="38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25"/>
      <c r="B892" s="38"/>
      <c r="C892" s="38"/>
      <c r="D892" s="38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25"/>
      <c r="B893" s="38"/>
      <c r="C893" s="38"/>
      <c r="D893" s="38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25"/>
      <c r="B894" s="38"/>
      <c r="C894" s="38"/>
      <c r="D894" s="38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25"/>
      <c r="B895" s="38"/>
      <c r="C895" s="38"/>
      <c r="D895" s="38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25"/>
      <c r="B896" s="38"/>
      <c r="C896" s="38"/>
      <c r="D896" s="38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25"/>
      <c r="B897" s="38"/>
      <c r="C897" s="38"/>
      <c r="D897" s="38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25"/>
      <c r="B898" s="38"/>
      <c r="C898" s="38"/>
      <c r="D898" s="38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25"/>
      <c r="B899" s="38"/>
      <c r="C899" s="38"/>
      <c r="D899" s="38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25"/>
      <c r="B900" s="38"/>
      <c r="C900" s="38"/>
      <c r="D900" s="38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25"/>
      <c r="B901" s="38"/>
      <c r="C901" s="38"/>
      <c r="D901" s="38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25"/>
      <c r="B902" s="38"/>
      <c r="C902" s="38"/>
      <c r="D902" s="38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25"/>
      <c r="B903" s="38"/>
      <c r="C903" s="38"/>
      <c r="D903" s="38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25"/>
      <c r="B904" s="38"/>
      <c r="C904" s="38"/>
      <c r="D904" s="38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25"/>
      <c r="B905" s="38"/>
      <c r="C905" s="38"/>
      <c r="D905" s="38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25"/>
      <c r="B906" s="38"/>
      <c r="C906" s="38"/>
      <c r="D906" s="38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25"/>
      <c r="B907" s="38"/>
      <c r="C907" s="38"/>
      <c r="D907" s="38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25"/>
      <c r="B908" s="38"/>
      <c r="C908" s="38"/>
      <c r="D908" s="38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25"/>
      <c r="B909" s="38"/>
      <c r="C909" s="38"/>
      <c r="D909" s="38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25"/>
      <c r="B910" s="38"/>
      <c r="C910" s="38"/>
      <c r="D910" s="38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25"/>
      <c r="B911" s="38"/>
      <c r="C911" s="38"/>
      <c r="D911" s="38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25"/>
      <c r="B912" s="38"/>
      <c r="C912" s="38"/>
      <c r="D912" s="38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25"/>
      <c r="B913" s="38"/>
      <c r="C913" s="38"/>
      <c r="D913" s="38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25"/>
      <c r="B914" s="38"/>
      <c r="C914" s="38"/>
      <c r="D914" s="38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25"/>
      <c r="B915" s="38"/>
      <c r="C915" s="38"/>
      <c r="D915" s="38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25"/>
      <c r="B916" s="38"/>
      <c r="C916" s="38"/>
      <c r="D916" s="38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25"/>
      <c r="B917" s="38"/>
      <c r="C917" s="38"/>
      <c r="D917" s="38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25"/>
      <c r="B918" s="38"/>
      <c r="C918" s="38"/>
      <c r="D918" s="38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25"/>
      <c r="B919" s="38"/>
      <c r="C919" s="38"/>
      <c r="D919" s="38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25"/>
      <c r="B920" s="38"/>
      <c r="C920" s="38"/>
      <c r="D920" s="38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25"/>
      <c r="B921" s="38"/>
      <c r="C921" s="38"/>
      <c r="D921" s="38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25"/>
      <c r="B922" s="38"/>
      <c r="C922" s="38"/>
      <c r="D922" s="38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25"/>
      <c r="B923" s="38"/>
      <c r="C923" s="38"/>
      <c r="D923" s="38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25"/>
      <c r="B924" s="38"/>
      <c r="C924" s="38"/>
      <c r="D924" s="38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25"/>
      <c r="B925" s="38"/>
      <c r="C925" s="38"/>
      <c r="D925" s="38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25"/>
      <c r="B926" s="38"/>
      <c r="C926" s="38"/>
      <c r="D926" s="38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25"/>
      <c r="B927" s="38"/>
      <c r="C927" s="38"/>
      <c r="D927" s="38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25"/>
      <c r="B928" s="38"/>
      <c r="C928" s="38"/>
      <c r="D928" s="38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25"/>
      <c r="B929" s="38"/>
      <c r="C929" s="38"/>
      <c r="D929" s="38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25"/>
      <c r="B930" s="38"/>
      <c r="C930" s="38"/>
      <c r="D930" s="38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25"/>
      <c r="B931" s="38"/>
      <c r="C931" s="38"/>
      <c r="D931" s="38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25"/>
      <c r="B932" s="38"/>
      <c r="C932" s="38"/>
      <c r="D932" s="38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25"/>
      <c r="B933" s="38"/>
      <c r="C933" s="38"/>
      <c r="D933" s="38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25"/>
      <c r="B934" s="38"/>
      <c r="C934" s="38"/>
      <c r="D934" s="38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25"/>
      <c r="B935" s="38"/>
      <c r="C935" s="38"/>
      <c r="D935" s="38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25"/>
      <c r="B936" s="38"/>
      <c r="C936" s="38"/>
      <c r="D936" s="38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25"/>
      <c r="B937" s="38"/>
      <c r="C937" s="38"/>
      <c r="D937" s="38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25"/>
      <c r="B938" s="38"/>
      <c r="C938" s="38"/>
      <c r="D938" s="38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25"/>
      <c r="B939" s="38"/>
      <c r="C939" s="38"/>
      <c r="D939" s="38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25"/>
      <c r="B940" s="38"/>
      <c r="C940" s="38"/>
      <c r="D940" s="38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25"/>
      <c r="B941" s="38"/>
      <c r="C941" s="38"/>
      <c r="D941" s="38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25"/>
      <c r="B942" s="38"/>
      <c r="C942" s="38"/>
      <c r="D942" s="38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25"/>
      <c r="B943" s="38"/>
      <c r="C943" s="38"/>
      <c r="D943" s="38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25"/>
      <c r="B944" s="38"/>
      <c r="C944" s="38"/>
      <c r="D944" s="38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25"/>
      <c r="B945" s="38"/>
      <c r="C945" s="38"/>
      <c r="D945" s="38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25"/>
      <c r="B946" s="38"/>
      <c r="C946" s="38"/>
      <c r="D946" s="38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25"/>
      <c r="B947" s="38"/>
      <c r="C947" s="38"/>
      <c r="D947" s="38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25"/>
      <c r="B948" s="38"/>
      <c r="C948" s="38"/>
      <c r="D948" s="38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25"/>
      <c r="B949" s="38"/>
      <c r="C949" s="38"/>
      <c r="D949" s="38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25"/>
      <c r="B950" s="38"/>
      <c r="C950" s="38"/>
      <c r="D950" s="38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25"/>
      <c r="B951" s="38"/>
      <c r="C951" s="38"/>
      <c r="D951" s="38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25"/>
      <c r="B952" s="38"/>
      <c r="C952" s="38"/>
      <c r="D952" s="38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25"/>
      <c r="B953" s="38"/>
      <c r="C953" s="38"/>
      <c r="D953" s="38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25"/>
      <c r="B954" s="38"/>
      <c r="C954" s="38"/>
      <c r="D954" s="38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25"/>
      <c r="B955" s="38"/>
      <c r="C955" s="38"/>
      <c r="D955" s="38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25"/>
      <c r="B956" s="38"/>
      <c r="C956" s="38"/>
      <c r="D956" s="38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25"/>
      <c r="B957" s="38"/>
      <c r="C957" s="38"/>
      <c r="D957" s="38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25"/>
      <c r="B958" s="38"/>
      <c r="C958" s="38"/>
      <c r="D958" s="38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25"/>
      <c r="B959" s="38"/>
      <c r="C959" s="38"/>
      <c r="D959" s="38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25"/>
      <c r="B960" s="38"/>
      <c r="C960" s="38"/>
      <c r="D960" s="38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25"/>
      <c r="B961" s="38"/>
      <c r="C961" s="38"/>
      <c r="D961" s="38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25"/>
      <c r="B962" s="38"/>
      <c r="C962" s="38"/>
      <c r="D962" s="38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25"/>
      <c r="B963" s="38"/>
      <c r="C963" s="38"/>
      <c r="D963" s="38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25"/>
      <c r="B964" s="38"/>
      <c r="C964" s="38"/>
      <c r="D964" s="38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25"/>
      <c r="B965" s="38"/>
      <c r="C965" s="38"/>
      <c r="D965" s="38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25"/>
      <c r="B966" s="38"/>
      <c r="C966" s="38"/>
      <c r="D966" s="38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25"/>
      <c r="B967" s="38"/>
      <c r="C967" s="38"/>
      <c r="D967" s="38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25"/>
      <c r="B968" s="38"/>
      <c r="C968" s="38"/>
      <c r="D968" s="38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25"/>
      <c r="B969" s="38"/>
      <c r="C969" s="38"/>
      <c r="D969" s="38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25"/>
      <c r="B970" s="38"/>
      <c r="C970" s="38"/>
      <c r="D970" s="38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25"/>
      <c r="B971" s="38"/>
      <c r="C971" s="38"/>
      <c r="D971" s="38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25"/>
      <c r="B972" s="38"/>
      <c r="C972" s="38"/>
      <c r="D972" s="38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25"/>
      <c r="B973" s="38"/>
      <c r="C973" s="38"/>
      <c r="D973" s="38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25"/>
      <c r="B974" s="38"/>
      <c r="C974" s="38"/>
      <c r="D974" s="38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25"/>
      <c r="B975" s="38"/>
      <c r="C975" s="38"/>
      <c r="D975" s="38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25"/>
      <c r="B976" s="38"/>
      <c r="C976" s="38"/>
      <c r="D976" s="38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25"/>
      <c r="B977" s="38"/>
      <c r="C977" s="38"/>
      <c r="D977" s="38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25"/>
      <c r="B978" s="38"/>
      <c r="C978" s="38"/>
      <c r="D978" s="38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25"/>
      <c r="B979" s="38"/>
      <c r="C979" s="38"/>
      <c r="D979" s="38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25"/>
      <c r="B980" s="38"/>
      <c r="C980" s="38"/>
      <c r="D980" s="38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25"/>
      <c r="B981" s="38"/>
      <c r="C981" s="38"/>
      <c r="D981" s="38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25"/>
      <c r="B982" s="38"/>
      <c r="C982" s="38"/>
      <c r="D982" s="38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25"/>
      <c r="B983" s="38"/>
      <c r="C983" s="38"/>
      <c r="D983" s="38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25"/>
      <c r="B984" s="38"/>
      <c r="C984" s="38"/>
      <c r="D984" s="38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25"/>
      <c r="B985" s="38"/>
      <c r="C985" s="38"/>
      <c r="D985" s="38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25"/>
      <c r="B986" s="38"/>
      <c r="C986" s="38"/>
      <c r="D986" s="38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25"/>
      <c r="B987" s="38"/>
      <c r="C987" s="38"/>
      <c r="D987" s="38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25"/>
      <c r="B988" s="38"/>
      <c r="C988" s="38"/>
      <c r="D988" s="38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25"/>
      <c r="B989" s="38"/>
      <c r="C989" s="38"/>
      <c r="D989" s="38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25"/>
      <c r="B990" s="38"/>
      <c r="C990" s="38"/>
      <c r="D990" s="38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25"/>
      <c r="B991" s="38"/>
      <c r="C991" s="38"/>
      <c r="D991" s="38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25"/>
      <c r="B992" s="38"/>
      <c r="C992" s="38"/>
      <c r="D992" s="38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25"/>
      <c r="B993" s="38"/>
      <c r="C993" s="38"/>
      <c r="D993" s="38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25"/>
      <c r="B994" s="38"/>
      <c r="C994" s="38"/>
      <c r="D994" s="38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25"/>
      <c r="B995" s="38"/>
      <c r="C995" s="38"/>
      <c r="D995" s="38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25"/>
      <c r="B996" s="38"/>
      <c r="C996" s="38"/>
      <c r="D996" s="38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25"/>
      <c r="B997" s="38"/>
      <c r="C997" s="38"/>
      <c r="D997" s="38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25"/>
      <c r="B998" s="38"/>
      <c r="C998" s="38"/>
      <c r="D998" s="38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25"/>
      <c r="B999" s="38"/>
      <c r="C999" s="38"/>
      <c r="D999" s="38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25"/>
      <c r="B1000" s="38"/>
      <c r="C1000" s="38"/>
      <c r="D1000" s="38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conditionalFormatting sqref="E2:E1000">
    <cfRule type="cellIs" dxfId="4" priority="1" stopIfTrue="1" operator="equal">
      <formula>"CÓ THỂ ĐI"</formula>
    </cfRule>
  </conditionalFormatting>
  <conditionalFormatting sqref="E2:E1000">
    <cfRule type="cellIs" dxfId="5" priority="2" stopIfTrue="1" operator="equal">
      <formula>"PHÙ HỢP CAO"</formula>
    </cfRule>
  </conditionalFormatting>
  <hyperlinks>
    <hyperlink r:id="rId1" ref="B2"/>
    <hyperlink r:id="rId2" ref="D2"/>
    <hyperlink r:id="rId3" ref="B3"/>
    <hyperlink r:id="rId4" ref="D3"/>
    <hyperlink r:id="rId5" ref="B4"/>
    <hyperlink r:id="rId6" ref="D4"/>
    <hyperlink r:id="rId7" ref="B5"/>
    <hyperlink r:id="rId8" ref="D5"/>
    <hyperlink r:id="rId9" ref="B6"/>
    <hyperlink r:id="rId10" ref="D6"/>
    <hyperlink r:id="rId11" ref="B7"/>
    <hyperlink r:id="rId12" ref="D7"/>
    <hyperlink r:id="rId13" ref="B8"/>
    <hyperlink r:id="rId14" ref="D8"/>
    <hyperlink r:id="rId15" ref="B9"/>
    <hyperlink r:id="rId16" ref="D9"/>
    <hyperlink r:id="rId17" ref="B10"/>
    <hyperlink r:id="rId18" ref="D10"/>
    <hyperlink r:id="rId19" ref="B11"/>
    <hyperlink r:id="rId20" ref="D11"/>
    <hyperlink r:id="rId21" ref="B12"/>
    <hyperlink r:id="rId22" ref="D12"/>
    <hyperlink r:id="rId23" ref="B13"/>
    <hyperlink r:id="rId24" ref="D13"/>
    <hyperlink r:id="rId25" ref="B14"/>
    <hyperlink r:id="rId26" ref="D14"/>
    <hyperlink r:id="rId27" ref="B15"/>
    <hyperlink r:id="rId28" ref="D15"/>
    <hyperlink r:id="rId29" ref="B16"/>
    <hyperlink r:id="rId30" ref="D16"/>
    <hyperlink r:id="rId31" ref="B17"/>
    <hyperlink r:id="rId32" ref="D17"/>
    <hyperlink r:id="rId33" ref="B18"/>
    <hyperlink r:id="rId34" ref="D18"/>
    <hyperlink r:id="rId35" ref="B19"/>
    <hyperlink r:id="rId36" ref="D19"/>
    <hyperlink r:id="rId37" ref="B20"/>
    <hyperlink r:id="rId38" ref="D20"/>
    <hyperlink r:id="rId39" ref="B21"/>
    <hyperlink r:id="rId40" ref="D21"/>
    <hyperlink r:id="rId41" ref="B22"/>
    <hyperlink r:id="rId42" ref="D22"/>
    <hyperlink r:id="rId43" ref="B23"/>
    <hyperlink r:id="rId44" ref="D23"/>
    <hyperlink r:id="rId45" ref="B24"/>
    <hyperlink r:id="rId46" ref="D24"/>
    <hyperlink r:id="rId47" ref="B25"/>
    <hyperlink r:id="rId48" ref="D25"/>
    <hyperlink r:id="rId49" ref="B26"/>
    <hyperlink r:id="rId50" ref="D26"/>
    <hyperlink r:id="rId51" ref="B27"/>
    <hyperlink r:id="rId52" ref="D27"/>
    <hyperlink r:id="rId53" ref="B28"/>
    <hyperlink r:id="rId54" ref="D28"/>
    <hyperlink r:id="rId55" ref="B29"/>
    <hyperlink r:id="rId56" ref="D29"/>
    <hyperlink r:id="rId57" ref="B30"/>
    <hyperlink r:id="rId58" ref="D30"/>
    <hyperlink r:id="rId59" ref="B31"/>
    <hyperlink r:id="rId60" ref="D31"/>
    <hyperlink r:id="rId61" ref="B32"/>
    <hyperlink r:id="rId62" ref="D32"/>
    <hyperlink r:id="rId63" ref="B33"/>
    <hyperlink r:id="rId64" ref="D33"/>
    <hyperlink r:id="rId65" ref="B34"/>
    <hyperlink r:id="rId66" ref="D34"/>
    <hyperlink r:id="rId67" ref="B35"/>
    <hyperlink r:id="rId68" ref="D35"/>
    <hyperlink r:id="rId69" ref="B36"/>
    <hyperlink r:id="rId70" ref="D36"/>
    <hyperlink r:id="rId71" ref="B37"/>
    <hyperlink r:id="rId72" ref="D37"/>
    <hyperlink r:id="rId73" ref="B38"/>
    <hyperlink r:id="rId74" ref="D38"/>
    <hyperlink r:id="rId75" ref="B39"/>
    <hyperlink r:id="rId76" ref="D39"/>
    <hyperlink r:id="rId77" ref="B40"/>
    <hyperlink r:id="rId78" ref="D40"/>
    <hyperlink r:id="rId79" ref="B41"/>
    <hyperlink r:id="rId80" ref="D41"/>
    <hyperlink r:id="rId81" ref="B42"/>
    <hyperlink r:id="rId82" ref="D42"/>
    <hyperlink r:id="rId83" ref="B43"/>
    <hyperlink r:id="rId84" ref="D43"/>
    <hyperlink r:id="rId85" ref="B44"/>
    <hyperlink r:id="rId86" ref="D44"/>
    <hyperlink r:id="rId87" ref="B45"/>
    <hyperlink r:id="rId88" ref="D45"/>
    <hyperlink r:id="rId89" ref="B46"/>
    <hyperlink r:id="rId90" ref="D46"/>
    <hyperlink r:id="rId91" ref="B47"/>
    <hyperlink r:id="rId92" ref="D47"/>
    <hyperlink r:id="rId93" ref="B48"/>
    <hyperlink r:id="rId94" ref="D48"/>
    <hyperlink r:id="rId95" ref="B49"/>
    <hyperlink r:id="rId96" ref="D49"/>
    <hyperlink r:id="rId97" ref="B50"/>
    <hyperlink r:id="rId98" ref="D50"/>
    <hyperlink r:id="rId99" ref="B51"/>
    <hyperlink r:id="rId100" ref="D51"/>
    <hyperlink r:id="rId101" ref="B52"/>
    <hyperlink r:id="rId102" ref="D52"/>
    <hyperlink r:id="rId103" ref="B53"/>
    <hyperlink r:id="rId104" ref="D53"/>
    <hyperlink r:id="rId105" ref="B54"/>
    <hyperlink r:id="rId106" ref="D54"/>
    <hyperlink r:id="rId107" ref="B55"/>
    <hyperlink r:id="rId108" ref="D55"/>
    <hyperlink r:id="rId109" ref="B56"/>
    <hyperlink r:id="rId110" ref="D56"/>
    <hyperlink r:id="rId111" ref="B57"/>
    <hyperlink r:id="rId112" ref="D57"/>
    <hyperlink r:id="rId113" ref="B58"/>
    <hyperlink r:id="rId114" ref="D58"/>
    <hyperlink r:id="rId115" ref="B59"/>
    <hyperlink r:id="rId116" ref="D59"/>
    <hyperlink r:id="rId117" ref="B60"/>
    <hyperlink r:id="rId118" ref="D60"/>
    <hyperlink r:id="rId119" ref="B61"/>
    <hyperlink r:id="rId120" ref="D61"/>
    <hyperlink r:id="rId121" ref="B62"/>
    <hyperlink r:id="rId122" ref="D62"/>
    <hyperlink r:id="rId123" ref="B63"/>
    <hyperlink r:id="rId124" ref="D63"/>
    <hyperlink r:id="rId125" ref="B64"/>
    <hyperlink r:id="rId126" ref="D64"/>
    <hyperlink r:id="rId127" ref="B65"/>
    <hyperlink r:id="rId128" ref="D65"/>
    <hyperlink r:id="rId129" ref="B66"/>
    <hyperlink r:id="rId130" ref="D66"/>
    <hyperlink r:id="rId131" ref="B67"/>
    <hyperlink r:id="rId132" ref="D67"/>
    <hyperlink r:id="rId133" ref="B68"/>
    <hyperlink r:id="rId134" ref="D68"/>
    <hyperlink r:id="rId135" ref="B69"/>
    <hyperlink r:id="rId136" ref="D69"/>
    <hyperlink r:id="rId137" ref="B70"/>
    <hyperlink r:id="rId138" ref="D70"/>
    <hyperlink r:id="rId139" ref="B71"/>
    <hyperlink r:id="rId140" ref="D71"/>
    <hyperlink r:id="rId141" ref="B72"/>
    <hyperlink r:id="rId142" ref="D72"/>
    <hyperlink r:id="rId143" ref="B73"/>
    <hyperlink r:id="rId144" ref="D73"/>
    <hyperlink r:id="rId145" ref="B74"/>
    <hyperlink r:id="rId146" ref="D74"/>
    <hyperlink r:id="rId147" ref="B75"/>
    <hyperlink r:id="rId148" ref="D75"/>
    <hyperlink r:id="rId149" ref="B76"/>
    <hyperlink r:id="rId150" ref="D76"/>
    <hyperlink r:id="rId151" ref="B77"/>
    <hyperlink r:id="rId152" ref="D77"/>
    <hyperlink r:id="rId153" ref="B78"/>
    <hyperlink r:id="rId154" ref="D78"/>
    <hyperlink r:id="rId155" ref="B79"/>
    <hyperlink r:id="rId156" ref="D79"/>
    <hyperlink r:id="rId157" ref="B80"/>
    <hyperlink r:id="rId158" ref="D80"/>
    <hyperlink r:id="rId159" ref="B81"/>
    <hyperlink r:id="rId160" ref="D81"/>
    <hyperlink r:id="rId161" ref="B82"/>
    <hyperlink r:id="rId162" ref="D82"/>
    <hyperlink r:id="rId163" ref="B83"/>
    <hyperlink r:id="rId164" ref="D83"/>
    <hyperlink r:id="rId165" ref="B84"/>
    <hyperlink r:id="rId166" ref="D84"/>
    <hyperlink r:id="rId167" ref="B85"/>
    <hyperlink r:id="rId168" ref="D85"/>
    <hyperlink r:id="rId169" ref="B86"/>
    <hyperlink r:id="rId170" ref="D86"/>
    <hyperlink r:id="rId171" ref="B87"/>
    <hyperlink r:id="rId172" ref="D87"/>
    <hyperlink r:id="rId173" ref="B88"/>
    <hyperlink r:id="rId174" ref="D88"/>
    <hyperlink r:id="rId175" ref="B89"/>
    <hyperlink r:id="rId176" ref="D89"/>
    <hyperlink r:id="rId177" ref="B90"/>
    <hyperlink r:id="rId178" ref="D90"/>
    <hyperlink r:id="rId179" ref="B91"/>
    <hyperlink r:id="rId180" ref="D91"/>
    <hyperlink r:id="rId181" ref="B92"/>
    <hyperlink r:id="rId182" ref="D92"/>
    <hyperlink r:id="rId183" ref="B93"/>
    <hyperlink r:id="rId184" ref="D93"/>
    <hyperlink r:id="rId185" ref="B94"/>
    <hyperlink r:id="rId186" ref="D94"/>
    <hyperlink r:id="rId187" ref="B95"/>
    <hyperlink r:id="rId188" ref="D95"/>
    <hyperlink r:id="rId189" ref="B96"/>
    <hyperlink r:id="rId190" ref="D96"/>
    <hyperlink r:id="rId191" ref="B97"/>
    <hyperlink r:id="rId192" ref="D97"/>
    <hyperlink r:id="rId193" ref="B98"/>
    <hyperlink r:id="rId194" ref="D98"/>
    <hyperlink r:id="rId195" ref="B99"/>
    <hyperlink r:id="rId196" ref="D99"/>
    <hyperlink r:id="rId197" ref="B100"/>
    <hyperlink r:id="rId198" ref="D100"/>
    <hyperlink r:id="rId199" ref="B101"/>
    <hyperlink r:id="rId200" ref="D101"/>
    <hyperlink r:id="rId201" ref="B102"/>
    <hyperlink r:id="rId202" ref="D102"/>
    <hyperlink r:id="rId203" ref="B103"/>
    <hyperlink r:id="rId204" ref="D103"/>
    <hyperlink r:id="rId205" ref="B104"/>
    <hyperlink r:id="rId206" ref="D104"/>
    <hyperlink r:id="rId207" ref="B105"/>
    <hyperlink r:id="rId208" ref="D105"/>
    <hyperlink r:id="rId209" ref="B106"/>
    <hyperlink r:id="rId210" ref="D106"/>
    <hyperlink r:id="rId211" ref="B107"/>
    <hyperlink r:id="rId212" ref="D107"/>
    <hyperlink r:id="rId213" ref="B108"/>
    <hyperlink r:id="rId214" ref="D108"/>
    <hyperlink r:id="rId215" ref="B109"/>
    <hyperlink r:id="rId216" ref="D109"/>
    <hyperlink r:id="rId217" ref="B110"/>
    <hyperlink r:id="rId218" ref="D110"/>
    <hyperlink r:id="rId219" ref="B111"/>
    <hyperlink r:id="rId220" ref="D111"/>
    <hyperlink r:id="rId221" ref="B112"/>
    <hyperlink r:id="rId222" ref="D112"/>
    <hyperlink r:id="rId223" ref="B113"/>
    <hyperlink r:id="rId224" ref="D113"/>
    <hyperlink r:id="rId225" ref="B114"/>
    <hyperlink r:id="rId226" ref="D114"/>
    <hyperlink r:id="rId227" ref="B115"/>
    <hyperlink r:id="rId228" ref="D115"/>
    <hyperlink r:id="rId229" ref="B116"/>
    <hyperlink r:id="rId230" ref="D116"/>
    <hyperlink r:id="rId231" ref="B117"/>
    <hyperlink r:id="rId232" ref="D117"/>
    <hyperlink r:id="rId233" ref="B118"/>
    <hyperlink r:id="rId234" ref="D118"/>
    <hyperlink r:id="rId235" ref="B119"/>
    <hyperlink r:id="rId236" ref="D119"/>
    <hyperlink r:id="rId237" ref="B120"/>
    <hyperlink r:id="rId238" ref="D120"/>
    <hyperlink r:id="rId239" ref="B121"/>
    <hyperlink r:id="rId240" ref="D121"/>
    <hyperlink r:id="rId241" ref="B122"/>
    <hyperlink r:id="rId242" ref="D122"/>
    <hyperlink r:id="rId243" ref="B123"/>
    <hyperlink r:id="rId244" ref="D123"/>
    <hyperlink r:id="rId245" ref="B124"/>
    <hyperlink r:id="rId246" ref="D124"/>
    <hyperlink r:id="rId247" ref="B125"/>
    <hyperlink r:id="rId248" ref="D125"/>
    <hyperlink r:id="rId249" ref="B126"/>
    <hyperlink r:id="rId250" ref="D126"/>
    <hyperlink r:id="rId251" ref="B127"/>
    <hyperlink r:id="rId252" ref="D127"/>
    <hyperlink r:id="rId253" ref="B128"/>
    <hyperlink r:id="rId254" ref="D128"/>
    <hyperlink r:id="rId255" ref="B129"/>
    <hyperlink r:id="rId256" ref="D129"/>
    <hyperlink r:id="rId257" ref="B130"/>
    <hyperlink r:id="rId258" ref="D130"/>
    <hyperlink r:id="rId259" ref="B131"/>
    <hyperlink r:id="rId260" ref="D131"/>
    <hyperlink r:id="rId261" ref="B132"/>
    <hyperlink r:id="rId262" ref="D132"/>
    <hyperlink r:id="rId263" ref="B133"/>
    <hyperlink r:id="rId264" ref="D133"/>
    <hyperlink r:id="rId265" ref="B134"/>
    <hyperlink r:id="rId266" ref="D134"/>
    <hyperlink r:id="rId267" ref="B135"/>
    <hyperlink r:id="rId268" ref="D135"/>
    <hyperlink r:id="rId269" ref="B136"/>
    <hyperlink r:id="rId270" ref="D136"/>
    <hyperlink r:id="rId271" ref="B137"/>
    <hyperlink r:id="rId272" ref="D137"/>
    <hyperlink r:id="rId273" ref="B138"/>
    <hyperlink r:id="rId274" ref="D138"/>
    <hyperlink r:id="rId275" ref="B139"/>
    <hyperlink r:id="rId276" ref="D139"/>
    <hyperlink r:id="rId277" ref="B140"/>
    <hyperlink r:id="rId278" ref="D140"/>
    <hyperlink r:id="rId279" ref="B141"/>
    <hyperlink r:id="rId280" ref="D141"/>
    <hyperlink r:id="rId281" ref="B142"/>
    <hyperlink r:id="rId282" ref="D142"/>
    <hyperlink r:id="rId283" ref="B143"/>
    <hyperlink r:id="rId284" ref="D143"/>
    <hyperlink r:id="rId285" ref="B144"/>
    <hyperlink r:id="rId286" ref="D144"/>
    <hyperlink r:id="rId287" ref="B145"/>
    <hyperlink r:id="rId288" ref="D145"/>
    <hyperlink r:id="rId289" ref="B146"/>
    <hyperlink r:id="rId290" ref="D146"/>
    <hyperlink r:id="rId291" ref="B147"/>
    <hyperlink r:id="rId292" ref="D147"/>
    <hyperlink r:id="rId293" ref="B148"/>
    <hyperlink r:id="rId294" ref="D148"/>
    <hyperlink r:id="rId295" ref="B149"/>
    <hyperlink r:id="rId296" ref="D149"/>
    <hyperlink r:id="rId297" ref="B150"/>
    <hyperlink r:id="rId298" ref="D150"/>
    <hyperlink r:id="rId299" ref="B151"/>
    <hyperlink r:id="rId300" ref="D151"/>
    <hyperlink r:id="rId301" ref="B152"/>
    <hyperlink r:id="rId302" ref="D152"/>
    <hyperlink r:id="rId303" ref="B153"/>
    <hyperlink r:id="rId304" ref="D153"/>
    <hyperlink r:id="rId305" ref="B154"/>
    <hyperlink r:id="rId306" ref="D154"/>
    <hyperlink r:id="rId307" ref="B155"/>
    <hyperlink r:id="rId308" ref="D155"/>
    <hyperlink r:id="rId309" ref="B156"/>
    <hyperlink r:id="rId310" ref="D156"/>
    <hyperlink r:id="rId311" ref="B157"/>
    <hyperlink r:id="rId312" ref="D157"/>
    <hyperlink r:id="rId313" ref="B158"/>
    <hyperlink r:id="rId314" ref="D158"/>
    <hyperlink r:id="rId315" ref="B159"/>
    <hyperlink r:id="rId316" ref="D159"/>
    <hyperlink r:id="rId317" ref="B160"/>
    <hyperlink r:id="rId318" ref="D160"/>
    <hyperlink r:id="rId319" ref="B161"/>
    <hyperlink r:id="rId320" ref="D161"/>
    <hyperlink r:id="rId321" ref="B162"/>
    <hyperlink r:id="rId322" ref="D162"/>
    <hyperlink r:id="rId323" ref="B163"/>
    <hyperlink r:id="rId324" ref="D163"/>
    <hyperlink r:id="rId325" ref="B164"/>
    <hyperlink r:id="rId326" ref="D164"/>
    <hyperlink r:id="rId327" ref="B165"/>
    <hyperlink r:id="rId328" ref="D165"/>
    <hyperlink r:id="rId329" ref="B166"/>
    <hyperlink r:id="rId330" ref="D166"/>
    <hyperlink r:id="rId331" ref="B167"/>
    <hyperlink r:id="rId332" ref="D167"/>
    <hyperlink r:id="rId333" ref="B168"/>
    <hyperlink r:id="rId334" ref="D168"/>
    <hyperlink r:id="rId335" ref="B169"/>
    <hyperlink r:id="rId336" ref="D169"/>
    <hyperlink r:id="rId337" ref="B170"/>
    <hyperlink r:id="rId338" ref="D170"/>
    <hyperlink r:id="rId339" ref="B171"/>
    <hyperlink r:id="rId340" ref="D171"/>
    <hyperlink r:id="rId341" ref="B172"/>
    <hyperlink r:id="rId342" ref="D172"/>
    <hyperlink r:id="rId343" ref="B173"/>
    <hyperlink r:id="rId344" ref="D173"/>
    <hyperlink r:id="rId345" ref="B174"/>
    <hyperlink r:id="rId346" ref="D174"/>
    <hyperlink r:id="rId347" ref="B175"/>
    <hyperlink r:id="rId348" ref="D175"/>
    <hyperlink r:id="rId349" ref="B176"/>
    <hyperlink r:id="rId350" ref="D176"/>
    <hyperlink r:id="rId351" ref="B177"/>
    <hyperlink r:id="rId352" ref="D177"/>
    <hyperlink r:id="rId353" ref="B178"/>
    <hyperlink r:id="rId354" ref="D178"/>
    <hyperlink r:id="rId355" ref="B179"/>
    <hyperlink r:id="rId356" ref="D179"/>
    <hyperlink r:id="rId357" ref="B180"/>
    <hyperlink r:id="rId358" ref="D180"/>
    <hyperlink r:id="rId359" ref="B181"/>
    <hyperlink r:id="rId360" ref="D181"/>
    <hyperlink r:id="rId361" ref="B182"/>
    <hyperlink r:id="rId362" ref="D182"/>
    <hyperlink r:id="rId363" ref="B183"/>
    <hyperlink r:id="rId364" ref="D183"/>
    <hyperlink r:id="rId365" ref="B184"/>
    <hyperlink r:id="rId366" ref="D184"/>
    <hyperlink r:id="rId367" ref="B185"/>
    <hyperlink r:id="rId368" ref="D185"/>
    <hyperlink r:id="rId369" ref="B186"/>
    <hyperlink r:id="rId370" ref="D186"/>
    <hyperlink r:id="rId371" ref="B187"/>
    <hyperlink r:id="rId372" ref="D187"/>
    <hyperlink r:id="rId373" ref="B188"/>
    <hyperlink r:id="rId374" ref="D188"/>
    <hyperlink r:id="rId375" ref="B189"/>
    <hyperlink r:id="rId376" ref="D189"/>
    <hyperlink r:id="rId377" ref="B190"/>
    <hyperlink r:id="rId378" ref="D190"/>
    <hyperlink r:id="rId379" ref="B191"/>
    <hyperlink r:id="rId380" ref="D191"/>
    <hyperlink r:id="rId381" ref="B192"/>
    <hyperlink r:id="rId382" ref="D192"/>
    <hyperlink r:id="rId383" ref="B193"/>
    <hyperlink r:id="rId384" ref="D193"/>
    <hyperlink r:id="rId385" ref="B194"/>
    <hyperlink r:id="rId386" ref="D194"/>
    <hyperlink r:id="rId387" ref="B195"/>
    <hyperlink r:id="rId388" ref="D195"/>
    <hyperlink r:id="rId389" ref="B196"/>
    <hyperlink r:id="rId390" ref="D196"/>
    <hyperlink r:id="rId391" ref="B197"/>
    <hyperlink r:id="rId392" ref="D197"/>
    <hyperlink r:id="rId393" ref="B198"/>
    <hyperlink r:id="rId394" ref="D198"/>
    <hyperlink r:id="rId395" ref="B199"/>
    <hyperlink r:id="rId396" ref="D199"/>
    <hyperlink r:id="rId397" ref="B200"/>
    <hyperlink r:id="rId398" ref="D200"/>
    <hyperlink r:id="rId399" ref="B201"/>
    <hyperlink r:id="rId400" ref="D201"/>
    <hyperlink r:id="rId401" ref="B202"/>
    <hyperlink r:id="rId402" ref="D202"/>
    <hyperlink r:id="rId403" ref="B203"/>
    <hyperlink r:id="rId404" ref="D203"/>
    <hyperlink r:id="rId405" ref="B204"/>
    <hyperlink r:id="rId406" ref="D204"/>
    <hyperlink r:id="rId407" ref="B205"/>
    <hyperlink r:id="rId408" ref="D205"/>
    <hyperlink r:id="rId409" ref="B206"/>
    <hyperlink r:id="rId410" ref="D206"/>
    <hyperlink r:id="rId411" ref="B207"/>
    <hyperlink r:id="rId412" ref="D207"/>
    <hyperlink r:id="rId413" ref="B208"/>
    <hyperlink r:id="rId414" ref="D208"/>
    <hyperlink r:id="rId415" ref="B209"/>
    <hyperlink r:id="rId416" ref="D209"/>
    <hyperlink r:id="rId417" ref="B210"/>
    <hyperlink r:id="rId418" ref="D210"/>
    <hyperlink r:id="rId419" ref="B211"/>
    <hyperlink r:id="rId420" ref="D211"/>
    <hyperlink r:id="rId421" ref="B212"/>
    <hyperlink r:id="rId422" ref="D212"/>
    <hyperlink r:id="rId423" ref="B213"/>
    <hyperlink r:id="rId424" ref="D213"/>
    <hyperlink r:id="rId425" ref="B214"/>
    <hyperlink r:id="rId426" ref="D214"/>
    <hyperlink r:id="rId427" ref="B215"/>
    <hyperlink r:id="rId428" ref="D215"/>
    <hyperlink r:id="rId429" ref="B216"/>
    <hyperlink r:id="rId430" ref="D216"/>
    <hyperlink r:id="rId431" ref="B217"/>
    <hyperlink r:id="rId432" ref="D217"/>
    <hyperlink r:id="rId433" ref="B218"/>
    <hyperlink r:id="rId434" ref="D218"/>
    <hyperlink r:id="rId435" ref="B219"/>
    <hyperlink r:id="rId436" ref="D219"/>
    <hyperlink r:id="rId437" ref="B220"/>
    <hyperlink r:id="rId438" ref="D220"/>
    <hyperlink r:id="rId439" ref="B221"/>
    <hyperlink r:id="rId440" ref="D221"/>
    <hyperlink r:id="rId441" ref="B222"/>
    <hyperlink r:id="rId442" ref="D222"/>
    <hyperlink r:id="rId443" ref="B223"/>
    <hyperlink r:id="rId444" ref="D223"/>
    <hyperlink r:id="rId445" ref="B224"/>
    <hyperlink r:id="rId446" ref="D224"/>
    <hyperlink r:id="rId447" ref="B225"/>
    <hyperlink r:id="rId448" ref="D225"/>
    <hyperlink r:id="rId449" ref="B226"/>
    <hyperlink r:id="rId450" ref="D226"/>
    <hyperlink r:id="rId451" ref="B227"/>
    <hyperlink r:id="rId452" ref="D227"/>
    <hyperlink r:id="rId453" ref="B228"/>
    <hyperlink r:id="rId454" ref="D228"/>
    <hyperlink r:id="rId455" ref="B229"/>
    <hyperlink r:id="rId456" ref="D229"/>
    <hyperlink r:id="rId457" ref="B230"/>
    <hyperlink r:id="rId458" ref="D230"/>
    <hyperlink r:id="rId459" ref="B231"/>
    <hyperlink r:id="rId460" ref="D231"/>
    <hyperlink r:id="rId461" ref="B232"/>
    <hyperlink r:id="rId462" ref="D232"/>
    <hyperlink r:id="rId463" ref="B233"/>
    <hyperlink r:id="rId464" ref="D233"/>
    <hyperlink r:id="rId465" ref="B234"/>
    <hyperlink r:id="rId466" ref="D234"/>
    <hyperlink r:id="rId467" ref="B235"/>
    <hyperlink r:id="rId468" ref="D235"/>
    <hyperlink r:id="rId469" ref="B236"/>
    <hyperlink r:id="rId470" ref="D236"/>
    <hyperlink r:id="rId471" ref="B237"/>
    <hyperlink r:id="rId472" ref="D237"/>
    <hyperlink r:id="rId473" ref="B238"/>
    <hyperlink r:id="rId474" ref="D238"/>
    <hyperlink r:id="rId475" ref="B239"/>
    <hyperlink r:id="rId476" ref="D239"/>
    <hyperlink r:id="rId477" ref="B240"/>
    <hyperlink r:id="rId478" ref="D240"/>
    <hyperlink r:id="rId479" ref="B241"/>
    <hyperlink r:id="rId480" ref="D241"/>
    <hyperlink r:id="rId481" ref="B242"/>
    <hyperlink r:id="rId482" ref="D242"/>
    <hyperlink r:id="rId483" ref="B243"/>
    <hyperlink r:id="rId484" ref="D243"/>
    <hyperlink r:id="rId485" ref="B244"/>
    <hyperlink r:id="rId486" ref="D244"/>
    <hyperlink r:id="rId487" ref="B245"/>
    <hyperlink r:id="rId488" ref="D245"/>
    <hyperlink r:id="rId489" ref="B246"/>
    <hyperlink r:id="rId490" ref="D246"/>
    <hyperlink r:id="rId491" ref="B247"/>
    <hyperlink r:id="rId492" ref="D247"/>
    <hyperlink r:id="rId493" ref="B248"/>
    <hyperlink r:id="rId494" ref="D248"/>
    <hyperlink r:id="rId495" ref="B249"/>
    <hyperlink r:id="rId496" ref="D249"/>
    <hyperlink r:id="rId497" ref="B250"/>
    <hyperlink r:id="rId498" ref="D250"/>
    <hyperlink r:id="rId499" ref="B251"/>
    <hyperlink r:id="rId500" ref="D251"/>
    <hyperlink r:id="rId501" ref="B252"/>
    <hyperlink r:id="rId502" ref="D252"/>
    <hyperlink r:id="rId503" ref="B253"/>
    <hyperlink r:id="rId504" ref="D253"/>
    <hyperlink r:id="rId505" ref="B254"/>
    <hyperlink r:id="rId506" ref="D254"/>
    <hyperlink r:id="rId507" ref="B255"/>
    <hyperlink r:id="rId508" ref="D255"/>
    <hyperlink r:id="rId509" ref="B256"/>
    <hyperlink r:id="rId510" ref="D256"/>
    <hyperlink r:id="rId511" ref="B257"/>
    <hyperlink r:id="rId512" ref="D257"/>
    <hyperlink r:id="rId513" ref="B258"/>
    <hyperlink r:id="rId514" ref="D258"/>
    <hyperlink r:id="rId515" ref="B259"/>
    <hyperlink r:id="rId516" ref="D259"/>
    <hyperlink r:id="rId517" ref="B260"/>
    <hyperlink r:id="rId518" ref="D260"/>
    <hyperlink r:id="rId519" ref="B261"/>
    <hyperlink r:id="rId520" ref="D261"/>
    <hyperlink r:id="rId521" ref="B262"/>
    <hyperlink r:id="rId522" ref="D262"/>
    <hyperlink r:id="rId523" ref="B263"/>
    <hyperlink r:id="rId524" ref="D263"/>
    <hyperlink r:id="rId525" ref="B264"/>
    <hyperlink r:id="rId526" ref="D264"/>
    <hyperlink r:id="rId527" ref="B265"/>
    <hyperlink r:id="rId528" ref="D265"/>
    <hyperlink r:id="rId529" ref="B266"/>
    <hyperlink r:id="rId530" ref="D266"/>
    <hyperlink r:id="rId531" ref="B267"/>
    <hyperlink r:id="rId532" ref="D267"/>
    <hyperlink r:id="rId533" ref="B268"/>
    <hyperlink r:id="rId534" ref="D268"/>
    <hyperlink r:id="rId535" ref="B269"/>
    <hyperlink r:id="rId536" ref="D269"/>
    <hyperlink r:id="rId537" ref="B270"/>
    <hyperlink r:id="rId538" ref="D270"/>
    <hyperlink r:id="rId539" ref="B271"/>
    <hyperlink r:id="rId540" ref="D271"/>
    <hyperlink r:id="rId541" ref="B272"/>
    <hyperlink r:id="rId542" ref="D272"/>
    <hyperlink r:id="rId543" ref="B273"/>
    <hyperlink r:id="rId544" ref="D273"/>
    <hyperlink r:id="rId545" ref="B274"/>
    <hyperlink r:id="rId546" ref="D274"/>
    <hyperlink r:id="rId547" ref="B275"/>
    <hyperlink r:id="rId548" ref="D275"/>
    <hyperlink r:id="rId549" ref="B276"/>
    <hyperlink r:id="rId550" ref="D276"/>
    <hyperlink r:id="rId551" ref="B277"/>
    <hyperlink r:id="rId552" ref="D277"/>
    <hyperlink r:id="rId553" ref="B278"/>
    <hyperlink r:id="rId554" ref="D278"/>
    <hyperlink r:id="rId555" ref="B279"/>
    <hyperlink r:id="rId556" ref="D279"/>
    <hyperlink r:id="rId557" ref="B280"/>
    <hyperlink r:id="rId558" ref="D280"/>
    <hyperlink r:id="rId559" ref="B281"/>
    <hyperlink r:id="rId560" ref="D281"/>
    <hyperlink r:id="rId561" ref="B282"/>
    <hyperlink r:id="rId562" ref="D282"/>
    <hyperlink r:id="rId563" ref="B283"/>
    <hyperlink r:id="rId564" ref="D283"/>
    <hyperlink r:id="rId565" ref="B284"/>
    <hyperlink r:id="rId566" ref="D284"/>
    <hyperlink r:id="rId567" ref="B285"/>
    <hyperlink r:id="rId568" ref="D285"/>
    <hyperlink r:id="rId569" ref="B286"/>
    <hyperlink r:id="rId570" ref="D286"/>
    <hyperlink r:id="rId571" ref="B287"/>
    <hyperlink r:id="rId572" ref="D287"/>
    <hyperlink r:id="rId573" ref="B288"/>
    <hyperlink r:id="rId574" ref="D288"/>
    <hyperlink r:id="rId575" ref="B289"/>
    <hyperlink r:id="rId576" ref="D289"/>
    <hyperlink r:id="rId577" ref="B290"/>
    <hyperlink r:id="rId578" ref="D290"/>
    <hyperlink r:id="rId579" ref="B291"/>
    <hyperlink r:id="rId580" ref="D291"/>
    <hyperlink r:id="rId581" ref="B292"/>
    <hyperlink r:id="rId582" ref="D292"/>
    <hyperlink r:id="rId583" ref="B293"/>
    <hyperlink r:id="rId584" ref="D293"/>
    <hyperlink r:id="rId585" ref="B294"/>
    <hyperlink r:id="rId586" ref="D294"/>
    <hyperlink r:id="rId587" ref="B295"/>
    <hyperlink r:id="rId588" ref="D295"/>
    <hyperlink r:id="rId589" ref="B296"/>
    <hyperlink r:id="rId590" ref="D296"/>
    <hyperlink r:id="rId591" ref="B297"/>
    <hyperlink r:id="rId592" ref="D297"/>
    <hyperlink r:id="rId593" ref="B298"/>
    <hyperlink r:id="rId594" ref="D298"/>
    <hyperlink r:id="rId595" ref="B299"/>
    <hyperlink r:id="rId596" ref="D299"/>
    <hyperlink r:id="rId597" ref="B300"/>
    <hyperlink r:id="rId598" ref="D300"/>
    <hyperlink r:id="rId599" ref="B301"/>
    <hyperlink r:id="rId600" ref="D301"/>
    <hyperlink r:id="rId601" ref="B302"/>
    <hyperlink r:id="rId602" ref="D302"/>
    <hyperlink r:id="rId603" ref="B303"/>
    <hyperlink r:id="rId604" ref="D303"/>
    <hyperlink r:id="rId605" ref="B304"/>
    <hyperlink r:id="rId606" ref="D304"/>
    <hyperlink r:id="rId607" ref="B305"/>
    <hyperlink r:id="rId608" ref="D305"/>
    <hyperlink r:id="rId609" ref="B306"/>
    <hyperlink r:id="rId610" ref="D306"/>
    <hyperlink r:id="rId611" ref="B307"/>
    <hyperlink r:id="rId612" ref="D307"/>
    <hyperlink r:id="rId613" ref="B308"/>
    <hyperlink r:id="rId614" ref="D308"/>
    <hyperlink r:id="rId615" ref="B309"/>
    <hyperlink r:id="rId616" ref="D309"/>
    <hyperlink r:id="rId617" ref="B310"/>
    <hyperlink r:id="rId618" ref="D310"/>
    <hyperlink r:id="rId619" ref="B311"/>
    <hyperlink r:id="rId620" ref="D311"/>
    <hyperlink r:id="rId621" ref="B312"/>
    <hyperlink r:id="rId622" ref="D312"/>
    <hyperlink r:id="rId623" ref="B313"/>
    <hyperlink r:id="rId624" ref="D313"/>
    <hyperlink r:id="rId625" ref="B314"/>
    <hyperlink r:id="rId626" ref="D314"/>
    <hyperlink r:id="rId627" ref="B315"/>
    <hyperlink r:id="rId628" ref="D315"/>
    <hyperlink r:id="rId629" ref="B316"/>
    <hyperlink r:id="rId630" ref="D316"/>
    <hyperlink r:id="rId631" ref="B317"/>
    <hyperlink r:id="rId632" ref="D317"/>
    <hyperlink r:id="rId633" ref="B318"/>
    <hyperlink r:id="rId634" ref="D318"/>
    <hyperlink r:id="rId635" ref="B319"/>
    <hyperlink r:id="rId636" ref="D319"/>
    <hyperlink r:id="rId637" ref="B320"/>
    <hyperlink r:id="rId638" ref="D320"/>
    <hyperlink r:id="rId639" ref="B321"/>
    <hyperlink r:id="rId640" ref="D321"/>
    <hyperlink r:id="rId641" ref="B322"/>
    <hyperlink r:id="rId642" ref="D322"/>
    <hyperlink r:id="rId643" ref="B323"/>
    <hyperlink r:id="rId644" ref="D323"/>
    <hyperlink r:id="rId645" ref="B324"/>
    <hyperlink r:id="rId646" ref="D324"/>
    <hyperlink r:id="rId647" ref="B325"/>
    <hyperlink r:id="rId648" ref="D325"/>
    <hyperlink r:id="rId649" ref="B326"/>
    <hyperlink r:id="rId650" ref="D326"/>
    <hyperlink r:id="rId651" ref="B327"/>
    <hyperlink r:id="rId652" ref="D327"/>
    <hyperlink r:id="rId653" ref="B328"/>
    <hyperlink r:id="rId654" ref="D328"/>
    <hyperlink r:id="rId655" ref="B329"/>
    <hyperlink r:id="rId656" ref="D329"/>
    <hyperlink r:id="rId657" ref="B330"/>
    <hyperlink r:id="rId658" ref="D330"/>
    <hyperlink r:id="rId659" ref="B331"/>
    <hyperlink r:id="rId660" ref="D331"/>
    <hyperlink r:id="rId661" ref="B332"/>
    <hyperlink r:id="rId662" ref="D332"/>
    <hyperlink r:id="rId663" ref="B333"/>
    <hyperlink r:id="rId664" ref="D333"/>
    <hyperlink r:id="rId665" ref="B334"/>
    <hyperlink r:id="rId666" ref="D334"/>
    <hyperlink r:id="rId667" ref="B335"/>
    <hyperlink r:id="rId668" ref="D335"/>
    <hyperlink r:id="rId669" ref="B336"/>
    <hyperlink r:id="rId670" ref="D336"/>
    <hyperlink r:id="rId671" ref="B337"/>
    <hyperlink r:id="rId672" ref="D337"/>
    <hyperlink r:id="rId673" ref="B338"/>
    <hyperlink r:id="rId674" ref="D338"/>
  </hyperlinks>
  <drawing r:id="rId675"/>
</worksheet>
</file>